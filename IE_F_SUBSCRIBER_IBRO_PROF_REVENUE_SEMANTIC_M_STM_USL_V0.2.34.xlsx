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odafone.sharepoint.com/sites/NGDIDATATeam/Shared Documents/SAP Migration Project/Ireland/Fact and Dimensions Mapping/Facts/USL_Version_2/"/>
    </mc:Choice>
  </mc:AlternateContent>
  <xr:revisionPtr revIDLastSave="698" documentId="13_ncr:1_{6355DEE4-0906-40BA-BB7E-684E82ECA154}" xr6:coauthVersionLast="47" xr6:coauthVersionMax="47" xr10:uidLastSave="{E0305FC9-B63A-48EE-B87D-D779BBCC1B01}"/>
  <bookViews>
    <workbookView xWindow="-110" yWindow="-110" windowWidth="19420" windowHeight="10300" tabRatio="869" activeTab="2" xr2:uid="{91D2AFF5-967C-46D2-8638-558C12B0E399}"/>
  </bookViews>
  <sheets>
    <sheet name="Version Control" sheetId="12" r:id="rId1"/>
    <sheet name="Transformation Layer Stage1_old" sheetId="15" state="hidden" r:id="rId2"/>
    <sheet name="Transformation Layer Stage 1" sheetId="20" r:id="rId3"/>
    <sheet name="AA_Base" sheetId="31" state="hidden" r:id="rId4"/>
    <sheet name="f_subscriber_ibro_prof_report_s" sheetId="1" r:id="rId5"/>
    <sheet name="CPA FIXED QLIK" sheetId="30" state="hidden" r:id="rId6"/>
    <sheet name="CPA MOBILE QLIK" sheetId="27" state="hidden" r:id="rId7"/>
    <sheet name="CPA PREPAID QLIK" sheetId="28" state="hidden" r:id="rId8"/>
    <sheet name="Total columns" sheetId="26" state="hidden" r:id="rId9"/>
    <sheet name="Example Subsidy_unitry" sheetId="35" r:id="rId10"/>
    <sheet name="Subsidy Calculation" sheetId="13" r:id="rId11"/>
    <sheet name="Excp_discovery_inline_data" sheetId="32" r:id="rId12"/>
    <sheet name="FMLY_DISCOUNT_UNITRY" sheetId="22" r:id="rId13"/>
    <sheet name="Family Discount Unitry Example" sheetId="21" r:id="rId14"/>
    <sheet name="CUS_SUB_TYPE" sheetId="17" state="hidden" r:id="rId15"/>
    <sheet name="S15 ADJUSTMENT EXAMPLE" sheetId="23" r:id="rId16"/>
    <sheet name="SOHO_DISCOUNT_UNITRY" sheetId="24" r:id="rId17"/>
    <sheet name="SOHO DISCOUNT Unitry Example" sheetId="25" r:id="rId18"/>
    <sheet name="Consistent -ve Margin Example" sheetId="33" r:id="rId19"/>
    <sheet name="CPA Fixed- Qlik logic table Ex" sheetId="34" r:id="rId20"/>
    <sheet name="tgt columns" sheetId="14" state="hidden" r:id="rId21"/>
  </sheets>
  <definedNames>
    <definedName name="_xlnm._FilterDatabase" localSheetId="3" hidden="1">AA_Base!$A$5:$J$88</definedName>
    <definedName name="_xlnm._FilterDatabase" localSheetId="14" hidden="1">CUS_SUB_TYPE!$A$1:$D$27</definedName>
    <definedName name="_xlnm._FilterDatabase" localSheetId="11" hidden="1">Excp_discovery_inline_data!$A$1:$C$19</definedName>
    <definedName name="_xlnm._FilterDatabase" localSheetId="4" hidden="1">f_subscriber_ibro_prof_report_s!$A$318:$K$976</definedName>
    <definedName name="_xlnm._FilterDatabase" localSheetId="8" hidden="1">'Total columns'!$F$2:$F$385</definedName>
    <definedName name="_xlnm._FilterDatabase" localSheetId="2" hidden="1">'Transformation Layer Stage 1'!$A$3:$J$53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93" i="20" l="1"/>
  <c r="I694" i="20"/>
  <c r="I692" i="20" l="1"/>
  <c r="I691" i="20"/>
  <c r="I1838" i="20" l="1"/>
  <c r="I1839" i="20"/>
  <c r="I1840" i="20"/>
  <c r="I1841" i="20"/>
  <c r="I1842" i="20"/>
  <c r="I1843" i="20"/>
  <c r="I2202" i="20" l="1"/>
  <c r="I2201" i="20"/>
  <c r="I2025" i="20" l="1"/>
  <c r="J18" i="34"/>
  <c r="J17" i="34"/>
  <c r="J16" i="34"/>
  <c r="J15" i="34"/>
  <c r="I18" i="34"/>
  <c r="I17" i="34"/>
  <c r="I16" i="34"/>
  <c r="I15" i="34"/>
  <c r="I2200" i="20"/>
  <c r="I2128" i="20"/>
  <c r="I2199" i="20"/>
  <c r="I2198" i="20" l="1"/>
  <c r="I1988" i="20" l="1"/>
  <c r="I1906" i="20"/>
  <c r="I1943" i="20"/>
  <c r="I1942" i="20"/>
  <c r="I1884" i="20" l="1"/>
  <c r="I1885" i="20"/>
  <c r="I1886" i="20"/>
  <c r="I1887" i="20"/>
  <c r="I1888" i="20"/>
  <c r="I1889" i="20"/>
  <c r="I1890" i="20"/>
  <c r="I1891" i="20"/>
  <c r="I1892" i="20"/>
  <c r="I1893" i="20"/>
  <c r="I1894" i="20"/>
  <c r="I1895" i="20"/>
  <c r="I1896" i="20"/>
  <c r="I1897" i="20"/>
  <c r="I1898" i="20"/>
  <c r="I1899" i="20"/>
  <c r="I1900" i="20"/>
  <c r="I1901" i="20"/>
  <c r="I1902" i="20"/>
  <c r="I1903" i="20"/>
  <c r="I1904" i="20"/>
  <c r="I1905" i="20"/>
  <c r="I1853" i="20" l="1"/>
  <c r="I1854" i="20"/>
  <c r="I1855" i="20"/>
  <c r="I1856" i="20"/>
  <c r="I1857" i="20"/>
  <c r="I1845" i="20"/>
  <c r="I1846" i="20"/>
  <c r="I1847" i="20"/>
  <c r="I1848" i="20"/>
  <c r="I1849" i="20"/>
  <c r="I1850" i="20"/>
  <c r="I1851" i="20"/>
  <c r="I1852" i="20"/>
  <c r="I2197" i="20"/>
  <c r="I1740" i="20" l="1"/>
  <c r="I1987" i="20"/>
  <c r="I1989" i="20"/>
  <c r="I1990" i="20"/>
  <c r="I1991" i="20"/>
  <c r="I1992" i="20"/>
  <c r="I1993" i="20"/>
  <c r="I1994" i="20"/>
  <c r="I1995" i="20"/>
  <c r="I1996" i="20"/>
  <c r="I1997" i="20"/>
  <c r="I1998" i="20"/>
  <c r="I1999" i="20"/>
  <c r="I2000" i="20"/>
  <c r="I2001" i="20"/>
  <c r="I2002" i="20"/>
  <c r="I2003" i="20"/>
  <c r="I2004" i="20"/>
  <c r="I2005" i="20"/>
  <c r="I2006" i="20"/>
  <c r="I2007" i="20"/>
  <c r="I2008" i="20"/>
  <c r="I2009" i="20"/>
  <c r="I2010" i="20"/>
  <c r="I2011" i="20"/>
  <c r="I2012" i="20"/>
  <c r="I2013" i="20"/>
  <c r="I2014" i="20"/>
  <c r="I2015" i="20"/>
  <c r="I2016" i="20"/>
  <c r="I2017" i="20"/>
  <c r="I2018" i="20"/>
  <c r="I2019" i="20"/>
  <c r="I2020" i="20"/>
  <c r="I2021" i="20"/>
  <c r="I2022" i="20"/>
  <c r="I2023" i="20"/>
  <c r="I2024" i="20"/>
  <c r="I2026" i="20"/>
  <c r="I2027" i="20"/>
  <c r="I2028" i="20"/>
  <c r="I2029" i="20"/>
  <c r="I2030" i="20"/>
  <c r="I2031" i="20"/>
  <c r="I2032" i="20"/>
  <c r="I2033" i="20"/>
  <c r="I2034" i="20"/>
  <c r="I2035" i="20"/>
  <c r="I2036" i="20"/>
  <c r="I2037" i="20"/>
  <c r="I2038" i="20"/>
  <c r="I2039" i="20"/>
  <c r="I2040" i="20"/>
  <c r="I2041" i="20"/>
  <c r="I2042" i="20"/>
  <c r="I2043" i="20"/>
  <c r="I2044" i="20"/>
  <c r="I2045" i="20"/>
  <c r="I2046" i="20"/>
  <c r="I2047" i="20"/>
  <c r="I2048" i="20"/>
  <c r="I2049" i="20"/>
  <c r="I2050" i="20"/>
  <c r="I2051" i="20"/>
  <c r="I2052" i="20"/>
  <c r="I2053" i="20"/>
  <c r="I2054" i="20"/>
  <c r="I2055" i="20"/>
  <c r="I2056" i="20"/>
  <c r="I2057" i="20"/>
  <c r="I2058" i="20"/>
  <c r="I2059" i="20"/>
  <c r="I2060" i="20"/>
  <c r="I2061" i="20"/>
  <c r="I2062" i="20"/>
  <c r="I2063" i="20"/>
  <c r="I2064" i="20"/>
  <c r="I2065" i="20"/>
  <c r="I2066" i="20"/>
  <c r="I2067" i="20"/>
  <c r="I2068" i="20"/>
  <c r="I2069" i="20"/>
  <c r="I2070" i="20"/>
  <c r="I2071" i="20"/>
  <c r="I2072" i="20"/>
  <c r="I2073" i="20"/>
  <c r="I2074" i="20"/>
  <c r="I2075" i="20"/>
  <c r="I2076" i="20"/>
  <c r="I2077" i="20"/>
  <c r="I2078" i="20"/>
  <c r="I2079" i="20"/>
  <c r="I2080" i="20"/>
  <c r="I2081" i="20"/>
  <c r="I2082" i="20"/>
  <c r="I2083" i="20"/>
  <c r="I2084" i="20"/>
  <c r="I2085" i="20"/>
  <c r="I2086" i="20"/>
  <c r="I2087" i="20"/>
  <c r="I2088" i="20"/>
  <c r="I2089" i="20"/>
  <c r="I2090" i="20"/>
  <c r="I2091" i="20"/>
  <c r="I2092" i="20"/>
  <c r="I2093" i="20"/>
  <c r="I2094" i="20"/>
  <c r="I2095" i="20"/>
  <c r="I2096" i="20"/>
  <c r="I2097" i="20"/>
  <c r="I2098" i="20"/>
  <c r="I2099" i="20"/>
  <c r="I2100" i="20"/>
  <c r="I2101" i="20"/>
  <c r="I2102" i="20"/>
  <c r="I2103" i="20"/>
  <c r="I2104" i="20"/>
  <c r="I2105" i="20"/>
  <c r="I2106" i="20"/>
  <c r="I2107" i="20"/>
  <c r="I2108" i="20"/>
  <c r="I2109" i="20"/>
  <c r="I2110" i="20"/>
  <c r="I2111" i="20"/>
  <c r="I2112" i="20"/>
  <c r="I2113" i="20"/>
  <c r="I2114" i="20"/>
  <c r="I2115" i="20"/>
  <c r="I2116" i="20"/>
  <c r="I2117" i="20"/>
  <c r="I2118" i="20"/>
  <c r="I2119" i="20"/>
  <c r="I2120" i="20"/>
  <c r="I2121" i="20"/>
  <c r="I2122" i="20"/>
  <c r="I2123" i="20"/>
  <c r="I2124" i="20"/>
  <c r="I2125" i="20"/>
  <c r="I2126" i="20"/>
  <c r="I2127" i="20"/>
  <c r="I2129" i="20"/>
  <c r="I2130" i="20"/>
  <c r="I2131" i="20"/>
  <c r="I2135" i="20"/>
  <c r="I2136" i="20"/>
  <c r="I2137" i="20"/>
  <c r="I2138" i="20"/>
  <c r="I2139" i="20"/>
  <c r="I2140" i="20"/>
  <c r="I2141" i="20"/>
  <c r="I2142" i="20"/>
  <c r="I2143" i="20"/>
  <c r="I2144" i="20"/>
  <c r="I2145" i="20"/>
  <c r="I2146" i="20"/>
  <c r="I2147" i="20"/>
  <c r="I2148" i="20"/>
  <c r="I2149" i="20"/>
  <c r="I2150" i="20"/>
  <c r="I2151" i="20"/>
  <c r="I2152" i="20"/>
  <c r="I2153" i="20"/>
  <c r="I2154" i="20"/>
  <c r="I2155" i="20"/>
  <c r="I2156" i="20"/>
  <c r="I2157" i="20"/>
  <c r="I2158" i="20"/>
  <c r="I2159" i="20"/>
  <c r="I2160" i="20"/>
  <c r="I2161" i="20"/>
  <c r="I2162" i="20"/>
  <c r="I2163" i="20"/>
  <c r="I2164" i="20"/>
  <c r="I2165" i="20"/>
  <c r="I2166" i="20"/>
  <c r="I2167" i="20"/>
  <c r="I2168" i="20"/>
  <c r="I2169" i="20"/>
  <c r="I2170" i="20"/>
  <c r="I2171" i="20"/>
  <c r="I2172" i="20"/>
  <c r="I2173" i="20"/>
  <c r="I2174" i="20"/>
  <c r="I2175" i="20"/>
  <c r="I2176" i="20"/>
  <c r="I2177" i="20"/>
  <c r="I2178" i="20"/>
  <c r="I2179" i="20"/>
  <c r="I2180" i="20"/>
  <c r="I2181" i="20"/>
  <c r="I2182" i="20"/>
  <c r="I2183" i="20"/>
  <c r="I2184" i="20"/>
  <c r="I2185" i="20"/>
  <c r="I2186" i="20"/>
  <c r="I2187" i="20"/>
  <c r="I2188" i="20"/>
  <c r="I2189" i="20"/>
  <c r="I2190" i="20"/>
  <c r="I2191" i="20"/>
  <c r="I2192" i="20"/>
  <c r="I2193" i="20"/>
  <c r="I2194" i="20"/>
  <c r="I2195" i="20"/>
  <c r="I2196" i="20"/>
  <c r="I1986" i="20"/>
  <c r="I1985" i="20"/>
  <c r="I1984" i="20"/>
  <c r="I1976" i="20"/>
  <c r="I1977" i="20"/>
  <c r="I1975" i="20"/>
  <c r="I1908" i="20" l="1"/>
  <c r="I1907" i="20"/>
  <c r="I1883" i="20"/>
  <c r="I1882" i="20"/>
  <c r="I1881" i="20"/>
  <c r="I1880" i="20"/>
  <c r="I1879" i="20"/>
  <c r="I1878" i="20"/>
  <c r="I1877" i="20"/>
  <c r="I1876" i="20"/>
  <c r="I1875" i="20"/>
  <c r="I1874" i="20"/>
  <c r="I1873" i="20"/>
  <c r="I1872" i="20"/>
  <c r="I1871" i="20"/>
  <c r="I1870" i="20"/>
  <c r="I1869" i="20"/>
  <c r="I1868" i="20"/>
  <c r="I1867" i="20"/>
  <c r="I1866" i="20"/>
  <c r="I1865" i="20"/>
  <c r="I1864" i="20"/>
  <c r="I1863" i="20"/>
  <c r="I1862" i="20"/>
  <c r="I1861" i="20"/>
  <c r="I1860" i="20"/>
  <c r="I1859" i="20"/>
  <c r="I1858" i="20"/>
  <c r="I1844" i="20"/>
  <c r="I1837" i="20"/>
  <c r="I1836" i="20"/>
  <c r="I1835" i="20"/>
  <c r="E1603" i="20" l="1"/>
  <c r="I1695" i="20" l="1"/>
  <c r="I1694" i="20"/>
  <c r="I1419" i="20"/>
  <c r="I1420" i="20"/>
  <c r="H32" i="23"/>
  <c r="I40" i="23" s="1"/>
  <c r="F39" i="21"/>
  <c r="H39" i="21" s="1"/>
  <c r="G49" i="25"/>
  <c r="H49" i="25" s="1"/>
  <c r="G50" i="25"/>
  <c r="H50" i="25"/>
  <c r="G51" i="25"/>
  <c r="H51" i="25"/>
  <c r="G52" i="25"/>
  <c r="H52" i="25"/>
  <c r="G53" i="25"/>
  <c r="H53" i="25"/>
  <c r="G54" i="25"/>
  <c r="H54" i="25"/>
  <c r="G38" i="25"/>
  <c r="G39" i="25"/>
  <c r="G40" i="25"/>
  <c r="G41" i="25"/>
  <c r="G42" i="25"/>
  <c r="G43" i="25"/>
  <c r="B9" i="25"/>
  <c r="H33" i="23"/>
  <c r="H34" i="23"/>
  <c r="H35" i="23"/>
  <c r="H36" i="23"/>
  <c r="H37" i="23"/>
  <c r="H38" i="23"/>
  <c r="H39" i="23"/>
  <c r="H40" i="23"/>
  <c r="H41" i="23"/>
  <c r="I41" i="23"/>
  <c r="G50" i="21"/>
  <c r="D74" i="21" s="1"/>
  <c r="G51" i="21"/>
  <c r="D75" i="21" s="1"/>
  <c r="H51" i="21"/>
  <c r="G52" i="21"/>
  <c r="D76" i="21" s="1"/>
  <c r="H52" i="21"/>
  <c r="G53" i="21"/>
  <c r="H53" i="21"/>
  <c r="G54" i="21"/>
  <c r="D78" i="21" s="1"/>
  <c r="G55" i="21"/>
  <c r="D79" i="21" s="1"/>
  <c r="H55" i="21"/>
  <c r="F40" i="21"/>
  <c r="F41" i="21"/>
  <c r="F42" i="21"/>
  <c r="F43" i="21"/>
  <c r="F44" i="21"/>
  <c r="B9" i="21"/>
  <c r="H50" i="21" l="1"/>
  <c r="H54" i="21"/>
  <c r="F36" i="13"/>
  <c r="G36" i="13" s="1"/>
  <c r="F35" i="13"/>
  <c r="G35" i="13" s="1"/>
  <c r="F31" i="13"/>
  <c r="G31" i="13" s="1"/>
  <c r="F30" i="13"/>
  <c r="G30" i="13" s="1"/>
  <c r="F26" i="13"/>
  <c r="G26" i="13" s="1"/>
  <c r="F25" i="13"/>
  <c r="G25" i="13" s="1"/>
  <c r="F20" i="13"/>
  <c r="G20" i="13" s="1"/>
  <c r="F19" i="13"/>
  <c r="G19" i="13" s="1"/>
  <c r="B9" i="13"/>
  <c r="H36" i="13" s="1"/>
  <c r="H25" i="13" l="1"/>
  <c r="I30" i="13"/>
  <c r="H30" i="13"/>
  <c r="H31" i="13"/>
  <c r="I31" i="13" s="1"/>
  <c r="I36" i="13"/>
  <c r="J36" i="13" s="1"/>
  <c r="H26" i="13"/>
  <c r="F63" i="21"/>
  <c r="F64" i="21"/>
  <c r="F65" i="21"/>
  <c r="H35" i="13"/>
  <c r="I35" i="13" s="1"/>
  <c r="J35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Rahul Ahirwar, Vodafone</author>
  </authors>
  <commentList>
    <comment ref="E1718" authorId="0" shapeId="0" xr:uid="{311ECA14-7C67-4EBA-B1FF-3551F953CB67}">
      <text>
        <r>
          <rPr>
            <b/>
            <sz val="9"/>
            <color indexed="81"/>
            <rFont val="Tahoma"/>
            <family val="2"/>
          </rPr>
          <t>Rahul Ahirwar, Vodafone:</t>
        </r>
        <r>
          <rPr>
            <sz val="9"/>
            <color indexed="81"/>
            <rFont val="Tahoma"/>
            <family val="2"/>
          </rPr>
          <t xml:space="preserve">
As per Vzi logic in "Addsiyional Comment " column, we need to bring source values only, DSP will sum up at agg level.
 Same will happen for below 3 fields as well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tc={1FAA3906-C579-4DA6-B185-49F3C0CE3CA3}</author>
    <author>tc={99CD3CC1-9DDB-40EF-AE6B-3B2CBD73FD74}</author>
  </authors>
  <commentList>
    <comment ref="A12" authorId="0" shapeId="0" xr:uid="{1FAA3906-C579-4DA6-B185-49F3C0CE3CA3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need to be done with files used at qlick side ?</t>
      </text>
    </comment>
    <comment ref="A71" authorId="1" shapeId="0" xr:uid="{99CD3CC1-9DDB-40EF-AE6B-3B2CBD73FD74}">
      <text>
        <t>[Threaded comment]
Your version of Excel allows you to read this threaded comment; however, any edits to it will get removed if the file is opened in a newer version of Excel. Learn more: https://go.microsoft.com/fwlink/?linkid=870924
Comment:
    Columns for geography analysis may not needed</t>
      </text>
    </comment>
  </commentList>
</comments>
</file>

<file path=xl/sharedStrings.xml><?xml version="1.0" encoding="utf-8"?>
<sst xmlns="http://schemas.openxmlformats.org/spreadsheetml/2006/main" count="31595" uniqueCount="5263">
  <si>
    <t>S No</t>
  </si>
  <si>
    <t>Description</t>
  </si>
  <si>
    <t>Version Date</t>
  </si>
  <si>
    <t>Version ID</t>
  </si>
  <si>
    <t>Initial Version</t>
  </si>
  <si>
    <t>0.1.0</t>
  </si>
  <si>
    <t>- Added foreign keys of dimesions in f_subscriber_ibro_prof_report_semantic_usl
- Added Transforamtion Layer Stage 1 sheet
- Added facts related to VB IBRO, Contract IBRO,channel  Store in     f_subscriber_ibro_prof_report_s sheet
Added additional sheets for Subsidy Calculation,
Family Discount Unitry Example,
FMLY_DISCOUNT_UNITRY,
S15 ADJUSTMENT EXAMPLE,
SOHO_DISCOUNT_UNITRY,
SOHO DISCOUNT Unitry Example</t>
  </si>
  <si>
    <t>0.2.0</t>
  </si>
  <si>
    <t>Updated comments column to indiacte which columns belowngs to which product
Removed duplicate column for "F_ONCEOFF_REV_AMT "</t>
  </si>
  <si>
    <t>0.2.1</t>
  </si>
  <si>
    <t>Sheet : f_subscriber_ibro_prof_report_s
Updated column names in table : "f_subscriber_ibro_prof_report_semantic_usl"</t>
  </si>
  <si>
    <t>0.2.2</t>
  </si>
  <si>
    <t>Sheet : f_subscriber_base_semantic_m_us
Updated target column datatypes in table : "f_subscriber_ibro_prof_report_semantic_usl"
Added below columns in "f_subscriber_ibro_prof_report_semantic_usl" table
flexifield1,
flexifield2,
flexifield3,
flexifield4,
flexifield5,
flexifield6,
flexifield7,
flexifield8,
flexifield9,
flexifield10,
extraction_dttm,
load_dttm,
update_dttm,
insert_load_id,
update_load_id</t>
  </si>
  <si>
    <t>0.2.3</t>
  </si>
  <si>
    <t>Sheet : f_subscriber_ibro_prof_report_s
Updated rows : 53,62,63,64,65,66,69,72 to 92,259,261,264,266,268,272,275,279</t>
  </si>
  <si>
    <t>0.2.4</t>
  </si>
  <si>
    <t>Sheet : f_subscriber_ibro_prof_report_s
Updated rows : 272
Inserted rows : 700 to 710
inserted rows: 711 to 767 (based on requiremnt from SAC team)</t>
  </si>
  <si>
    <t>0.2.5</t>
  </si>
  <si>
    <t>Sheet : f_subscriber_ibro_prof_report_s
Addition of sub_bill_type_ext_cd to handle duplicates</t>
  </si>
  <si>
    <t>0.2.6</t>
  </si>
  <si>
    <t>Sheet : f_subscriber_ibro_prof_report_s
inserted rows: 487-489 ,493-495 ,498-500, 505-507,510-512,523-525 ,540 to 554 ,807 to 838 (based on requiremnt from SAC team). Highlighted in light green colour
Updated Rows : 624 to 749
Sheet : Transformation layer stage 1
source column reference and transformation rule updated (Highlighted in light green colour)</t>
  </si>
  <si>
    <t>0.2.7</t>
  </si>
  <si>
    <t>Sheet : Transfomation Layer stage 1
Updated rows: 198 , 199,243 (column subs_lifecycle_l2_desc logic updated )
                                 : 80 (Join condition) 
Sheet : f_subscriber_ibro_prof_report_s
Updated Rows : 625-750  Updated  join condition for stg_ibro_01_base_usl 
Updated Rows : 555(Channel cost column added)
Updated Rows: 573,574, 576,577,578,580,581,582,583, 604, 605,607,608,609,611,612,613,614 (Source Column updated)
Updated Rows : 89,206 (Bad debt logic)
Updated rows: 289, 297,298,299 (Join condition logic updated)</t>
  </si>
  <si>
    <t>0.2.8</t>
  </si>
  <si>
    <t>Sheet : Transfomation Layer stage 1
Updated Rows: 359
Sheet : f_subscriber_ibro_prof_report_s
updated Row: 222,271,275,480,522,523,524,546,547
added Row: 850,851,852,853,854,855
Aggregation removed from f_subscriber_ibro_prof_report_s :  662- 740</t>
  </si>
  <si>
    <t>0.2.9</t>
  </si>
  <si>
    <r>
      <t xml:space="preserve">Sheet : </t>
    </r>
    <r>
      <rPr>
        <b/>
        <sz val="9"/>
        <color theme="1"/>
        <rFont val="Vodafone Rg"/>
        <family val="2"/>
      </rPr>
      <t>Transfomation Layer stage 1</t>
    </r>
    <r>
      <rPr>
        <sz val="9"/>
        <color theme="1"/>
        <rFont val="Vodafone Rg"/>
        <family val="2"/>
      </rPr>
      <t xml:space="preserve">
Updated Rows: 17 ,33 ,78,172-174,295-297,312 
Sheet: </t>
    </r>
    <r>
      <rPr>
        <b/>
        <sz val="9"/>
        <color theme="1"/>
        <rFont val="Vodafone Rg"/>
        <family val="2"/>
      </rPr>
      <t xml:space="preserve">f_subscriber_ibro_prof_report_s
</t>
    </r>
    <r>
      <rPr>
        <sz val="9"/>
        <color theme="1"/>
        <rFont val="Vodafone Rg"/>
        <family val="2"/>
      </rPr>
      <t xml:space="preserve">Updated Rows: 275,546,854
sheet : </t>
    </r>
    <r>
      <rPr>
        <b/>
        <sz val="9"/>
        <color theme="1"/>
        <rFont val="Vodafone Rg"/>
        <family val="2"/>
      </rPr>
      <t xml:space="preserve">Subsidy calculation </t>
    </r>
    <r>
      <rPr>
        <sz val="9"/>
        <color theme="1"/>
        <rFont val="Vodafone Rg"/>
        <family val="2"/>
      </rPr>
      <t xml:space="preserve">
Updated rows : 2
Sheet : </t>
    </r>
    <r>
      <rPr>
        <b/>
        <sz val="9"/>
        <color theme="1"/>
        <rFont val="Vodafone Rg"/>
        <family val="2"/>
      </rPr>
      <t>S15 ADJUSTMENT EXAMPLE</t>
    </r>
    <r>
      <rPr>
        <sz val="9"/>
        <color theme="1"/>
        <rFont val="Vodafone Rg"/>
        <family val="2"/>
      </rPr>
      <t xml:space="preserve">
Updated rows : 2-3
</t>
    </r>
  </si>
  <si>
    <t>0.2.10</t>
  </si>
  <si>
    <r>
      <t xml:space="preserve">Sheet : </t>
    </r>
    <r>
      <rPr>
        <b/>
        <sz val="9"/>
        <color theme="1"/>
        <rFont val="Vodafone Rg"/>
        <family val="2"/>
      </rPr>
      <t>Transfomation Layer stage 1</t>
    </r>
    <r>
      <rPr>
        <sz val="9"/>
        <color theme="1"/>
        <rFont val="Vodafone Rg"/>
        <family val="2"/>
      </rPr>
      <t xml:space="preserve">
Inserted row s: 180,307,425-536 (GBD PNL STOTE stg table)
Sheet: </t>
    </r>
    <r>
      <rPr>
        <b/>
        <sz val="9"/>
        <color theme="1"/>
        <rFont val="Vodafone Rg"/>
        <family val="2"/>
      </rPr>
      <t xml:space="preserve">f_subscriber_ibro_prof_report_s
</t>
    </r>
    <r>
      <rPr>
        <sz val="9"/>
        <color theme="1"/>
        <rFont val="Vodafone Rg"/>
        <family val="2"/>
      </rPr>
      <t xml:space="preserve">Updated Rows: 71,742,743,746,747,750,751,752,753,754
inseted Rows: 744,745,748,749,860-882  (CIBRO - Qlik logics)
</t>
    </r>
  </si>
  <si>
    <t>0.2.11</t>
  </si>
  <si>
    <r>
      <t xml:space="preserve">Sheet : </t>
    </r>
    <r>
      <rPr>
        <b/>
        <sz val="9"/>
        <color theme="1"/>
        <rFont val="Vodafone Rg"/>
        <family val="2"/>
      </rPr>
      <t xml:space="preserve">Transfomation Layer stage 1
</t>
    </r>
    <r>
      <rPr>
        <sz val="9"/>
        <color theme="1"/>
        <rFont val="Vodafone Rg"/>
        <family val="2"/>
      </rPr>
      <t>Inserted Rows</t>
    </r>
    <r>
      <rPr>
        <b/>
        <sz val="9"/>
        <color theme="1"/>
        <rFont val="Vodafone Rg"/>
        <family val="2"/>
      </rPr>
      <t xml:space="preserve"> : </t>
    </r>
    <r>
      <rPr>
        <sz val="9"/>
        <color theme="1"/>
        <rFont val="Vodafone Rg"/>
        <family val="2"/>
      </rPr>
      <t xml:space="preserve">168 </t>
    </r>
    <r>
      <rPr>
        <b/>
        <sz val="9"/>
        <color theme="1"/>
        <rFont val="Vodafone Rg"/>
        <family val="2"/>
      </rPr>
      <t>,</t>
    </r>
    <r>
      <rPr>
        <sz val="9"/>
        <color theme="1"/>
        <rFont val="Vodafone Rg"/>
        <family val="2"/>
      </rPr>
      <t xml:space="preserve">509 -1205 (CPA detailed tables moved from combined STM )
Updated Rows :  643, 917,918,1047,1048,1158
Sheet: </t>
    </r>
    <r>
      <rPr>
        <b/>
        <sz val="9"/>
        <color theme="1"/>
        <rFont val="Vodafone Rg"/>
        <family val="2"/>
      </rPr>
      <t xml:space="preserve">f_subscriber_ibro_prof_report_s
</t>
    </r>
    <r>
      <rPr>
        <sz val="9"/>
        <color theme="1"/>
        <rFont val="Vodafone Rg"/>
        <family val="2"/>
      </rPr>
      <t xml:space="preserve">Updated Rows: 794,925,926,929-935
inseted Rows:  556-608 ,936-961 (VB ibro qlik logics)
                                  962-968 (linking logic columns)
</t>
    </r>
    <r>
      <rPr>
        <b/>
        <sz val="9"/>
        <color theme="1"/>
        <rFont val="Vodafone Rg"/>
        <family val="2"/>
      </rPr>
      <t>Example_Cust_Sub_Rev_Distribute sheet added</t>
    </r>
    <r>
      <rPr>
        <sz val="9"/>
        <color theme="1"/>
        <rFont val="Vodafone Rg"/>
        <family val="2"/>
      </rPr>
      <t xml:space="preserve">
</t>
    </r>
  </si>
  <si>
    <t>0.2.12</t>
  </si>
  <si>
    <r>
      <t xml:space="preserve">Sheet: </t>
    </r>
    <r>
      <rPr>
        <b/>
        <sz val="9"/>
        <color theme="1"/>
        <rFont val="Vodafone Rg"/>
        <family val="2"/>
      </rPr>
      <t xml:space="preserve">f_subscriber_ibro_prof_report_s
</t>
    </r>
    <r>
      <rPr>
        <sz val="9"/>
        <color theme="1"/>
        <rFont val="Vodafone Rg"/>
        <family val="2"/>
      </rPr>
      <t xml:space="preserve">Updated Rows: 593,937-942,960-968
</t>
    </r>
  </si>
  <si>
    <t>0.2.13</t>
  </si>
  <si>
    <t>Updated Sheet : Transformation Layer Stage 1
Updated rows : 674,815,953,1344, 1354- 1681
Sheet : f_subscriber_ibro_prof_report_s
Updated row : 89</t>
  </si>
  <si>
    <t>0.2.14</t>
  </si>
  <si>
    <r>
      <t xml:space="preserve">Updated Sheet : </t>
    </r>
    <r>
      <rPr>
        <sz val="9"/>
        <color theme="1"/>
        <rFont val="Vodafone Rg"/>
        <family val="2"/>
      </rPr>
      <t>Transformation Layer Stage 1</t>
    </r>
    <r>
      <rPr>
        <b/>
        <sz val="9"/>
        <color theme="1"/>
        <rFont val="Vodafone Rg"/>
        <family val="2"/>
      </rPr>
      <t xml:space="preserve">
Inserted Rows : </t>
    </r>
    <r>
      <rPr>
        <sz val="9"/>
        <color theme="1"/>
        <rFont val="Vodafone Rg"/>
        <family val="2"/>
      </rPr>
      <t>1351,1559,1560,1596-1598,1657-1659,1687-1689 , 1699-1832 ,  1837- 2083</t>
    </r>
    <r>
      <rPr>
        <b/>
        <sz val="9"/>
        <color theme="1"/>
        <rFont val="Vodafone Rg"/>
        <family val="2"/>
      </rPr>
      <t xml:space="preserve">
Updated rows :</t>
    </r>
    <r>
      <rPr>
        <sz val="9"/>
        <color theme="1"/>
        <rFont val="Vodafone Rg"/>
        <family val="2"/>
      </rPr>
      <t xml:space="preserve"> 547-552, 674,684, 695-700 ,815, 826-831,956-961 ,1066-1071 ,1219-1224
,1344,1410, 1453,1469-1470, 1472-1480 , 1493-1494,1589,
1606-1659 , 1672-1689 
</t>
    </r>
    <r>
      <rPr>
        <b/>
        <sz val="9"/>
        <color theme="1"/>
        <rFont val="Vodafone Rg"/>
        <family val="2"/>
      </rPr>
      <t xml:space="preserve">
Excp_discovery_inline_data</t>
    </r>
    <r>
      <rPr>
        <sz val="9"/>
        <color theme="1"/>
        <rFont val="Vodafone Rg"/>
        <family val="2"/>
      </rPr>
      <t xml:space="preserve"> sheet added
</t>
    </r>
  </si>
  <si>
    <t>0.2.15</t>
  </si>
  <si>
    <r>
      <t xml:space="preserve">Updated Sheet : </t>
    </r>
    <r>
      <rPr>
        <sz val="9"/>
        <color theme="1"/>
        <rFont val="Vodafone Rg"/>
        <family val="2"/>
      </rPr>
      <t>Transformation Layer Stage 1</t>
    </r>
    <r>
      <rPr>
        <b/>
        <sz val="9"/>
        <color theme="1"/>
        <rFont val="Vodafone Rg"/>
        <family val="2"/>
      </rPr>
      <t xml:space="preserve">
Inserted Rows : </t>
    </r>
    <r>
      <rPr>
        <sz val="9"/>
        <color theme="1"/>
        <rFont val="Vodafone Rg"/>
        <family val="2"/>
      </rPr>
      <t>1559 , 2020</t>
    </r>
    <r>
      <rPr>
        <b/>
        <sz val="9"/>
        <color theme="1"/>
        <rFont val="Vodafone Rg"/>
        <family val="2"/>
      </rPr>
      <t xml:space="preserve">
Updated rows :</t>
    </r>
    <r>
      <rPr>
        <sz val="9"/>
        <color theme="1"/>
        <rFont val="Vodafone Rg"/>
        <family val="2"/>
      </rPr>
      <t>1559,1560,1902,1903,1909,2020,2021</t>
    </r>
    <r>
      <rPr>
        <b/>
        <sz val="9"/>
        <color theme="1"/>
        <rFont val="Vodafone Rg"/>
        <family val="2"/>
      </rPr>
      <t xml:space="preserve">
Sheet added</t>
    </r>
    <r>
      <rPr>
        <sz val="9"/>
        <color theme="1"/>
        <rFont val="Vodafone Rg"/>
        <family val="2"/>
      </rPr>
      <t xml:space="preserve"> : Consistent -ve Margin Example 
</t>
    </r>
  </si>
  <si>
    <t>0.2.16</t>
  </si>
  <si>
    <r>
      <t xml:space="preserve">Updated Sheet : </t>
    </r>
    <r>
      <rPr>
        <sz val="9"/>
        <color theme="1"/>
        <rFont val="Vodafone Rg"/>
        <family val="2"/>
      </rPr>
      <t>Transformation Layer Stage 1</t>
    </r>
    <r>
      <rPr>
        <b/>
        <sz val="9"/>
        <color theme="1"/>
        <rFont val="Vodafone Rg"/>
        <family val="2"/>
      </rPr>
      <t xml:space="preserve">
Inserted Rows :   </t>
    </r>
    <r>
      <rPr>
        <sz val="9"/>
        <color theme="1"/>
        <rFont val="Vodafone Rg"/>
        <family val="2"/>
      </rPr>
      <t>819 ,2094-2233</t>
    </r>
    <r>
      <rPr>
        <b/>
        <sz val="9"/>
        <color theme="1"/>
        <rFont val="Vodafone Rg"/>
        <family val="2"/>
      </rPr>
      <t xml:space="preserve">
Updated rows :  </t>
    </r>
    <r>
      <rPr>
        <sz val="9"/>
        <color theme="1"/>
        <rFont val="Vodafone Rg"/>
        <family val="2"/>
      </rPr>
      <t>1559-1561</t>
    </r>
    <r>
      <rPr>
        <b/>
        <sz val="9"/>
        <color theme="1"/>
        <rFont val="Vodafone Rg"/>
        <family val="2"/>
      </rPr>
      <t>,</t>
    </r>
    <r>
      <rPr>
        <sz val="9"/>
        <color theme="1"/>
        <rFont val="Vodafone Rg"/>
        <family val="2"/>
      </rPr>
      <t>2020-2022 (Column renaming)</t>
    </r>
    <r>
      <rPr>
        <b/>
        <sz val="9"/>
        <color theme="1"/>
        <rFont val="Vodafone Rg"/>
        <family val="2"/>
      </rPr>
      <t xml:space="preserve">, </t>
    </r>
    <r>
      <rPr>
        <sz val="9"/>
        <color theme="1"/>
        <rFont val="Vodafone Rg"/>
        <family val="2"/>
      </rPr>
      <t>2075</t>
    </r>
    <r>
      <rPr>
        <b/>
        <sz val="9"/>
        <color theme="1"/>
        <rFont val="Vodafone Rg"/>
        <family val="2"/>
      </rPr>
      <t xml:space="preserve">
</t>
    </r>
    <r>
      <rPr>
        <sz val="9"/>
        <color theme="1"/>
        <rFont val="Vodafone Rg"/>
        <family val="2"/>
      </rPr>
      <t xml:space="preserve">
</t>
    </r>
  </si>
  <si>
    <t>0.2.17</t>
  </si>
  <si>
    <r>
      <t xml:space="preserve">Updated Sheet : </t>
    </r>
    <r>
      <rPr>
        <sz val="9"/>
        <color theme="1"/>
        <rFont val="Vodafone Rg"/>
        <family val="2"/>
      </rPr>
      <t>Transformation Layer Stage 1</t>
    </r>
    <r>
      <rPr>
        <b/>
        <sz val="9"/>
        <color theme="1"/>
        <rFont val="Vodafone Rg"/>
        <family val="2"/>
      </rPr>
      <t xml:space="preserve">
Updated rows :  79,89
</t>
    </r>
    <r>
      <rPr>
        <sz val="9"/>
        <color theme="1"/>
        <rFont val="Vodafone Rg"/>
        <family val="2"/>
      </rPr>
      <t xml:space="preserve">
</t>
    </r>
  </si>
  <si>
    <t>0.2.18</t>
  </si>
  <si>
    <r>
      <t xml:space="preserve">Updated Sheet : </t>
    </r>
    <r>
      <rPr>
        <sz val="9"/>
        <color theme="1"/>
        <rFont val="Vodafone Rg"/>
        <family val="2"/>
      </rPr>
      <t>Transformation Layer Stage 1</t>
    </r>
    <r>
      <rPr>
        <b/>
        <sz val="9"/>
        <color theme="1"/>
        <rFont val="Vodafone Rg"/>
        <family val="2"/>
      </rPr>
      <t xml:space="preserve">
Updated rows :  79,89,1873, 2079-2082
Inserted Rows : 
Updated Sheet : f_subscriber_ibro_prof_report_s
Updated Rows : 946
</t>
    </r>
    <r>
      <rPr>
        <sz val="9"/>
        <color theme="1"/>
        <rFont val="Vodafone Rg"/>
        <family val="2"/>
      </rPr>
      <t xml:space="preserve">
</t>
    </r>
  </si>
  <si>
    <t>0.2.19</t>
  </si>
  <si>
    <r>
      <t xml:space="preserve">Updated Sheet : </t>
    </r>
    <r>
      <rPr>
        <sz val="9"/>
        <color theme="1"/>
        <rFont val="Vodafone Rg"/>
        <family val="2"/>
      </rPr>
      <t>Transformation Layer Stage 1</t>
    </r>
    <r>
      <rPr>
        <b/>
        <sz val="9"/>
        <color theme="1"/>
        <rFont val="Vodafone Rg"/>
        <family val="2"/>
      </rPr>
      <t xml:space="preserve">
Updated rows :  1897
Inserted Rows : 1701 (to handle duplicate records in cpa_subs_aa table)
Updated Sheet : f_subscriber_ibro_prof_report_s
Updated Rows : 593
</t>
    </r>
    <r>
      <rPr>
        <sz val="9"/>
        <color theme="1"/>
        <rFont val="Vodafone Rg"/>
        <family val="2"/>
      </rPr>
      <t xml:space="preserve">
</t>
    </r>
  </si>
  <si>
    <t>0.2.20</t>
  </si>
  <si>
    <r>
      <t xml:space="preserve">Updated Sheet : </t>
    </r>
    <r>
      <rPr>
        <sz val="9"/>
        <color theme="1"/>
        <rFont val="Vodafone Rg"/>
        <family val="2"/>
      </rPr>
      <t>Transformation Layer Stage 1</t>
    </r>
    <r>
      <rPr>
        <b/>
        <sz val="9"/>
        <color theme="1"/>
        <rFont val="Vodafone Rg"/>
        <family val="2"/>
      </rPr>
      <t xml:space="preserve">
Updated rows :  42,100,116,117,1915
Inserted Rows : </t>
    </r>
  </si>
  <si>
    <t>0.2.21</t>
  </si>
  <si>
    <r>
      <t xml:space="preserve">Updated Sheet : </t>
    </r>
    <r>
      <rPr>
        <sz val="9"/>
        <color theme="1"/>
        <rFont val="Vodafone Rg"/>
        <family val="2"/>
      </rPr>
      <t>Transformation Layer Stage 1</t>
    </r>
    <r>
      <rPr>
        <b/>
        <sz val="9"/>
        <color theme="1"/>
        <rFont val="Vodafone Rg"/>
        <family val="2"/>
      </rPr>
      <t xml:space="preserve">
Updated rows :  2122 (grouping col removed from stg fixed qlik logic table)
Inserted Rows : 947,1806-1821 ,1848-1871,2125
</t>
    </r>
    <r>
      <rPr>
        <sz val="9"/>
        <color theme="1"/>
        <rFont val="Vodafone Rg"/>
        <family val="2"/>
      </rPr>
      <t xml:space="preserve">
</t>
    </r>
  </si>
  <si>
    <t>0.2.22</t>
  </si>
  <si>
    <r>
      <t xml:space="preserve">Updated Sheet : </t>
    </r>
    <r>
      <rPr>
        <sz val="9"/>
        <color theme="1"/>
        <rFont val="Vodafone Rg"/>
        <family val="2"/>
      </rPr>
      <t>Transformation Layer Stage 1</t>
    </r>
    <r>
      <rPr>
        <b/>
        <sz val="9"/>
        <color theme="1"/>
        <rFont val="Vodafone Rg"/>
        <family val="2"/>
      </rPr>
      <t xml:space="preserve">
Updated rows : 1415 ,1784-1787 ,1816-1817,1822, 1850,1851,1932,1936,1938,1939
Inserted Rows : 1702, 1703, 1874, 1880 -1910
</t>
    </r>
    <r>
      <rPr>
        <sz val="9"/>
        <color theme="1"/>
        <rFont val="Vodafone Rg"/>
        <family val="2"/>
      </rPr>
      <t xml:space="preserve">
</t>
    </r>
  </si>
  <si>
    <t>0.2.23</t>
  </si>
  <si>
    <r>
      <t xml:space="preserve">Updated Sheet : </t>
    </r>
    <r>
      <rPr>
        <sz val="9"/>
        <color theme="1"/>
        <rFont val="Vodafone Rg"/>
        <family val="2"/>
      </rPr>
      <t>Transformation Layer Stage 1</t>
    </r>
    <r>
      <rPr>
        <b/>
        <sz val="9"/>
        <color theme="1"/>
        <rFont val="Vodafone Rg"/>
        <family val="2"/>
      </rPr>
      <t xml:space="preserve">
Updated rows :  1416,1417,1422,1423,1586,1594,1874,2183
Inserted Rows : 1376,1409,1581,1948,2176
</t>
    </r>
    <r>
      <rPr>
        <sz val="9"/>
        <color theme="1"/>
        <rFont val="Vodafone Rg"/>
        <family val="2"/>
      </rPr>
      <t xml:space="preserve">
</t>
    </r>
  </si>
  <si>
    <t>0.2.24</t>
  </si>
  <si>
    <r>
      <t xml:space="preserve">Updated Sheet : </t>
    </r>
    <r>
      <rPr>
        <sz val="9"/>
        <color theme="1"/>
        <rFont val="Vodafone Rg"/>
        <family val="2"/>
      </rPr>
      <t>Transformation Layer Stage 1</t>
    </r>
    <r>
      <rPr>
        <b/>
        <sz val="9"/>
        <color theme="1"/>
        <rFont val="Vodafone Rg"/>
        <family val="2"/>
      </rPr>
      <t xml:space="preserve">
Updated rows :  437-439 ,1943 , stg_cpa_fixed_line_q_usl (Table updated)
Inserted Rows : 948-950, 1209 ,1944 , 2089  ,2159,  2160 ,2161
</t>
    </r>
    <r>
      <rPr>
        <sz val="9"/>
        <color theme="1"/>
        <rFont val="Vodafone Rg"/>
        <family val="2"/>
      </rPr>
      <t xml:space="preserve">
Sheet added : CPA Fixed- Qlik logic table Ex
Sheet Updated :   Consistent -ve Margin Example (Updated)
</t>
    </r>
  </si>
  <si>
    <t>0.2.25</t>
  </si>
  <si>
    <r>
      <t xml:space="preserve">Updated Sheet : </t>
    </r>
    <r>
      <rPr>
        <sz val="9"/>
        <color theme="1"/>
        <rFont val="Vodafone Rg"/>
        <family val="2"/>
      </rPr>
      <t>Transformation Layer Stage 1</t>
    </r>
    <r>
      <rPr>
        <b/>
        <sz val="9"/>
        <color theme="1"/>
        <rFont val="Vodafone Rg"/>
        <family val="2"/>
      </rPr>
      <t xml:space="preserve">
Updated rows :  1063, 1200, 1969 ,1999,2000,2085,2086
Inserted Rows : 
</t>
    </r>
    <r>
      <rPr>
        <sz val="9"/>
        <color theme="1"/>
        <rFont val="Vodafone Rg"/>
        <family val="2"/>
      </rPr>
      <t xml:space="preserve">
</t>
    </r>
  </si>
  <si>
    <t>0.2.26</t>
  </si>
  <si>
    <r>
      <t xml:space="preserve">Updated Sheet : </t>
    </r>
    <r>
      <rPr>
        <sz val="9"/>
        <color theme="1"/>
        <rFont val="Vodafone Rg"/>
        <family val="2"/>
      </rPr>
      <t>Transformation Layer Stage 1</t>
    </r>
    <r>
      <rPr>
        <b/>
        <sz val="9"/>
        <color theme="1"/>
        <rFont val="Vodafone Rg"/>
        <family val="2"/>
      </rPr>
      <t xml:space="preserve">
Updated rows :  
Inserted Rows : 1200,1351
</t>
    </r>
    <r>
      <rPr>
        <sz val="9"/>
        <color theme="1"/>
        <rFont val="Vodafone Rg"/>
        <family val="2"/>
      </rPr>
      <t xml:space="preserve">
</t>
    </r>
  </si>
  <si>
    <t>0.2.27</t>
  </si>
  <si>
    <r>
      <t xml:space="preserve">Updated Sheet : </t>
    </r>
    <r>
      <rPr>
        <sz val="9"/>
        <color theme="1"/>
        <rFont val="Vodafone Rg"/>
        <family val="2"/>
      </rPr>
      <t>Transformation Layer Stage 1</t>
    </r>
    <r>
      <rPr>
        <b/>
        <sz val="9"/>
        <color theme="1"/>
        <rFont val="Vodafone Rg"/>
        <family val="2"/>
      </rPr>
      <t xml:space="preserve">
Updated rows : 1981, 2005 ,2014
Inserted Rows :  951, 2002
</t>
    </r>
    <r>
      <rPr>
        <sz val="9"/>
        <color theme="1"/>
        <rFont val="Vodafone Rg"/>
        <family val="2"/>
      </rPr>
      <t xml:space="preserve">
</t>
    </r>
  </si>
  <si>
    <t>0.2.28</t>
  </si>
  <si>
    <r>
      <t xml:space="preserve">Updated Sheet : </t>
    </r>
    <r>
      <rPr>
        <sz val="9"/>
        <color theme="1"/>
        <rFont val="Vodafone Rg"/>
        <family val="2"/>
      </rPr>
      <t>Transformation Layer Stage 1</t>
    </r>
    <r>
      <rPr>
        <b/>
        <sz val="9"/>
        <color theme="1"/>
        <rFont val="Vodafone Rg"/>
        <family val="2"/>
      </rPr>
      <t xml:space="preserve">
Updated rows : 2174,2175
Inserted Rows :  2178-2186
</t>
    </r>
    <r>
      <rPr>
        <sz val="9"/>
        <color theme="1"/>
        <rFont val="Vodafone Rg"/>
        <family val="2"/>
      </rPr>
      <t xml:space="preserve">
</t>
    </r>
  </si>
  <si>
    <t>0.2.29</t>
  </si>
  <si>
    <r>
      <t xml:space="preserve">Updated Sheet : </t>
    </r>
    <r>
      <rPr>
        <sz val="9"/>
        <color theme="1"/>
        <rFont val="Vodafone Rg"/>
        <family val="2"/>
      </rPr>
      <t>Transformation Layer Stage 1</t>
    </r>
    <r>
      <rPr>
        <b/>
        <sz val="9"/>
        <color theme="1"/>
        <rFont val="Vodafone Rg"/>
        <family val="2"/>
      </rPr>
      <t xml:space="preserve">
Updated rows : 78-80, 83
Inserted Rows :  
</t>
    </r>
    <r>
      <rPr>
        <sz val="9"/>
        <color theme="1"/>
        <rFont val="Vodafone Rg"/>
        <family val="2"/>
      </rPr>
      <t xml:space="preserve">
</t>
    </r>
    <r>
      <rPr>
        <b/>
        <sz val="9"/>
        <color theme="1"/>
        <rFont val="Vodafone Rg"/>
        <family val="2"/>
      </rPr>
      <t>Example Subsidy_unitry added.</t>
    </r>
  </si>
  <si>
    <t>0.2.30</t>
  </si>
  <si>
    <r>
      <t xml:space="preserve">Updated Sheet : </t>
    </r>
    <r>
      <rPr>
        <sz val="9"/>
        <color theme="1"/>
        <rFont val="Vodafone Rg"/>
        <family val="2"/>
      </rPr>
      <t>Transformation Layer Stage 1</t>
    </r>
    <r>
      <rPr>
        <b/>
        <sz val="9"/>
        <color theme="1"/>
        <rFont val="Vodafone Rg"/>
        <family val="2"/>
      </rPr>
      <t xml:space="preserve">
Updated rows : 1723,1899
Inserted Rows :  1825-1830,1911
</t>
    </r>
  </si>
  <si>
    <t>0.2.31</t>
  </si>
  <si>
    <r>
      <t xml:space="preserve">Updated Sheet : </t>
    </r>
    <r>
      <rPr>
        <sz val="9"/>
        <color theme="1"/>
        <rFont val="Vodafone Rg"/>
        <family val="2"/>
      </rPr>
      <t>Transformation Layer Stage 1</t>
    </r>
    <r>
      <rPr>
        <b/>
        <sz val="9"/>
        <color theme="1"/>
        <rFont val="Vodafone Rg"/>
        <family val="2"/>
      </rPr>
      <t xml:space="preserve">
Updated rows : 
Inserted Rows : 1627 ,1691,1694,1712
</t>
    </r>
  </si>
  <si>
    <t>0.2.32</t>
  </si>
  <si>
    <t>Subscriber Information</t>
  </si>
  <si>
    <t>Source Table Name</t>
  </si>
  <si>
    <t>Source Column Name</t>
  </si>
  <si>
    <t>Source Column Data Type</t>
  </si>
  <si>
    <t>Transformation Type</t>
  </si>
  <si>
    <t>Transformation Rule</t>
  </si>
  <si>
    <t>Target Table Name</t>
  </si>
  <si>
    <t>Target Column Name</t>
  </si>
  <si>
    <t>Target Column Data Type</t>
  </si>
  <si>
    <t>Source Attribute</t>
  </si>
  <si>
    <t>Source Table</t>
  </si>
  <si>
    <t>Target Attribute</t>
  </si>
  <si>
    <t>Target Attribute Data Type</t>
  </si>
  <si>
    <t>Target Table</t>
  </si>
  <si>
    <t>Target Attribute Desc</t>
  </si>
  <si>
    <t>DAT_MONTH_ID</t>
  </si>
  <si>
    <t>ie-bds_mc2-c2_cust-ie-bds_mc2-c2_cust-td_prod_a_fac_sub_sum_mrt_last_mth-03-(SUBSCRIBER_FACT_MOBILE)</t>
  </si>
  <si>
    <t>convert into date</t>
  </si>
  <si>
    <t>reporting_month_cd</t>
  </si>
  <si>
    <t>TEMP_APP_SUBSCRIBER_IBRO_SRC</t>
  </si>
  <si>
    <t>CUS_CUSTOMER_CD</t>
  </si>
  <si>
    <t>Direct</t>
  </si>
  <si>
    <t>customer_cd</t>
  </si>
  <si>
    <t>SUB_SUBSCRIPTION_CD</t>
  </si>
  <si>
    <t>subscription_cd</t>
  </si>
  <si>
    <t>SUB_SUBSCRIPTION_CD_PREV</t>
  </si>
  <si>
    <t>CUS_CONVERGENCE_TYPE_DESC</t>
  </si>
  <si>
    <t>SUB_BILL_TYPE_EXT_CD</t>
  </si>
  <si>
    <t>SUB_BUNDLE_TYPE_DESC</t>
  </si>
  <si>
    <t>CUS_CUSTOMER_SUB_TYPE_DESC</t>
  </si>
  <si>
    <t>case  when CUS_CUSTOMER_SUB_TYPE_DESC in ('C') Then 'Clear'
when CUS_CUSTOMER_SUB_TYPE_DESC in ('C56B','CCOM','CDIP','CKEY','COSB') Then 'Corporate'
when CUS_CUSTOMER_SUB_TYPE_DESC in ('E') Then 'Employee Accounts'
when CUS_CUSTOMER_SUB_TYPE_DESC in ('GOV') Then 'Government'
when CUS_CUSTOMER_SUB_TYPE_DESC in ('R') Then 'Residential'
when CUS_CUSTOMER_SUB_TYPE_DESC in ('LS56','LSDI','LSME','LSOS','SM56','SMDI','SME','SMOS') Then 'SME'
when CUS_CUSTOMER_SUB_TYPE_DESC in ('SH56','SHDI','SHO','SHOS','SHOT') Then 'SOHO'
when CUS_CUSTOMER_SUB_TYPE_DESC in ('T') Then 'Test Accounts'
when CUS_CUSTOMER_SUB_TYPE_DESC in ('VGED','VGEL','VGEO') Then 'VGE'
ELSE 'UNKNOWN' END</t>
  </si>
  <si>
    <t>CUS_CUSTOMER_SUB_TYPE_GROUP</t>
  </si>
  <si>
    <t xml:space="preserve">	
PRD_PRODUCT_DESC</t>
  </si>
  <si>
    <t>priceplan</t>
  </si>
  <si>
    <t>SUB_ORIGINAL_ACTIVATION_DT</t>
  </si>
  <si>
    <t>conn_dt</t>
  </si>
  <si>
    <t>DAT_MONTH_ID
SUB_ORIGINAL_ACTIVATION_DT</t>
  </si>
  <si>
    <t xml:space="preserve">CEIL(MONTHS_BETWEEN( (TO_DATE(DAT_MONTH_ID || '01','YYYYMMDD') ), (TO_DATE(SUB_ORIGINAL_ACTIVATION_DT,'DD/MM/YYYY') ) ) ) + 1 </t>
  </si>
  <si>
    <t>act_tenure</t>
  </si>
  <si>
    <t>DLR_DEALER_MARKET</t>
  </si>
  <si>
    <t>step1: ie-bds_mc2-c2_cust-ie-bds_mc2-c2_cust-td_prod_a_fac_sub_sum_mrt_last_mth-03-(SUBSCRIBER_FACT_MOBILE) T
LEFT JOIN  ie-bds_mc2-c2_cust-td_prod_a_dlr_dealer_mrt-01-*.*  T1
on
 T.DLR_DEALER_ID = T1.DLR_DEALER_ID
Step2: populate 
 T1.DLR_DEALER_MARKET</t>
  </si>
  <si>
    <t>chnl_level_1</t>
  </si>
  <si>
    <t>DLR_DEALER_NAME</t>
  </si>
  <si>
    <t>step1: ie-bds_mc2-c2_cust-ie-bds_mc2-c2_cust-td_prod_a_fac_sub_sum_mrt_last_mth-03-(SUBSCRIBER_FACT_MOBILE) T
LEFT JOIN  ie-bds_mc2-c2_cust-td_prod_a_dlr_dealer_mrt-01-*.*  T1
on
 T.DLR_DEALER_ID = T1.DLR_DEALER_ID
Step2: populate 
T1.DLR_DEALER_NAME</t>
  </si>
  <si>
    <t>chnl_level_2</t>
  </si>
  <si>
    <t xml:space="preserve">CASE 	WHEN 	UPPER(CHNL_LEVEL_1) ='DIRECT' 
		THEN 
				CASE 
				WHEN 	UPPER(CHNL_LEVEL_2) ='VF ONLINE SALES' THEN 'DIGITAL'
				WHEN 	UPPER(CHNL_LEVEL_2) IN (	'ARISE',
											'BILLING QA',
											'CAPITA',
											'CONVERGYS',
											'COPS HEAD OFFICE',
											'CVM',
											'SALESENSE',
											'TELEPERFORMANCE',
											'TSAR')
				THEN 'OTHER'
				WHEN 	UPPER(CHNL_LEVEL_2) IN ('VIS OUTBOUND','VSSI') THEN 'TELESALES'
				WHEN 	UPPER(CHNL_LEVEL_2)='RED EDGE' THEN 'VBDS'
				WHEN 	UPPER(CHNL_LEVEL_2)='VIS CARE' THEN 'VF CARE'
				WHEN 	UPPER(CHNL_LEVEL_2)='VF RETAIL' THEN 'VF RETAIL'
				END
		WHEN 	UPPER(CHNL_LEVEL_1) ='INDIRECT' 
		THEN 
				CASE
				WHEN 	UPPER(CHNL_LEVEL_2) IN ('MILLENNIUM COMMUNICATIONS',
												'TOUCHCOM',
												'VMOBILE')
				THEN 	'B2B'
				WHEN 	UPPER(CHNL_LEVEL_2) IN ('C&amp;C',
												'KELCO',
												'KING',
												'KING FOTS',
												'KPC',
												'T2M',
												'TMPS',
												'TPS',
												'WESTERN CELLULAR')
				THEN 	'FRANCHISE PARTNER'
				WHEN 	UPPER(CHNL_LEVEL_2)='IFA' THEN 'IFA AFFINITY'
				WHEN 	UPPER(CHNL_LEVEL_2)='TOTAL TELECOM' THEN 'VBU TELESALES'
				ELSE 'OTHER'
				END
		WHEN 	UPPER	(CHNL_LEVEL_1) IS NULL 
		THEN 	CASE 
				WHEN 	UPPER(CHNL_LEVEL_2)='CARCOM' THEN 'B2B'
				WHEN 	UPPER(CHNL_LEVEL_2)='RED EDGE ACQUISITIONS' THEN 'VBDS'
				ELSE 	'OTHER'
				END
END
</t>
  </si>
  <si>
    <t>chnl_level_3</t>
  </si>
  <si>
    <t>UNKNOWN'</t>
  </si>
  <si>
    <t>chnl_level_4</t>
  </si>
  <si>
    <t>F_RECURRING_REV_AMT</t>
  </si>
  <si>
    <t>f_inbundle_revenue</t>
  </si>
  <si>
    <t>F_USAGE_REV_AMT</t>
  </si>
  <si>
    <t>f_outbundle_revenue</t>
  </si>
  <si>
    <t>F_NTL_VOICE_REV_AMT</t>
  </si>
  <si>
    <t>F_OB_NTL_VOICE_REV</t>
  </si>
  <si>
    <t>F_INTL_VOICE_REV_AMT</t>
  </si>
  <si>
    <t>F_OB_INTL_VOICE_REV</t>
  </si>
  <si>
    <t>F_DATA_REV_AMT</t>
  </si>
  <si>
    <t>F_OB_DATA_REV</t>
  </si>
  <si>
    <t>F_NTL_SMS_REV_AMT</t>
  </si>
  <si>
    <t>F_OB_NTL_SMS_REV</t>
  </si>
  <si>
    <t>F_INTL_SMS_REV_AMT</t>
  </si>
  <si>
    <t>F_OB_INTL_SMS_REV</t>
  </si>
  <si>
    <t>F_ROAMING_VOICE_REV_AMT</t>
  </si>
  <si>
    <t>F_ROAMING_VOICE_REV</t>
  </si>
  <si>
    <t>F_ROAMING_SMS_REV_AMT</t>
  </si>
  <si>
    <t>F_ROAMING_SMS_REV</t>
  </si>
  <si>
    <t>F_ROAMING_DATA_REV_AMT</t>
  </si>
  <si>
    <t>F_ROAMING_DATA_REV</t>
  </si>
  <si>
    <t>F_ONCEOFF_REV_AMT</t>
  </si>
  <si>
    <t>F_ADDL_SERVICE_REV</t>
  </si>
  <si>
    <t>F_DISCOUNT_CST_AMT</t>
  </si>
  <si>
    <t>F_DICOUNT_CST</t>
  </si>
  <si>
    <t>F_ASSIGNED_RC_AMT</t>
  </si>
  <si>
    <t>step1:
ie-bds_mc2-c2_cust-ie-bds_mc2-c2_cust-td_prod_a_fac_sub_sum_mrt_last_mth-03-(SUBSCRIBER_FACT_MOBILE)
Left Join
vf-ie-mc2-nonlive.vfie_mc2_nonlive_ie_lake_mc2_presentation_processed_s.IC_D_PRODUCT_CATALOGUE_IE` pd 
   ON
    UPPER(PD.PRICEPLAN_DESC)=UPPER(T1.PRICEPLAN_DESC)
step2:
populate
pd.charge exclude vat</t>
  </si>
  <si>
    <t>f_maf_amt</t>
  </si>
  <si>
    <t>F_ASSIGNED_RC_AMT,
f_maf_amt</t>
  </si>
  <si>
    <t>case when F_ASSIGNED_RC_AMT= 0 then f_maf_amt
 else f_assigned_rc_amt end</t>
  </si>
  <si>
    <t>f_recurr_revenue_amt</t>
  </si>
  <si>
    <t xml:space="preserve">
Step 1:
ie-bds_mc2-c2_cust-ie-bds_mc2-c2_cust-td_prod_a_fac_sub_sum_mrt_last_mth-03-(SUBSCRIBER_FACT_MOBILE) T
Left Join
ie-bds_mc2-c2_cust-td_prod_a_fac_billed_charges_mrt_lastmth-01*.* T1
on T. SUB_SUBSCRIPTION_CD =T1.SUB_SUBSCRIPTION_CD
AND T.DAT_MONTH_ID =T1.DAT_MONTH_ID
Where T1.ACR_CHARGE_CODE_EXT_CD like 'CPI_%'
 Step 2: Populate sum( T1.F_CHARGE_AMT)
Step 3: if above sum( T1.F_CHARGE_AMT) is null then 0 else sum( T1.F_CHARGE_AMT) end
</t>
  </si>
  <si>
    <t>f_anual_price_adj</t>
  </si>
  <si>
    <t>F_ACTIVE,
F_RECURRING_REV_AMT,
F_ONCEOFF_REV_AMT,
F_USAGE_REV_AMT,
F_USED_DATA,
F_USED_DURATION ,
F_USED_SMS</t>
  </si>
  <si>
    <t xml:space="preserve">Step 1:
case when (((F_RECURRING_REV_AMT+F_ONCEOFF_REV_AMT+F_USAGE_REV_AMT) &gt; 0 or (F_USED_DATA+F_USED_DURATION +F_USED_SMS) &gt;0) AND F_ACTIVE =1) Then 1 else 0 end 
</t>
  </si>
  <si>
    <t>f_active_ind</t>
  </si>
  <si>
    <t>case when ((F_NEW_ACTIVATION +F_PORT_IN) &gt; 0 AND F_ACTIVE =1) Then 1 else 0 end</t>
  </si>
  <si>
    <t>gross_add_rpt_ind</t>
  </si>
  <si>
    <t>case when ACQUIST_RETENTION_IND = ‘R’  then 1 else 0 end</t>
  </si>
  <si>
    <t>retention_rpt_ind</t>
  </si>
  <si>
    <r>
      <t>F_ACTIVE=1 AND CUS_CUSTOMER_SUB_TYPE_GROUP=SME</t>
    </r>
    <r>
      <rPr>
        <strike/>
        <sz val="8"/>
        <rFont val="Vodafone Rg"/>
        <family val="2"/>
      </rPr>
      <t xml:space="preserve"> then check previous month data and if CUS_CUSTOMER_SUB_TYPE_GROUP not SME </t>
    </r>
    <r>
      <rPr>
        <sz val="8"/>
        <rFont val="Vodafone Rg"/>
        <family val="2"/>
      </rPr>
      <t>and  f_prepaid_to_postpaid_migrate &gt; 1 AND F_POSTPAID_TO_PREPAID_MIGRATE&lt;=0   then 1 else o</t>
    </r>
  </si>
  <si>
    <t>migr_in_ind</t>
  </si>
  <si>
    <t>F_ACTIVE=1 AND CUS_CUSTOMER_SUB_TYPE_GROUP NOT SME  then check previous month data( On Current Month sub_subscription_cd_prev = prev.sub_subscription_cd) and if CUS_CUSTOMER_SUB_TYPE_GROUP of previous month is SME and and prev month unitcountable = 1  then 1 else o</t>
  </si>
  <si>
    <t>migr_out_ind</t>
  </si>
  <si>
    <t xml:space="preserve"> Case when (F_ACTIVE = 0 AND (F_VOLUNTARY_DEACTIVATION + F_INVOL_DEACTIVATION + F_PORT_OUT) &gt; 0) then 1 else 0 end</t>
  </si>
  <si>
    <t>net_disconn_rpt_ind</t>
  </si>
  <si>
    <t>case when Acquist_Retention_Ind =’OA’ then  1 else 0 end</t>
  </si>
  <si>
    <t>f_mobile_recontract_ind</t>
  </si>
  <si>
    <t xml:space="preserve">F_ACTIVE
F_NEW_ACTIVATION
F_PORT_IN
F_VOLUNTARY_DEACTIVATION
F_INVOL_DEACTIVATION
F_PORT_OUT
ACQUIST_RETENTION_IND </t>
  </si>
  <si>
    <t xml:space="preserve">CASE
    WHEN ((F_NEW_ACTIVATION &gt;0 OR  F_PORT_IN &gt; 0 ) OR (F_PREPAID_TO_POSTPAID_MIGRATE&gt;0 AND F_POSTPAID_TO_PREPAID_MIGRATE&lt;=0 ))
	AND F_ACTIVE=1 THEN 'INFLOW'
    WHEN ( ACQUIST_RETENTION_IND = 'R'
    AND F_ACTIVE = 1 ) THEN 'RETENTION'
    WHEN ((F_VOLUNTARY_DEACTIVATION + F_INVOL_DEACTIVATION  &gt; 0) OR (F_PORT_OUT &gt; 0) )AND F_ACTIVE=0 THEN 'OUTFLOW'
WHEN migr_out_ind=1 then 'OUTFLOW'
WHEN F_ACTIVE = 1 AND (F_RECURRING_REV_AMT+F_ONCEOFF_REV_AMT + F_USAGE_REV_AMT &gt; 0 OR F_USED_DATA+F_USED_DURATION+F_USED_SMS&gt;0 ) THEN 'BASE'
  ELSE   'NA' END 
</t>
  </si>
  <si>
    <t>transaction_type</t>
  </si>
  <si>
    <t xml:space="preserve">    CASE
    WHEN (F_NEW_ACTIVATION &gt;0 OR  F_PORT_IN &gt; 0 ) AND F_ACTIVE=1 THEN 'GROSS ADD'
	WHEN F_ACTIVE=1 AND (F_PREPAID_TO_POSTPAID_MIGRATE&gt;0 AND F_POSTPAID_TO_PREPAID_MIGRATE&lt;=0 ) THEN 'MIGRATION IN'
    WHEN ( ACQUIST_RETENTION_IND = 'R'
    AND F_ACTIVE = 1 ) THEN 'RETENTION'
    WHEN ((F_VOLUNTARY_DEACTIVATION + F_INVOL_DEACTIVATION  &gt; 0) OR (F_PORT_OUT &gt; 0) )AND F_ACTIVE=0  THEN 'OUTFLOW'
	WHEN MIGR_OUT_IND=1 THEN 'MIGRATION OUT'
WHEN F_ACTIVE = 1 AND (F_RECURRING_REV_AMT+F_ONCEOFF_REV_AMT + F_USAGE_REV_AMT &gt; 0 OR F_USED_DATA+F_USED_DURATION+F_USED_SMS&gt;0 ) THEN 'BASE'
  ELSE   'NA' END 
</t>
  </si>
  <si>
    <t>sub_lifecycle_l1</t>
  </si>
  <si>
    <r>
      <t xml:space="preserve">  CASE
    WHEN F_NEW_ACTIVATION &gt; 0 AND F_ACTIVE=1 THEN 'GROSS ADD'
    WHEN F_PORT_IN &gt; 0  AND F_ACTIVE=1 THEN 'PORT IN'
    WHEN F_ACTIVE=1 AND (F_PREPAID_TO_POSTPAID_MIGRATE&gt;0 AND F_POSTPAID_TO_PREPAID_MIGRATE&lt;=0 ) THEN 'MIGRATION IN'
    WHEN  ( ACQUIST_RETENTION_IND = 'R'
    AND F_ACTIVE = 1 )  THEN 'RETENTION'
    WHEN (F_VOLUNTARY_DEACTIVATION + F_INVOL_DEACTIVATION  &gt; 0) AND F_ACTIVE=0 THEN 'OUTFLOW'
    WHEN (F_PORT_OUT &gt; 0)
  AND F_ACTIVE=0 THEN 'PORT OUT'
    WHEN MIGR_OUT_IND=1 THEN 'MIGRATION OUT'
WHEN F_ACTIVE = 1 AND (F_RECURRING_REV_AMT+F_ONCEOFF_REV_AMT + F_USAGE_REV_AMT &gt; 0 OR F_USED_DATA+F_USED_DURATION+F_USED_SMS&gt;0 ) THEN 'BASE'
  ELSE   'NA' END </t>
    </r>
    <r>
      <rPr>
        <strike/>
        <sz val="8"/>
        <rFont val="Vodafone Rg"/>
        <family val="2"/>
      </rPr>
      <t xml:space="preserve"> 
</t>
    </r>
  </si>
  <si>
    <t>sub_lifecycle_l2</t>
  </si>
  <si>
    <t>unitcountable_ind</t>
  </si>
  <si>
    <t>CUS_ACCOUNT_MANAGER_NAME</t>
  </si>
  <si>
    <t>CUS_ACCOUNT_SALES_MANAGER</t>
  </si>
  <si>
    <t>PLAN_GROUP</t>
  </si>
  <si>
    <t>PRODUCT CATALOG FILE</t>
  </si>
  <si>
    <t xml:space="preserve">step1:
ie-bds_mc2-c2_cust-ie-bds_mc2-c2_cust-td_prod_a_fac_sub_sum_mrt_last_mth-03-(SUBSCRIBER_FACT_MOBILE)
Left Join
vf-ie-mc2-nonlive.vfie_mc2_nonlive_ie_lake_mc2_presentation_processed_s.IC_D_PRODUCT_CATALOGUE_IE` pd 
   ON
    UPPER(PD.PRICEPLAN_DESC)=UPPER(T1.PRICEPLAN_DESC)
step2:
populate
pd.Plan_group
</t>
  </si>
  <si>
    <t>ADR_POSTAL_COUNTY</t>
  </si>
  <si>
    <t>ADDR_TOWN</t>
  </si>
  <si>
    <t>Inflow Channel</t>
  </si>
  <si>
    <t>Step1:Refer TEMP_APP_SUBSCRIBER_IBRO_SRC table and Filter Records for Transaction_type is INFLOW and 
Step 2: If there are more than one row for a subscriber then populate the latest Month row. If only one then populate it</t>
  </si>
  <si>
    <t>temp_app_acq_chnl</t>
  </si>
  <si>
    <t>acq_chnl_lvl_1</t>
  </si>
  <si>
    <t>acq_chnl_lvl_2</t>
  </si>
  <si>
    <t>acq_chnl_lvl_3</t>
  </si>
  <si>
    <t>acq_chnl_lvl_4</t>
  </si>
  <si>
    <t>Retention Channel</t>
  </si>
  <si>
    <t>Step1:Refer TEMP_APP_SUBSCRIBER_IBRO_SRC table aand Filter Records for Transaction_type is RETENTION
Step 2: If there are more than one row for a subscriber then populate the latest Month row. If only one then populate it</t>
  </si>
  <si>
    <t>temp_app_ret_chnl</t>
  </si>
  <si>
    <t>retention_chnl_lvl_1</t>
  </si>
  <si>
    <t>retention_chnl_lvl_2</t>
  </si>
  <si>
    <t>retention_chnl_lvl_3</t>
  </si>
  <si>
    <t>retention_chnl_lvl_4</t>
  </si>
  <si>
    <t>Subsidy Calculation</t>
  </si>
  <si>
    <t>Step 1:</t>
  </si>
  <si>
    <t>From ie-bds_mc2-c2_cust-td_prod_a_ref_fin_adjustment_mrt-01-*.*  filter records for CUS_CUSTOMER_SUB_TYPE_GROUP=SME  for previous month and get F_CHARGE_AMT</t>
  </si>
  <si>
    <t>Step 2:</t>
  </si>
  <si>
    <r>
      <rPr>
        <sz val="8"/>
        <rFont val="Vodafone Rg"/>
        <family val="2"/>
      </rPr>
      <t xml:space="preserve">From TEMP_APP_SUBSCRIBER_IBRO_SRC Join to vf-ie-mc2-nonlive.vfie_mc2_nonlive_ie_lake_mc2_presentation_processed_s.IC_D_PRODUCT_CATALOGUE_IE based on Price Plan table where CUS_CUSTOMER_SUB_TYPE_GROUP= SME and Plan_Group&lt;&gt; MBB for current Month </t>
    </r>
    <r>
      <rPr>
        <sz val="8"/>
        <color theme="1"/>
        <rFont val="Vodafone Rg"/>
        <family val="2"/>
      </rPr>
      <t xml:space="preserve">get the </t>
    </r>
    <r>
      <rPr>
        <b/>
        <sz val="8"/>
        <color theme="1"/>
        <rFont val="Vodafone Rg"/>
        <family val="2"/>
      </rPr>
      <t>cout of subscribers</t>
    </r>
  </si>
  <si>
    <t>Step 3:</t>
  </si>
  <si>
    <t>Step 1/Step 3</t>
  </si>
  <si>
    <t>From Above Query</t>
  </si>
  <si>
    <t>temp_app_subsidy_unit</t>
  </si>
  <si>
    <t>Step 3</t>
  </si>
  <si>
    <t>subsidy_unitry</t>
  </si>
  <si>
    <t>Final Temp Table</t>
  </si>
  <si>
    <t>Join Condition:</t>
  </si>
  <si>
    <t xml:space="preserve">TEMP_APP_SUBSCRIBER_IBRO_SRC 
JOIN TEMP_APP_SUBSCRIBER_IBRO_SRC for previous month BASED ON reporting_month_cd AND SUBSCRIPTION CD
JOIN temp_app_acq_chnl BASED on subscription cd
join temp_app_ret_chnl based on subscription cd
join temp_app_subsidy_unit on reporting_month_cd
Join subsidy calculation sheet on Reporting_month,Transaction_type,CUS_CUSTOMER_SUB_TYPE_DESC
join temp_app_subsidy_unit on reporting_month_cd previous month
Join subsidy calculation sheet on Reporting_month for previous month,Transaction_type,CUS_CUSTOMER_SUB_TYPE_DESC
where (CUS_CUSTOMER_SUB_TYPE_DESC='SME' OR migr_out_ind=1) and SUB_BUNDLE_TYPE_DESC='Mobile'  and Unitcountable_Ind = 1  </t>
  </si>
  <si>
    <t>TEMP_APP_SUBSCRIBER_IBRO_TGT</t>
  </si>
  <si>
    <t>Current Month</t>
  </si>
  <si>
    <t>curr_priceplan</t>
  </si>
  <si>
    <t>TEMP_APP_SUBSCRIBER_IBRO_SRC PREVIOUS MONTH</t>
  </si>
  <si>
    <t>Previous Month</t>
  </si>
  <si>
    <t>prev_priceplan</t>
  </si>
  <si>
    <t>curr_f_inbundle_revenue</t>
  </si>
  <si>
    <t>curr_f_outbundle_revenue</t>
  </si>
  <si>
    <t>curr_F_OB_NTL_VOICE_REV</t>
  </si>
  <si>
    <t>curr_F_OB_INTL_VOICE_REV</t>
  </si>
  <si>
    <t>curr_F_OB_DATA_REV</t>
  </si>
  <si>
    <t>curr_F_OB_NTL_SMS_REV</t>
  </si>
  <si>
    <t>curr_F_OB_INTL_SMS_REV</t>
  </si>
  <si>
    <t>curr_F_ROAMING_VOICE_REV</t>
  </si>
  <si>
    <t>curr_F_ROAMING_SMS_REV</t>
  </si>
  <si>
    <t>curr_F_ROAMING_DATA_REV</t>
  </si>
  <si>
    <t>curr_F_ADDL_SERVICE_REV</t>
  </si>
  <si>
    <t>curr_F_DICOUNT_CST</t>
  </si>
  <si>
    <t>curr_F_ASSIGNED_RC_AMT</t>
  </si>
  <si>
    <t>curr_f_maf_amt</t>
  </si>
  <si>
    <t>curr_f_recurr_revenue_amt</t>
  </si>
  <si>
    <t>curr_f_anual_price_adj</t>
  </si>
  <si>
    <t>prev_f_inbundle_revenue</t>
  </si>
  <si>
    <t>prev_f_outbundle_revenue</t>
  </si>
  <si>
    <t>prev_F_OB_NTL_VOICE_REV</t>
  </si>
  <si>
    <t>prev_F_OB_INTL_VOICE_REV</t>
  </si>
  <si>
    <t>prev_F_OB_DATA_REV</t>
  </si>
  <si>
    <t>prev_F_OB_NTL_SMS_REV</t>
  </si>
  <si>
    <t>prev_F_OB_INTL_SMS_REV</t>
  </si>
  <si>
    <t>prev_F_ROAMING_VOICE_REV</t>
  </si>
  <si>
    <t>prev_F_ROAMING_SMS_REV</t>
  </si>
  <si>
    <t>prev_F_ROAMING_DATA_REV</t>
  </si>
  <si>
    <t>prev_F_ADDL_SERVICE_REV</t>
  </si>
  <si>
    <t>prev_F_DICOUNT_CST</t>
  </si>
  <si>
    <t>prev_F_ASSIGNED_RC_AMT</t>
  </si>
  <si>
    <t>prev_f_maf_amt</t>
  </si>
  <si>
    <t>prev_f_recurr_revenue_amt</t>
  </si>
  <si>
    <t>prev_f_anual_price_adj</t>
  </si>
  <si>
    <r>
      <t xml:space="preserve">Current Month </t>
    </r>
    <r>
      <rPr>
        <sz val="8"/>
        <color rgb="FFFF0000"/>
        <rFont val="Vodafone Rg"/>
        <family val="2"/>
      </rPr>
      <t>and Plan Group &lt;&gt;MBB</t>
    </r>
  </si>
  <si>
    <t>curr_subsidy_unitry</t>
  </si>
  <si>
    <t>temp_app_subsidy_unit  previous month</t>
  </si>
  <si>
    <r>
      <t xml:space="preserve">Previous Month </t>
    </r>
    <r>
      <rPr>
        <sz val="8"/>
        <color rgb="FFFF0000"/>
        <rFont val="Vodafone Rg"/>
        <family val="2"/>
      </rPr>
      <t>and Plan Group &lt;&gt;MBB</t>
    </r>
  </si>
  <si>
    <t>prev_subsidy_unitry</t>
  </si>
  <si>
    <t>subsidy calculation sheet</t>
  </si>
  <si>
    <t>Subsidy_alloc_unitary</t>
  </si>
  <si>
    <t>curr_subsidy_alloc_unitary</t>
  </si>
  <si>
    <t>subsidy calculation sheet previous month</t>
  </si>
  <si>
    <t>prev_subsidy_alloc_unitary</t>
  </si>
  <si>
    <t>Vodafone Buiness IBRO STG table</t>
  </si>
  <si>
    <t>Addional Comment</t>
  </si>
  <si>
    <t>Product</t>
  </si>
  <si>
    <t>DATE</t>
  </si>
  <si>
    <t>Derived</t>
  </si>
  <si>
    <t>stg_app_subscriber_ibro_src_usl</t>
  </si>
  <si>
    <t>date</t>
  </si>
  <si>
    <t>VB IBRO</t>
  </si>
  <si>
    <t>STRING</t>
  </si>
  <si>
    <t>string</t>
  </si>
  <si>
    <t>sub_subscription_cd_prev</t>
  </si>
  <si>
    <t>cus_convergence_type_desc</t>
  </si>
  <si>
    <t>sub_bill_type_ext_cd</t>
  </si>
  <si>
    <t>sub_bundle_type_desc</t>
  </si>
  <si>
    <t>cus_customer_sub_type_group</t>
  </si>
  <si>
    <t>INTEGER</t>
  </si>
  <si>
    <t>integer</t>
  </si>
  <si>
    <t>ie-bds_mc2-c2_cust-ie-bds_mc2-c2_cust-td_prod_a_fac_sub_sum_mrt_last_mth-03-(SUBSCRIBER_FACT_MOBILE) ,
ie-bds_mc2-c2_cust-td_prod_a_dlr_dealer_mrt-01-*.*</t>
  </si>
  <si>
    <t xml:space="preserve">ie-bds_mc2-c2_cust-ie-bds_mc2-c2_cust-td_prod_a_fac_sub_sum_mrt_last_mth-03-(SUBSCRIBER_FACT_MOBILE),
ie-bds_mc2-c2_cust-td_prod_a_dlr_dealer_mrt-01-*.*  </t>
  </si>
  <si>
    <t xml:space="preserve">CASE 	WHEN 	UPPER(CHNL_LEVEL_1) ='DIRECT' _x000D_
		THEN _x000D_
				CASE _x000D_
				WHEN 	UPPER(CHNL_LEVEL_2) ='VF ONLINE SALES' THEN 'DIGITAL'_x000D_
				WHEN 	UPPER(CHNL_LEVEL_2) IN (	'ARISE',_x000D_
											'BILLING QA',_x000D_
											'CAPITA',_x000D_
											'CONVERGYS',_x000D_
											'COPS HEAD OFFICE',_x000D_
											'CVM',_x000D_
											'SALESENSE',_x000D_
											'TELEPERFORMANCE',_x000D_
											'TSAR')_x000D_
				THEN 'OTHER'_x000D_
				WHEN 	UPPER(CHNL_LEVEL_2) IN ('VIS OUTBOUND','VSSI') THEN 'TELESALES'_x000D_
				WHEN 	UPPER(CHNL_LEVEL_2)='RED EDGE' THEN 'VBDS'_x000D_
				WHEN 	UPPER(CHNL_LEVEL_2)='VIS CARE' THEN 'VF CARE'_x000D_
				WHEN 	UPPER(CHNL_LEVEL_2)='VF RETAIL' THEN 'VF RETAIL'_x000D_
				ELSE 	'OTHER'_x000D_
				END_x000D_
		WHEN 	UPPER(CHNL_LEVEL_1) ='INDIRECT' _x000D_
		THEN _x000D_
				CASE_x000D_
				WHEN 	UPPER(CHNL_LEVEL_2) IN ('MILLENNIUM COMMUNICATIONS',_x000D_
												'TOUCHCOM',_x000D_
												'VMOBILE')_x000D_
				THEN 	'B2B'_x000D_
				WHEN 	UPPER(CHNL_LEVEL_2) IN ('C&amp;C',_x000D_
												'KELCO',_x000D_
												'KING',_x000D_
												'KING FOTS',_x000D_
												'KPC',_x000D_
												'T2M',_x000D_
												'TMPS',_x000D_
												'TPS',_x000D_
												'WESTERN CELLULAR')_x000D_
				THEN 	'FRANCHISE PARTNER'_x000D_
				WHEN 	UPPER(CHNL_LEVEL_2)='IFA' THEN 'IFA AFFINITY'_x000D_
				WHEN 	UPPER(CHNL_LEVEL_2)='TOTAL TELECOM' THEN 'VBU TELESALES'_x000D_
				ELSE 'OTHER'_x000D_
				END_x000D_
		_x000D_
		WHEN 	UPPER	(CHNL_LEVEL_1) IS NULL _x000D_
		THEN 	CASE _x000D_
				WHEN 	UPPER(CHNL_LEVEL_2)='CARCOM' THEN 'B2B'_x000D_
				WHEN 	UPPER(CHNL_LEVEL_2)='RED EDGE ACQUISITIONS' THEN 'VBDS'_x000D_
				ELSE 	'OTHER'_x000D_
				END_x000D_
END_x000D_
</t>
  </si>
  <si>
    <t>Default</t>
  </si>
  <si>
    <t>FLOAT</t>
  </si>
  <si>
    <t>float</t>
  </si>
  <si>
    <t>f_ob_ntl_voice_rev</t>
  </si>
  <si>
    <t>f_ob_intl_voice_rev</t>
  </si>
  <si>
    <t>f_ob_data_rev</t>
  </si>
  <si>
    <t>f_ob_ntl_sms_rev</t>
  </si>
  <si>
    <t>f_ob_intl_sms_rev</t>
  </si>
  <si>
    <t>f_roaming_voice_rev</t>
  </si>
  <si>
    <t>f_roaming_sms_rev</t>
  </si>
  <si>
    <t>f_roaming_data_rev</t>
  </si>
  <si>
    <t>f_addl_service_rev</t>
  </si>
  <si>
    <t>f_dicount_cst</t>
  </si>
  <si>
    <t>f_assigned_rc_amt</t>
  </si>
  <si>
    <t>ie-bds_mc2-c2_cust-ie-bds_mc2-c2_cust-td_prod_a_fac_sub_sum_mrt_last_mth-03-(SUBSCRIBER_FACT_MOBILE),
vf-ie-mc2-nonlive.vfie_mc2_nonlive_ie_lake_mc2_presentation_processed_s.IC_D_PRODUCT_CATALOGUE_IE`</t>
  </si>
  <si>
    <t>step1:
ie-bds_mc2-c2_cust-ie-bds_mc2-c2_cust-td_prod_a_fac_sub_sum_mrt_last_mth-03-(SUBSCRIBER_FACT_MOBILE)
Left Join
vf-ie-mc2-nonlive.vfie_mc2_nonlive_ie_lake_mc2_presentation_processed_s.IC_D_PRODUCT_CATALOGUE_IE` pd 
   ON
    UPPER(PD.PRICEPLAN_DESC)=UPPER(T1.PRD_PRODUCT_DESC)
step2:
populate
pd.charge exclude vat</t>
  </si>
  <si>
    <t>case when F_ASSIGNED_RC_AMT= 0 or NULL  then f_maf_amt
 else f_assigned_rc_amt end</t>
  </si>
  <si>
    <t xml:space="preserve">ie-bds_mc2-c2_cust-ie-bds_mc2-c2_cust-td_prod_a_fac_sub_sum_mrt_last_mth-03-(SUBSCRIBER_FACT_MOBILE),
ie-bds_mc2-c2_cust-td_prod_a_fac_billed_charges_mrt_lastmth-01*.* </t>
  </si>
  <si>
    <t>Group by before joining</t>
  </si>
  <si>
    <t>ie-bds_mc2-c2_cust-ie-bds_mc2-c2_cust-td_prod_a_fac_sub_sum_mrt_last_mth-03-(SUBSCRIBER_FACT_MOBILE),
ie-bds_mc2-c2_cust-td_prod_a_fac_billed_charges_mrt_lastmth-01*.*</t>
  </si>
  <si>
    <t>F_ACTIVE=1 AND CUS_CUSTOMER_SUB_TYPE_GROUP=SME and  f_prepaid_to_postpaid_migrate &gt; 1 AND F_POSTPAID_TO_PREPAID_MIGRATE&lt;=0   then 1 else o</t>
  </si>
  <si>
    <r>
      <t xml:space="preserve">CASE
    WHEN ((F_NEW_ACTIVATION &gt;0 OR  F_PORT_IN &gt; 0 ) OR (F_PREPAID_TO_POSTPAID_MIGRATE&gt;0 AND F_POSTPAID_TO_PREPAID_MIGRATE&lt;=0 ))
	AND F_ACTIVE=1 THEN 'INFLOW'
    WHEN ( ACQUIST_RETENTION_IND = 'R'
    AND F_ACTIVE = 1 ) THEN 'RETENTION'
    WHEN ((F_VOLUNTARY_DEACTIVATION + F_INVOL_DEACTIVATION  &gt; 0) OR (F_PORT_OUT &gt; 0) )AND F_ACTIVE=0 THEN 'OUTFLOW'
WHEN migr_out_ind=1 then 'OUTFLOW'
WHEN F_ACTIVE = 1 AND (F_RECURRING_REV_AMT+F_ONCEOFF_REV_AMT + F_USAGE_REV_AMT &gt; 0 OR F_USED_DATA+F_USED_DURATION+F_USED_SMS&gt;0 ) THEN 'BASE'
  ELSE </t>
    </r>
    <r>
      <rPr>
        <b/>
        <sz val="10"/>
        <rFont val="Vodafone Rg"/>
        <family val="2"/>
      </rPr>
      <t xml:space="preserve"> </t>
    </r>
    <r>
      <rPr>
        <b/>
        <strike/>
        <sz val="10"/>
        <color rgb="FFFF0000"/>
        <rFont val="Vodafone Rg"/>
        <family val="2"/>
      </rPr>
      <t>'NA'</t>
    </r>
    <r>
      <rPr>
        <b/>
        <sz val="10"/>
        <rFont val="Vodafone Rg"/>
        <family val="2"/>
      </rPr>
      <t xml:space="preserve">  "BASE" </t>
    </r>
    <r>
      <rPr>
        <sz val="10"/>
        <rFont val="Vodafone Rg"/>
        <family val="2"/>
      </rPr>
      <t xml:space="preserve">END 
</t>
    </r>
  </si>
  <si>
    <r>
      <t xml:space="preserve">  CASE
    WHEN F_NEW_ACTIVATION &gt; 0 AND F_ACTIVE=1 THEN 'GROSS ADD'
    WHEN F_PORT_IN &gt; 0  AND F_ACTIVE=1 THEN 'PORT IN'
    WHEN F_ACTIVE=1 AND (F_PREPAID_TO_POSTPAID_MIGRATE&gt;0 AND F_POSTPAID_TO_PREPAID_MIGRATE&lt;=0 ) THEN 'MIGRATION IN'
    WHEN  ( ACQUIST_RETENTION_IND = 'R'
    AND F_ACTIVE = 1 )  THEN 'RETENTION'
    WHEN (F_VOLUNTARY_DEACTIVATION + F_INVOL_DEACTIVATION  &gt; 0) AND F_ACTIVE=0 THEN 'OUTFLOW'
    WHEN (F_PORT_OUT &gt; 0)
  AND F_ACTIVE=0 THEN 'PORT OUT'
    WHEN MIGR_OUT_IND=1 THEN 'MIGRATION OUT'
WHEN F_ACTIVE = 1 AND (F_RECURRING_REV_AMT+F_ONCEOFF_REV_AMT + F_USAGE_REV_AMT &gt; 0 OR F_USED_DATA+F_USED_DURATION+F_USED_SMS&gt;0 ) THEN 'BASE'
  ELSE   'NA' END </t>
    </r>
    <r>
      <rPr>
        <strike/>
        <sz val="10"/>
        <rFont val="Vodafone Rg"/>
        <family val="2"/>
      </rPr>
      <t xml:space="preserve"> 
</t>
    </r>
  </si>
  <si>
    <t>cus_account_manager_name</t>
  </si>
  <si>
    <t>cus_account_sales_manager</t>
  </si>
  <si>
    <t xml:space="preserve">step1:
ie-bds_mc2-c2_cust-ie-bds_mc2-c2_cust-td_prod_a_fac_sub_sum_mrt_last_mth-03-(SUBSCRIBER_FACT_MOBILE)
Left Join
vf-ie-mc2-nonlive.vfie_mc2_nonlive_ie_lake_mc2_presentation_processed_s.IC_D_PRODUCT_CATALOGUE_IE` pd 
   ON
    UPPER(PD.PRICEPLAN_DESC)=UPPER(T1.PRD_PRODUCT_DESC)
step2:
populate
pd.Plan_group
</t>
  </si>
  <si>
    <t>plan_group</t>
  </si>
  <si>
    <t>adr_postal_county</t>
  </si>
  <si>
    <t>addr_town</t>
  </si>
  <si>
    <t>Vodafone Buiness IBRO Inflow Channel STG</t>
  </si>
  <si>
    <t>Step1:Refer stg_app_subscriber_ibro_src_usl table and Filter Records for Transaction_type is INFLOW and 
Step 2: If there are more than one row for a subscriber then populate the latest Month row. If only one then populate it</t>
  </si>
  <si>
    <t>cus_customer_cd</t>
  </si>
  <si>
    <t>stg_app_acq_chnl_usl</t>
  </si>
  <si>
    <t>sub_subscription_cd</t>
  </si>
  <si>
    <t>Vodafone Buiness IBRO Retention Channel STG</t>
  </si>
  <si>
    <t>Step1:Refer stg_app_subscriber_ibro_src_usl table and Filter Records for Transaction_type is RETENTION
Step 2: If there are more than one row for a subscriber then populate the latest Month row. If only one then populate it</t>
  </si>
  <si>
    <t>stg_app_ret_chnl_usl</t>
  </si>
  <si>
    <t>Vodafone Buiness IBRO Subsidy Calculation STG</t>
  </si>
  <si>
    <t>Step 1:
From stg_app_subscriber_ibro_src_usl left Join to vf-ie-mc2-nonlive.vfie_mc2_nonlive_ie_lake_mc2_presentation_processed_s.IC_D_PRODUCT_CATALOGUE_IE  based on Price Plan  where 
 (CUS_CUSTOMER_SUB_TYPE_GROUP = 'SME' OR migr_out_ind=1) 
    AND sub_bundle_type_desc='Mobile'
    AND Unitcountable_Ind = 1
    AND COALESCE(plan_group,'999') NOT LIKE '%MBB%'
for current Month get the cout of subscribers</t>
  </si>
  <si>
    <r>
      <t xml:space="preserve">Step 3:
</t>
    </r>
    <r>
      <rPr>
        <b/>
        <sz val="10"/>
        <rFont val="Vodafone Rg"/>
        <family val="2"/>
      </rPr>
      <t>Join step1.reporting_month_cd - 1 month and step2.reporting_month_cd and then Step 2/Step 1.
Refer Example Subsidy_unitry sheet.</t>
    </r>
  </si>
  <si>
    <t>step 1. reporting_month_cd</t>
  </si>
  <si>
    <t>stg_app_subsidy_unit_usl</t>
  </si>
  <si>
    <t>NUMBER</t>
  </si>
  <si>
    <t>Vodafone Business IBRO STG Table</t>
  </si>
  <si>
    <t>stg_app_subscriber_ibro_src_usl 
JOIN stg_app_subscriber_ibro_src_usl for previous month BASED ON reporting_month_cd AND SUBSCRIPTION CD
JOIN stg_app_acq_chnl_usl BASED on subscription cd
join stg_app_ret_chnl_usl based on subscription cd
join stg_app_subsidy_unit_usl on reporting_month_cd
Join subsidy calculation sheet on Reporting_month,Transaction_type,CUS_CUSTOMER_SUB_TYPE_DESC
join stg_app_subsidy_unit_usl on reporting_month_cd previous month
Join subsidy calculation sheet on Reporting_month for previous month,Transaction_type,CUS_CUSTOMER_SUB_TYPE_DESC
where (CUS_CUSTOMER_SUB_TYPE_DESC='SME' OR migr_out_ind=1) and SUB_BUNDLE_TYPE_DESC='Mobile'  and Unitcountable_Ind = 1  AND COALESCE(S1.plan_group,'999') NOT LIKE '%MBB%';</t>
  </si>
  <si>
    <t>stg_app_subscriber_ibro_tgt_usl</t>
  </si>
  <si>
    <t>CASE WHEN sub_lifecycle_l1 = 'MIGRATION OUT' AND transaction_type='BASE' THEN 'OUTFLOW' ELSE transaction_type END AS transaction_type</t>
  </si>
  <si>
    <t>stg_app_subscriber_ibro_src_usl PREVIOUS MONTH</t>
  </si>
  <si>
    <t>CASE WHEN sub_lifecycle_l1 = 'NA' THEN 'BASE' ELSE sub_lifecycle_l1</t>
  </si>
  <si>
    <t>CASE WHEN sub_lifecycle_l2 = 'NA' THEN 'BASE' ELSE sub_lifecycle_l2</t>
  </si>
  <si>
    <t>curr_f_ob_ntl_voice_rev</t>
  </si>
  <si>
    <t>curr_f_ob_intl_voice_rev</t>
  </si>
  <si>
    <t>curr_f_ob_data_rev</t>
  </si>
  <si>
    <t>curr_f_ob_ntl_sms_rev</t>
  </si>
  <si>
    <t>curr_f_ob_intl_sms_rev</t>
  </si>
  <si>
    <t>curr_f_roaming_voice_rev</t>
  </si>
  <si>
    <t>curr_f_roaming_sms_rev</t>
  </si>
  <si>
    <t>curr_f_roaming_data_rev</t>
  </si>
  <si>
    <t>curr_f_addl_service_rev</t>
  </si>
  <si>
    <t>curr_f_dicount_cst</t>
  </si>
  <si>
    <t>curr_f_assigned_rc_amt</t>
  </si>
  <si>
    <t>prev_f_ob_ntl_voice_rev</t>
  </si>
  <si>
    <t>prev_f_ob_intl_voice_rev</t>
  </si>
  <si>
    <t>prev_f_ob_data_rev</t>
  </si>
  <si>
    <t>prev_f_ob_ntl_sms_rev</t>
  </si>
  <si>
    <t>prev_f_ob_intl_sms_rev</t>
  </si>
  <si>
    <t>prev_f_roaming_voice_rev</t>
  </si>
  <si>
    <t>prev_f_roaming_sms_rev</t>
  </si>
  <si>
    <t>prev_f_roaming_data_rev</t>
  </si>
  <si>
    <t>prev_f_addl_service_rev</t>
  </si>
  <si>
    <t>prev_f_dicount_cst</t>
  </si>
  <si>
    <t>prev_f_assigned_rc_amt</t>
  </si>
  <si>
    <t>Number</t>
  </si>
  <si>
    <r>
      <t xml:space="preserve">Current Month </t>
    </r>
    <r>
      <rPr>
        <sz val="10"/>
        <color rgb="FFFF0000"/>
        <rFont val="Vodafone Rg"/>
        <family val="2"/>
      </rPr>
      <t>and Plan Group &lt;&gt;MBB</t>
    </r>
  </si>
  <si>
    <t>stg_app_subsidy_unit_usl  previous month</t>
  </si>
  <si>
    <r>
      <t xml:space="preserve">Previous Month </t>
    </r>
    <r>
      <rPr>
        <sz val="10"/>
        <color rgb="FFFF0000"/>
        <rFont val="Vodafone Rg"/>
        <family val="2"/>
      </rPr>
      <t>and Plan Group &lt;&gt;MBB</t>
    </r>
  </si>
  <si>
    <t>subsidy_alloc_unitary</t>
  </si>
  <si>
    <t>If Transaction Type=' Base' Then 1 else 0 end</t>
  </si>
  <si>
    <t>is_in_ibro_base</t>
  </si>
  <si>
    <t>Conract IBRO - Inflow, Retention and Outflow Stage Table</t>
  </si>
  <si>
    <r>
      <rPr>
        <strike/>
        <sz val="10"/>
        <color rgb="FF000000"/>
        <rFont val="Vodafone Rg"/>
        <family val="2"/>
      </rPr>
      <t xml:space="preserve">
</t>
    </r>
    <r>
      <rPr>
        <sz val="10"/>
        <color rgb="FF000000"/>
        <rFont val="Vodafone Rg"/>
        <family val="2"/>
      </rPr>
      <t xml:space="preserve">All Before KPI values will be 0 for INFLOW. All After KPI values will be 0 for OUTFLOW. Inflow and Outflow to be determined based on transaction type column.
Before KPI = Column name contains 'Before' and it is a measure columns i.e non string.
After KPI = Column name contains 'After' and it is a measure columns i.e non string.
This BLOCK is for INFLOW, RETENTION and OUTFLOW
</t>
    </r>
  </si>
  <si>
    <t>Note: Perform aggregations mentioned in comments section of respective column name before joining to avoid duplicate values on following tables:
CPA_MOBILE_R_IR_CPA_DISCOUNT
CPA_MOBILE_R_IR_CPA_CREDIT_DTLD
IC_D_PRODUCT_CATALOGUE_IE</t>
  </si>
  <si>
    <t>JOIN LOGIC : Code BLOCK for IRO (Actual)
from `vf-ie-mc2-nonlive.vfie_mc2_nonlive_ie_lake_mc2_presentation_processed_s.CPA_MOBILE_R_IR_CPA_PNL_DTLD` A 
 JOIN `vf-ie-mc2-nonlive.vfie_mc2_nonlive_ie_lake_mc2_presentation_processed_s.CPA_MOBILE_R_IR_CPA_PNL_DTLD` B 
ON A.SUB_SUBSCRIPTION_CD = B.SUB_SUBSCRIPTION_CD AND
date_sub (parse_date ('%Y%m', cast (A.REPORTING_MONTH_CD as string)), INTERVAL 1 MONTH) = parse_date('%Y%m', cast (B.REPORTING_MONTH_CD as string))
LEFT JOIN `vf-ie-mc2-nonlive.vfie_mc2_nonlive_ie_lake_mc2_presentation_processed_s.CPA_MOBILE_R_IR_CPA_DISCOUNT` DA
ON A.SUB_SUBSCRIPTION_CD = DA.SUB_SUBSCRIPTION_CD and A.DAT_MONTH_ID = DA.DAT_MONTH_ID  --after DISCOUNT
LEFT JOIN `vf-ie-mc2-nonlive.vfie_mc2_nonlive_ie_lake_mc2_presentation_processed_s.CPA_MOBILE_R_IR_CPA_DISCOUNT` DB
ON B.SUB_SUBSCRIPTION_CD = DB.SUB_SUBSCRIPTION_CD and B.DAT_MONTH_ID = DB.DAT_MONTH_ID  --before DISCOUNT
LEFT JOIN `vf-ie-mc2-nonlive.vfie_mc2_nonlive_ie_lake_mc2_presentation_processed_s.CPA_MOBILE_R_IR_CPA_CREDIT_DTLD` CA --after CREDIT
ON A.DAT_MONTH_ID = CA.DAT_MONTH_ID and A.SUB_SUBSCRIPTION_CD = CA.SUB_SUBSCRIPTION_CD
LEFT JOIN `vf-ie-mc2-nonlive.vfie_mc2_nonlive_ie_lake_mc2_presentation_processed_s.CPA_MOBILE_R_IR_CPA_CREDIT_DTLD` CB --before CREDIT
ON B.DAT_MONTH_ID = CB.DAT_MONTH_ID and B.SUB_SUBSCRIPTION_CD = CB.SUB_SUBSCRIPTION_CD
LEFT JOIN `vf-ie-mc2-nonlive.vfie_mc2_nonlive_ie_lake_mc2_presentation_processed_s.IC_D_PRODUCT_CATALOGUE_IE` PA --after PROD
ON A.PRICEPLAN_DESC = PA.PRICEPLAN_DESC
LEFT JOIN `vf-ie-mc2-nonlive.vfie_mc2_nonlive_ie_lake_mc2_presentation_processed_s.IC_D_PRODUCT_CATALOGUE_IE` PB --before PROD
ON B.PRICEPLAN_DESC = PB.PRICEPLAN_DESC</t>
  </si>
  <si>
    <t>SRC TABLE NAME</t>
  </si>
  <si>
    <t>SRC COLUMN NAME</t>
  </si>
  <si>
    <t>TRANSFORMATION RULE</t>
  </si>
  <si>
    <t>TARGET TABLE NAME</t>
  </si>
  <si>
    <t>TARGET COLUMN NAME</t>
  </si>
  <si>
    <t>GROUP BY Columns</t>
  </si>
  <si>
    <t>TARGET COLUMN DATATYPE</t>
  </si>
  <si>
    <t>COMMENTS</t>
  </si>
  <si>
    <t>Populate as "ACTUAL"</t>
  </si>
  <si>
    <t>stg_ibro_01_base_usl</t>
  </si>
  <si>
    <t>scenario_type</t>
  </si>
  <si>
    <t>VARCHAR2(255 BYTE)</t>
  </si>
  <si>
    <t>Contract IBRO</t>
  </si>
  <si>
    <t>CPA_MOBILE_R_IR_CPA_PNL_DTLD</t>
  </si>
  <si>
    <t xml:space="preserve">DAT_MONTH_ID </t>
  </si>
  <si>
    <t xml:space="preserve">DAT_MONTH_ID||01  </t>
  </si>
  <si>
    <t>reporting_date_cd</t>
  </si>
  <si>
    <t>Date</t>
  </si>
  <si>
    <t>TRANSACTION_TYPE</t>
  </si>
  <si>
    <t>IF TRANSACTION_TYPE = 'OUTFLOW', 'Disconnected', ELSE  'Active'</t>
  </si>
  <si>
    <t>subs_status_cd</t>
  </si>
  <si>
    <t xml:space="preserve">Direct </t>
  </si>
  <si>
    <t>cust_market_segment_grp_desc</t>
  </si>
  <si>
    <t>ACT_TENURE</t>
  </si>
  <si>
    <t>act_tenure_bucket</t>
  </si>
  <si>
    <t>IF (TRANSACTION_TYPE = 'OUTFLOW',
      ( IF  (F_VOL_DEACTIVATION &lt;&gt; '0',
          'Voluntary',
          'Involuntary')),  '')</t>
  </si>
  <si>
    <t>churn_type_ldesc</t>
  </si>
  <si>
    <t>Populate NULL</t>
  </si>
  <si>
    <t>cust_prim_addr_region</t>
  </si>
  <si>
    <t>COUNTY</t>
  </si>
  <si>
    <t>cust_prim_addr_territory</t>
  </si>
  <si>
    <t>CUS_CONVERGENCE_TYPE_DESC of same subscriber from previous month</t>
  </si>
  <si>
    <t>before_product_type_desc</t>
  </si>
  <si>
    <t xml:space="preserve">CUS_CONVERGENCE_TYPE_DESC of current month </t>
  </si>
  <si>
    <t>after_product_type_desc</t>
  </si>
  <si>
    <t xml:space="preserve">CUS_CUSTOMER_SUB_TYPE_DESC of same subscriber from previous month </t>
  </si>
  <si>
    <t>before_cus_customer_sub_type_desc</t>
  </si>
  <si>
    <t xml:space="preserve">CUS_CUSTOMER_SUB_TYPE_DESC of current month </t>
  </si>
  <si>
    <t>after_cus_customer_sub_type_desc</t>
  </si>
  <si>
    <t>DEVICE_MODEL</t>
  </si>
  <si>
    <t xml:space="preserve">DEVICE_MODEL of current month </t>
  </si>
  <si>
    <t>device_model</t>
  </si>
  <si>
    <t>PORT_OUT</t>
  </si>
  <si>
    <t>port_out</t>
  </si>
  <si>
    <t>D_PRODUCT_CATALOGUE_IE</t>
  </si>
  <si>
    <t>TYPE</t>
  </si>
  <si>
    <t xml:space="preserve">TYPE from SRC_PRODUCT_CATALOGUE_IE. Join based on PRICEPLAN_DESC PRICEPLAN_DESC of same subscriber from previous month. </t>
  </si>
  <si>
    <t>before_subs_subsidy_type_desc</t>
  </si>
  <si>
    <t xml:space="preserve">TYPE from SRC_PRODUCT_CATALOGUE_IE. Join based on PRICEPLAN_DESC of current month. </t>
  </si>
  <si>
    <t>after_subs_subsidy_type_desc</t>
  </si>
  <si>
    <t>CASE
      WHEN F_PREPAID_TO_POSTPAID_MIGRATE = 1 AND F_POSTPAID_TO_PREPAID_MIGRATE = 0 THEN 'Migration In'
Else If MIGRATION_OUT_CONSUMER_IND &gt;0 OR MIGRATION_OUT_SOHO_IND &gt; 0 then 'Migration Out'
    ELSE
    TRANSACTION_TYPE
  END</t>
  </si>
  <si>
    <t>subs_lifecycle_l1_desc</t>
  </si>
  <si>
    <t>CASE
      WHEN F_PREPAID_TO_POSTPAID_MIGRATE = 1 AND F_POSTPAID_TO_PREPAID_MIGRATE = 0 THEN 'Migration In'
Else If MIGRATION_OUT_CONSUMER_IND &gt;0 OR MIGRATION_OUT_SOHO_IND &gt; 0 then 'Migration Out'
Else if TRANSACTION_TYPE=inflow and f_port_in=1 then 'Port In'
else if TRANSACTION_TYPE=inflow and f_port_in !=1 then 'Activation'
Else if TRANSACTION_TYPE=outflow and f_port_out=1 then 'Port Out'
else if TRANSACTION_TYPE=outflow and f_port_out !=1 then 'Deactivation'
    ELSE
    TRANSACTION_TYPE
  END</t>
  </si>
  <si>
    <t>subs_lifecycle_l2_desc</t>
  </si>
  <si>
    <t>CHNL_LEVEL_1, CHNL_LEVEL_2</t>
  </si>
  <si>
    <t xml:space="preserve">If CHNL_LEVEL_1 is null then CHNL_LEVEL_2 else first letter of CHNL_LEVEL_1 || '-' || CHNL_LEVEL_2.
If both CHNL_LEVEL_1 and CHNL_LEVEL_2 as null then Just populate NA. If both CHNL_LEVEL_1 and CHNL_LEVEL_2 are being populated as NA then just populate NA.
 </t>
  </si>
  <si>
    <t>sale_chnl</t>
  </si>
  <si>
    <t>CONTRACT_TENURE</t>
  </si>
  <si>
    <t xml:space="preserve">CONTRACT_TENURE from SRC_PRODUCT_CATALOGUE_IE. Join based on PRICEPLAN_DESC.
 </t>
  </si>
  <si>
    <t>contract_duration</t>
  </si>
  <si>
    <t>before_offer_num</t>
  </si>
  <si>
    <t>B.PRICEPLAN_DESC</t>
  </si>
  <si>
    <t>IF MIGRATION_OUT_CONSUMER_IND &gt;0 OR MIGRATION_OUT_SOHO_IND &gt; 0 THEN A.PRICEPLAN_DESC_BEFORE
ELSE B.PRICEPLAN_DESC</t>
  </si>
  <si>
    <t>before_offer_desc</t>
  </si>
  <si>
    <t>PRICEPLAN_DESC</t>
  </si>
  <si>
    <t xml:space="preserve">PRICEPLAN_DESC of same subscriber from previous month  </t>
  </si>
  <si>
    <t>before_offer_hier_level_2_desc</t>
  </si>
  <si>
    <t xml:space="preserve">PLAN_GROUP from SRC_PRODUCT_CATALOGUE_IE. Join based on PRICEPLAN_DESC PRICEPLAN_DESC of same subscriber from previous month.  </t>
  </si>
  <si>
    <t>before_offer_hier_level_3_desc</t>
  </si>
  <si>
    <t>after_offer_num</t>
  </si>
  <si>
    <t xml:space="preserve">PRICEPLAN_DESC of current month   </t>
  </si>
  <si>
    <t>after_offer_desc</t>
  </si>
  <si>
    <t>after_offer_hier_level_2_desc</t>
  </si>
  <si>
    <t>CPA_MOBILE_R_IR_CPA_PNL_DTLD, IC_D_PRODUCT_CATALOGUE_IE Join  based on PRICEPLAN_DESC</t>
  </si>
  <si>
    <t xml:space="preserve">PLAN_GROUP from SRC_PRODUCT_CATALOGUE_IE. Join based on PRICEPLAN_DESC of current month. </t>
  </si>
  <si>
    <t>after_offer_hier_level_3_desc</t>
  </si>
  <si>
    <t xml:space="preserve"> Refere AFTER_TOTAL_REVENUE column logic from stg_ibro_01_base_usl table</t>
  </si>
  <si>
    <t xml:space="preserve">If AFTER_TOTAL_REVENUE &lt; 20.34 then LOW   
else if AFTER_TOTAL_REVENUE &gt;= 20.34 and AFTER_TOTAL_REVENUE &lt; 48.79 then MEDIUM
else HIGH
 </t>
  </si>
  <si>
    <t>value_segment_type</t>
  </si>
  <si>
    <t>DEVICE_TYPE_MANUFACTURER</t>
  </si>
  <si>
    <t xml:space="preserve">Direct  </t>
  </si>
  <si>
    <t>device_type_manufacturer</t>
  </si>
  <si>
    <t>consumer_segment_ldesc</t>
  </si>
  <si>
    <t xml:space="preserve">CPA_MOBILE_R_IR_CPA_PNL_DTLD
</t>
  </si>
  <si>
    <t xml:space="preserve"> Refere AFTER_REVENUE_INBUNDLE column logic from stg_ibro_01_base_usl table</t>
  </si>
  <si>
    <t>CASE WHEN UPPER(TRANSACTION_TYPE) = 'RETENTION' 
 THEN 
  CASE 
   WHEN (NVL(AFTER_REVENUE_INBUNDLE,0))&gt;NVL(BEFORE_REVENUE_INBUNDLE,0) THEN 'UPGRADE'
   WHEN (NVL(AFTER_REVENUE_INBUNDLE,0))&lt;NVL(BEFORE_REVENUE_INBUNDLE,0) THEN 'DOWNGRADE'
   WHEN (NVL(AFTER_REVENUE_INBUNDLE,0))=NVL(BEFORE_REVENUE_INBUNDLE,0) THEN 'NEUTRAL'
  END
END 
FLAG_PP_MOVEMENT</t>
  </si>
  <si>
    <t>flag_pp_movement</t>
  </si>
  <si>
    <t>transaction_service_subgroup</t>
  </si>
  <si>
    <t>flag_convergent_cust</t>
  </si>
  <si>
    <t xml:space="preserve">CPA_MOBILE_R_IR_CPA_PNL_DTLD, IC_D_PRODUCT_CATALOGUE_IE Join  based on PRICEPLAN_DESC
</t>
  </si>
  <si>
    <t>PLAN_GROUP , Refer BEFORE_OFFER_DESC logic from target table</t>
  </si>
  <si>
    <t xml:space="preserve">when UPPER (B.cus_customer_sub_type_desc) NOT in ('SH56','SHOS','SHO','SHDI')
then 
        case
          when PB.PLAN_GROUP in ('Other')  then  150/24
          when PB.PLAN_GROUP in ('Red Unlimited') then 450/24
          when PB.PLAN_GROUP in ('RED Unlimited Max')  then 600/24
          when PB.PLAN_GROUP in ('Red Unlimited Lite')   then 250/24
          else 0                                                                                                                                                                                   
when UPPER (B.cus_customer_sub_type_desc) IN ('SH56','SHOS','SHO','SHDI') and UPPER(BEFORE_OFFER_DESC) like '%BUS%'
then 
        case
          when PB.PLAN_GROUP in ('Other')  then 200/24
          when PB.PLAN_GROUP in ('Red Unlimited')  then 500/24
          when PB.PLAN_GROUP in ('RED Unlimited Max')  then 650/24
          when PB.PLAN_GROUP in ('Red Unlimited Lite') then 300/24
          else 0
when UPPER (B.cus_customer_sub_type_desc) IN ('SH56','SHOS','SHO','SHDI') 
then
        case
          when PB.PLAN_GROUP in ('Other')  then 150/24
          when PB.PLAN_GROUP in ('Red Unlimited')   then 450/24
          when PB.PLAN_GROUP in ('RED Unlimited Max') then 600/24
          when PB.PLAN_GROUP in ('Red Unlimited Lite')  then 250/24
          else 0                                                                                                                                                                                   </t>
  </si>
  <si>
    <t>before_subsidy</t>
  </si>
  <si>
    <t>B.cus_customer_sub_type_desc, PB.PLAN_GROUP</t>
  </si>
  <si>
    <t xml:space="preserve">CPA_MOBILE_R_IR_CPA_PNL_DTLD, IC_D_PRODUCT_CATALOGUE_IE Join  based on PRICEPLAN_DESC
</t>
  </si>
  <si>
    <t xml:space="preserve">
DISC_EXCLUD_VAT,Refer BEFORE_OFFER_DESC logic from target table</t>
  </si>
  <si>
    <t>Join with D_PRODUCT_CATALOGUE_IE based on PRICEPLAN_DESC &amp; BEFORE_OFFER_DESC and TYPE='SIMO' AND CPA_MOBILE_R_IR_CPA_PNL_DTLD.CONTRACT_TENURE&lt;DISCOUNT_PERIOD THEN DISC_EXCLUD_VAT</t>
  </si>
  <si>
    <t>before_discount</t>
  </si>
  <si>
    <t>CHARGE_EXCLUD_VAT ,Refer BEFORE_OFFER_DESC logic from target table</t>
  </si>
  <si>
    <t>Join with D_PRODUCT_CATALOGUE_IE based on PRICEPLAN_DESC &amp; BEFORE_OFFER_DESC and obtain CHARGE_EXCLUD_VAT. If value obtained is NULL then populate 25.</t>
  </si>
  <si>
    <t>before_revenue_inbundle</t>
  </si>
  <si>
    <t xml:space="preserve">CPA_MOBILE_R_IR_CPA_PNL_DTLD
</t>
  </si>
  <si>
    <t>F_INSURANCE_REV</t>
  </si>
  <si>
    <r>
      <t>Direct.</t>
    </r>
    <r>
      <rPr>
        <strike/>
        <sz val="10"/>
        <color rgb="FFFF0000"/>
        <rFont val="Vodafone Rg"/>
        <family val="2"/>
      </rPr>
      <t xml:space="preserve"> </t>
    </r>
    <r>
      <rPr>
        <sz val="10"/>
        <rFont val="Vodafone Rg"/>
        <family val="2"/>
      </rPr>
      <t>populate F_INSURANCE_REV from CPA_MOBILE_R_IR_CPA_PNL_DTLD for previous month.</t>
    </r>
  </si>
  <si>
    <t>before_revenue_insurance</t>
  </si>
  <si>
    <t>BEFORE_REVENUE_OUTBUNDLE-BEFORE_REVENUE_OUTBUNDLE_RMG</t>
  </si>
  <si>
    <t>before_revenue_outbundle_na_in</t>
  </si>
  <si>
    <t>F_ROAMING_VOICE_REV 
F_ROAMING_SMS_REV 
F_ROAMING_DATA_REV</t>
  </si>
  <si>
    <r>
      <t>Direct.</t>
    </r>
    <r>
      <rPr>
        <strike/>
        <sz val="10"/>
        <rFont val="Vodafone Rg"/>
        <family val="2"/>
      </rPr>
      <t xml:space="preserve"> </t>
    </r>
    <r>
      <rPr>
        <sz val="10"/>
        <rFont val="Vodafone Rg"/>
        <family val="2"/>
      </rPr>
      <t>populate F_ROAMING_VOICE_REV + F_ROAMING_SMS_REV + F_ROAMING_DATA_REV from CPA_MOBILE_R_IR_CPA_PNL_DTLD for previous month.</t>
    </r>
  </si>
  <si>
    <t>before_revenue_outbundle_rmg</t>
  </si>
  <si>
    <t>F_OUTBUNDLE_REV</t>
  </si>
  <si>
    <r>
      <t>Direct.</t>
    </r>
    <r>
      <rPr>
        <strike/>
        <sz val="10"/>
        <color rgb="FFFF0000"/>
        <rFont val="Vodafone Rg"/>
        <family val="2"/>
      </rPr>
      <t xml:space="preserve"> </t>
    </r>
    <r>
      <rPr>
        <sz val="10"/>
        <rFont val="Vodafone Rg"/>
        <family val="2"/>
      </rPr>
      <t xml:space="preserve"> populate F_OUTBUNDLE_REV from CPA_MOBILE_R_IR_CPA_PNL_DTLD for previous month.</t>
    </r>
  </si>
  <si>
    <t>before_revenue_outbundle</t>
  </si>
  <si>
    <t>BEFORE_REVENUE_INBUNDLE + BEFORE_REVENUE_INSURANCE + BEFORE_REVENUE_OUTBUNDLE</t>
  </si>
  <si>
    <t>before_total_revenue</t>
  </si>
  <si>
    <t>F_INCOMING_REV</t>
  </si>
  <si>
    <r>
      <t>Direct.</t>
    </r>
    <r>
      <rPr>
        <strike/>
        <sz val="10"/>
        <color rgb="FFFF0000"/>
        <rFont val="Vodafone Rg"/>
        <family val="2"/>
      </rPr>
      <t xml:space="preserve"> </t>
    </r>
    <r>
      <rPr>
        <sz val="10"/>
        <rFont val="Vodafone Rg"/>
        <family val="2"/>
      </rPr>
      <t>populate F_INCOMING_REV from CPA_MOBILE_R_IR_CPA_PNL_DTLD for previous month.</t>
    </r>
  </si>
  <si>
    <t>before_revenue_incoming</t>
  </si>
  <si>
    <t>Obtain SIMO_DEVICE_IND from CPA_MOBILE_R_IR_CPA_PNL_DTLD related to PRICEPLAN_DESC of same subscriber from previous month. If SIMO_DEVICE_IND='S' then ((BEFORE_REVENUE_INBUNDLE+BEFORE_REVENUE_OUTBUNDLE)*5.5)/100 else ((BEFORE_REVENUE_INBUNDLE+BEFORE_REVENUE_OUTBUNDLE)*8)/100</t>
  </si>
  <si>
    <t>before_credit</t>
  </si>
  <si>
    <t>Populate 0</t>
  </si>
  <si>
    <t>before_cost_na_in</t>
  </si>
  <si>
    <t>before_cost_roa</t>
  </si>
  <si>
    <t>F_IC_NTL_CST
F_IC_INTL_CST</t>
  </si>
  <si>
    <t xml:space="preserve"> F_IC_NTL_CST+ F_IC_INTL_CST   of same subscriber from previous month</t>
  </si>
  <si>
    <t>before_cost</t>
  </si>
  <si>
    <t>populate 0</t>
  </si>
  <si>
    <t>before_margin</t>
  </si>
  <si>
    <t>before_revenue_rata_wo_tva</t>
  </si>
  <si>
    <t>AFTER_SUBSCR_COUNT</t>
  </si>
  <si>
    <t>Count of SUB_SUBSCRIPTION_CD</t>
  </si>
  <si>
    <t>after_subscr_count</t>
  </si>
  <si>
    <t>CPA_MOBILE_R_IR_CPA_PNL_DTLD, IC_D_PRODUCT_CATALOGUE_IE Join  based on PRICEPLAN_DESC
Join same table for after_offer_desc</t>
  </si>
  <si>
    <t xml:space="preserve">
PLAN_GROUP , Refer after_offer_desc logic from target table</t>
  </si>
  <si>
    <t xml:space="preserve">when UPPER (A.cus_customer_sub_type_desc) NOT in ('SH56','SHOS','SHO','SHDI')
then 
        case
          when PA.PLAN_GROUP in ('Other')  then 150/24
          when PA.PLAN_GROUP in ('Red Unlimited')   then 450/24
          when PA.PLAN_GROUP in ('RED Unlimited Max') then 600/24
          when PA.PLAN_GROUP in ('Red Unlimited Lite')  then 250/24
          else 0                                                                                                                                                                                   
when UPPER (A.cus_customer_sub_type_desc) IN ('SH56','SHOS','SHO','SHDI') and UPPER(AFTER_OFFER_DESC) like '%BUS%'
then 
        case
          when PA.PLAN_GROUP in ('Other')  then 200/24
          when PA.PLAN_GROUP in ('Red Unlimited')  then 500/24
          when PA.PLAN_GROUP in ('RED Unlimited Max')  then 650/24
          when PA.PLAN_GROUP in ('Red Unlimited Lite') then 300/24
          else 0
when UPPER (A.cus_customer_sub_type_desc) IN ('SH56','SHOS','SHO','SHDI') 
then
        case
          when PA.PLAN_GROUP in ('Other')  then 150/24
          when PA.PLAN_GROUP in ('Red Unlimited')   then 450/24
          when PA.PLAN_GROUP in ('RED Unlimited Max') then 600/24
          when PA.PLAN_GROUP in ('Red Unlimited Lite')  then 250/24
          else 0                                                                                                                                                                                   </t>
  </si>
  <si>
    <t>after_subsidy</t>
  </si>
  <si>
    <t>A.cus_customer_sub_type_desc, PA.PLAN_GROUP</t>
  </si>
  <si>
    <t>DISC_EXCLUD_VAT , Refer after_offer_desc logic from target table</t>
  </si>
  <si>
    <t>Join with D_PRODUCT_CATALOGUE_IE based on PRICEPLAN_DESC &amp; AFTER_OFFER_DESC and TYPE='SIMO' AND CPA_MOBILE_R_IR_CPA_PNL_DTLD.CONTRACT_TENURE&lt;DISCOUNT_PERIOD THEN DISC_EXCLUD_VAT</t>
  </si>
  <si>
    <t>after_discount</t>
  </si>
  <si>
    <t>CHARGE_EXCLUD_VAT</t>
  </si>
  <si>
    <t>Join with D_PRODUCT_CATALOGUE_IE based on PRICEPLAN_DESC &amp; AFTER_OFFER_DESC and obtain  CHARGE_EXCLUD_VAT. If value obtained is NULL then populate 25.</t>
  </si>
  <si>
    <t>after_revenue_inbundle</t>
  </si>
  <si>
    <t>Direct. populate F_INSURANCE_REV from CPA_MOBILE_R_IR_CPA_PNL_DTLD for current month.</t>
  </si>
  <si>
    <t>after_revenue_insurance</t>
  </si>
  <si>
    <t>AFTER_REVENUE_OUTBUNDLE-AFTER_REVENUE_OUTBUNDLE_RMG</t>
  </si>
  <si>
    <t>after_revenue_outbundle_na_in</t>
  </si>
  <si>
    <r>
      <t>Direct</t>
    </r>
    <r>
      <rPr>
        <strike/>
        <sz val="10"/>
        <color theme="1"/>
        <rFont val="Vodafone Rg"/>
        <family val="2"/>
      </rPr>
      <t xml:space="preserve">. </t>
    </r>
    <r>
      <rPr>
        <sz val="10"/>
        <color rgb="FFFF0000"/>
        <rFont val="Vodafone Rg"/>
        <family val="2"/>
      </rPr>
      <t xml:space="preserve"> </t>
    </r>
    <r>
      <rPr>
        <sz val="10"/>
        <color theme="1"/>
        <rFont val="Vodafone Rg"/>
        <family val="2"/>
      </rPr>
      <t>populate F_ROAMING_VOICE_REV + F_ROAMING_SMS_REV + F_ROAMING_DATA_REV from CPA_MOBILE_R_IR_CPA_PNL_DTLD for CURRENT month.</t>
    </r>
  </si>
  <si>
    <t>after_revenue_outbundle_rmg</t>
  </si>
  <si>
    <r>
      <t xml:space="preserve">Direct. </t>
    </r>
    <r>
      <rPr>
        <sz val="10"/>
        <color rgb="FFFF0000"/>
        <rFont val="Vodafone Rg"/>
        <family val="2"/>
      </rPr>
      <t xml:space="preserve"> </t>
    </r>
    <r>
      <rPr>
        <sz val="10"/>
        <color theme="1"/>
        <rFont val="Vodafone Rg"/>
        <family val="2"/>
      </rPr>
      <t>populate F_OUTBUNDLE_REV from CPA_MOBILE_R_IR_CPA_PNL_DTLD for current month.</t>
    </r>
  </si>
  <si>
    <t>after_revenue_outbundle</t>
  </si>
  <si>
    <t>AFTER_REVENUE_INBUNDLE + AFTER_REVENUE_INSURANCE + AFTER_REVENUE_OUTBUNDLE</t>
  </si>
  <si>
    <t>after_total_revenue</t>
  </si>
  <si>
    <t>Direct. populate F_INCOMING_REV from CPA_MOBILE_R_IR_CPA_PNL_DTLD for current month.</t>
  </si>
  <si>
    <t>after_revenue_incoming</t>
  </si>
  <si>
    <t>Obtain SIMO_DEVICE_IND from CPA_MOBILE_R_IR_CPA_PNL_DTLD related to PRICEPLAN_DESC of same subscriber from current month. If SIMO_DEVICE_IND='S' then ((AFTER_REVENUE_INBUNDLE+AFTER_REVENUE_OUTBUNDLE)*5.5)/100 else ((AFTER_REVENUE_INBUNDLE+AFTER_REVENUE_OUTBUNDLE)*8)/100</t>
  </si>
  <si>
    <t>after_credit</t>
  </si>
  <si>
    <t>after_cost_na_in</t>
  </si>
  <si>
    <t>after_cost_roa</t>
  </si>
  <si>
    <t xml:space="preserve">F_IC_NTL_CST + F_IC_INTL_CST </t>
  </si>
  <si>
    <t>after_cost</t>
  </si>
  <si>
    <t>after_margin</t>
  </si>
  <si>
    <t>after_reported_rev</t>
  </si>
  <si>
    <t>after_revenue_rata_wo_tva</t>
  </si>
  <si>
    <t>ar_upfront</t>
  </si>
  <si>
    <t>AFTER_SUBSIDY - BEFORE_SUBSIDY</t>
  </si>
  <si>
    <t>delta_subsidy</t>
  </si>
  <si>
    <t>AFTER_DISCOUNT - Before Discount</t>
  </si>
  <si>
    <t>delta_discount</t>
  </si>
  <si>
    <t>AFTER_REVENUE_INBUNDLE - BEFORE_REVENUE_INBUNDLE</t>
  </si>
  <si>
    <t>delta_revenue_inbundle</t>
  </si>
  <si>
    <t>AFTER_REVENUE_OUTBUNDLE_NA_IN - BEFORE_REVENUE_OUTBUNDLE_NA_IN</t>
  </si>
  <si>
    <t>delta_revenue_outbundle_na_in</t>
  </si>
  <si>
    <t>AFTER_REVENUE_OUTBUNDLE_RMG - BEFORE_REVENUE_OUTBUNDLE_RMG</t>
  </si>
  <si>
    <t>delta_revenue_outbundle_rmg</t>
  </si>
  <si>
    <t>AFTER_REVENUE_OUTBUNDLE - BEFORE_REVENUE_OUTBUNDLE</t>
  </si>
  <si>
    <t>delta_revenue_outbundle</t>
  </si>
  <si>
    <t>AFTER_TOTAL_REVENUE - BEFORE_TOTAL_REVENUE</t>
  </si>
  <si>
    <t>delta_total_revenue</t>
  </si>
  <si>
    <t>AFTER_REVENUE_INCOMING - BEFORE_REVENUE_INCOMING</t>
  </si>
  <si>
    <t>delta_revenue_incoming</t>
  </si>
  <si>
    <t>AFTER_CREDIT - BEFORE_CREDIT</t>
  </si>
  <si>
    <t>delta_credit</t>
  </si>
  <si>
    <t>delta_cost_na_in</t>
  </si>
  <si>
    <t>delta_cost_roa</t>
  </si>
  <si>
    <t>AFTER_COST - BEFORE_COST</t>
  </si>
  <si>
    <t>delta_cost</t>
  </si>
  <si>
    <t>AFTER_MARGIN - BEFORE_MARGIN</t>
  </si>
  <si>
    <t>delta_margin</t>
  </si>
  <si>
    <t>AFTER_REPORTED_REV</t>
  </si>
  <si>
    <t>delta_reported_rev</t>
  </si>
  <si>
    <t>delta_revenue_rata_wo_tva</t>
  </si>
  <si>
    <t>AFTER_REVENUE_INSURANCE-BEFORE_REVENUE_INSURANCE</t>
  </si>
  <si>
    <t>delta_revenue_insurance</t>
  </si>
  <si>
    <t>There is one delta field missing</t>
  </si>
  <si>
    <t xml:space="preserve">  CPA_MOBILE_R_IR_CPA_PNL_DTLD` </t>
  </si>
  <si>
    <t>CLEAR_FLAG</t>
  </si>
  <si>
    <t>clear_flag</t>
  </si>
  <si>
    <t>CPA_MOBILE_R_IR_CPA_DISCOUNT, CPA_MOBILE_R_IR_CPA_PNL_DTLD</t>
  </si>
  <si>
    <t>ACR_CHARGE_CODE_EXT_CD, F_CHARGE_AMT</t>
  </si>
  <si>
    <t xml:space="preserve">when DB.ACR_CHARGE_CODE_EXT_CD LIKE 'CPI_%' 
    then 
      case 
        when DB.F_CHARGE_AMT is null
          then 0
        else DB.F_CHARGE_AMT
      end
Note: Apply filter condition : WHERE DB.ACR_CHARGE_CODE_EXT_CD LIKE 'CPI_%' </t>
  </si>
  <si>
    <t>before_annual_price_adj</t>
  </si>
  <si>
    <t>DB.ACR_CHARGE_CODE_EXT_CD, DB.F_CHARGE_AMT</t>
  </si>
  <si>
    <t xml:space="preserve">NOTE: before populating this column, AGGR at the SUBSCRIBER level and REPORTING DATE level
Aggregate before joining
Add WHERE filter 
</t>
  </si>
  <si>
    <t>when DA.ACR_CHARGE_CODE_EXT_CD LIKE 'CPI_%' 
      then 
        case 
          when DA.F_CHARGE_AMT is null
            then 0
          else DA.F_CHARGE_AMT
        end
Note: Apply filter condition : WHERE DA.ACR_CHARGE_CODE_EXT_CD LIKE 'CPI_%'</t>
  </si>
  <si>
    <t xml:space="preserve">after_annual_price_adj </t>
  </si>
  <si>
    <t>DA.ACR_CHARGE_CODE_EXT_CD, DA.F_CHARGE_AMT</t>
  </si>
  <si>
    <t>BLL_CHARGE_DESC, NET_CREDIT_AMT</t>
  </si>
  <si>
    <t>when CB.BLL_CHARGE_DESC LIKE '%Red Family Mobile discount%' OR CB.BLL_CHARGE_DESC LIKE '%Red Family discount%'
      then 
        case
          when (CB.NET_CREDIT_AMT) is null
            then 0
          else CB.NET_CREDIT_AMT
        end
Note: Apply filter condition : WHERE CB.BLL_CHARGE_DESC LIKE '%Red Family Mobile discount%' OR CB.BLL_CHARGE_DESC LIKE '%Red Family discount%'</t>
  </si>
  <si>
    <t>before_fmly_discount</t>
  </si>
  <si>
    <t>CB.BLL_CHARGE_DESC, CB.NET_CREDIT_AMT</t>
  </si>
  <si>
    <t>CPA_MOBILE_R_IR_CPA_PNL_DTLD, CPA_MOBILE_R_IR_CPA_CREDIT_DTLD</t>
  </si>
  <si>
    <t>when CA.BLL_CHARGE_DESC LIKE '%Red Family Mobile discount%' OR CA.BLL_CHARGE_DESC LIKE '%Red Family discount%'
      then 
        case
          when (CA.NET_CREDIT_AMT) is null
            then 0
          else CA.NET_CREDIT_AMT
        end
Note: Apply filter condition : WHERE  CA.BLL_CHARGE_DESC LIKE '%Red Family Mobile discount%' OR CA.BLL_CHARGE_DESC LIKE '%Red Family discount%'</t>
  </si>
  <si>
    <t>after_fmly_discount</t>
  </si>
  <si>
    <t>CA.BLL_CHARGE_DESC, CA.NET_CREDIT_AMT</t>
  </si>
  <si>
    <t>BEFORE_ANNUAL_PRICE_ADJ</t>
  </si>
  <si>
    <t>if BEFORE_ANNUAL_PRICE_ADJ &gt; 0
    then 1
  else 0</t>
  </si>
  <si>
    <t>before_annual_price_adj_ind</t>
  </si>
  <si>
    <t>AFTER_ANNUAL_PRICE_ADJ</t>
  </si>
  <si>
    <t>if AFTER_ANNUAL_PRICE_ADJ &gt; 0
    then 1
  else 0</t>
  </si>
  <si>
    <t>after_annual_price_adj_ind</t>
  </si>
  <si>
    <t xml:space="preserve">when CB.BLL_CHARGE_DESC LIKE 'IFA%'
    then 
      case
        when CB.NET_CREDIT_AMT is null
          then 0
        else CB.NET_CREDIT_AMT 
      end
Note: Apply filter condition : WHERE  CB.BLL_CHARGE_DESC LIKE 'IFA%'
</t>
  </si>
  <si>
    <t>before_total_ifa_disc_chrg</t>
  </si>
  <si>
    <t>when CA.BLL_CHARGE_DESC LIKE 'IFA%'
    then 
      case
        when CA.NET_CREDIT_AMT is null
          then 0
        else CA.NET_CREDIT_AMT 
      end
Note: Apply filter condition : WHERE CA.BLL_CHARGE_DESC LIKE 'IFA%'</t>
  </si>
  <si>
    <t>after_total_ifa_disc_chrg</t>
  </si>
  <si>
    <t>CPA_MOBILE_R_IR_CPA_PNL_DTLD, CPA_MOBILE_R_IR_CPA_DISCOUNT</t>
  </si>
  <si>
    <t>ACR_CHARGE_CODE_DESC, F_CHARGE_AMT</t>
  </si>
  <si>
    <r>
      <t xml:space="preserve">when UPPER(DB.ACR_CHARGE_CODE_DESC) LIKE '%MULTI-LINE%' 
     then 
      case 
        when DB.F_CHARGE_AMT is null
          then 0
        else </t>
    </r>
    <r>
      <rPr>
        <b/>
        <sz val="10"/>
        <color theme="1"/>
        <rFont val="Vodafone Rg"/>
        <family val="2"/>
      </rPr>
      <t>(</t>
    </r>
    <r>
      <rPr>
        <sz val="10"/>
        <color theme="1"/>
        <rFont val="Vodafone Rg"/>
        <family val="2"/>
      </rPr>
      <t xml:space="preserve">DB.F_CHARGE_AMT)
      end
Note: Apply filter condition : WHERE  UPPER(DB.ACR_CHARGE_CODE_DESC) LIKE '%MULTI-LINE%' </t>
    </r>
  </si>
  <si>
    <t>before_total_multi_line_disc_chrg</t>
  </si>
  <si>
    <t>DB.ACR_CHARGE_CODE_DESC, DB.F_CHARGE_AMT</t>
  </si>
  <si>
    <t xml:space="preserve">NOTE: before populating this column, AGGR at the SUBSCRIBER level and REPORTING DATE level
Aggregate before joining
Add WHERE filter 
Note : Please use ABS after aggreagting
</t>
  </si>
  <si>
    <r>
      <t xml:space="preserve">when UPPER (DA.ACR_CHARGE_CODE_DESC) LIKE '%MULTI-LINE%' 
      then 
        CASE
          when DA.F_CHARGE_AMT is null
            then 0
          else </t>
    </r>
    <r>
      <rPr>
        <b/>
        <sz val="10"/>
        <color theme="1"/>
        <rFont val="Vodafone Rg"/>
        <family val="2"/>
      </rPr>
      <t>(</t>
    </r>
    <r>
      <rPr>
        <sz val="10"/>
        <color theme="1"/>
        <rFont val="Vodafone Rg"/>
        <family val="2"/>
      </rPr>
      <t xml:space="preserve">DA.F_CHARGE_AMT)
        end
 UPPER (DA.ACR_CHARGE_CODE_DESC) LIKE '%MULTI-LINE%' 
Note: Apply filter condition : WHERE UPPER (DA.ACR_CHARGE_CODE_DESC) LIKE '%MULTI-LINE%' </t>
    </r>
  </si>
  <si>
    <t>after_total_multi_line_disc_chrg</t>
  </si>
  <si>
    <t>DA.ACR_CHARGE_CODE_DESC, DA.F_CHARGE_AMT</t>
  </si>
  <si>
    <t>BEFORE_TOTAL_IFA_DISC_CHRG, BEFORE_TOTAL_MULTI_LINE_DISC_CHRG</t>
  </si>
  <si>
    <t>BEFORE_TOTAL_IFA_DISC_CHRG + BEFORE_TOTAL_MULTI_LINE_DISC_CHRG</t>
  </si>
  <si>
    <t>before_soho_discount</t>
  </si>
  <si>
    <t>AFTER_TOTAL_IFA_DISC_CHRG, AFTER_TOTAL_MULTI_LINE_DISC_CHRG</t>
  </si>
  <si>
    <t>AFTER_TOTAL_IFA_DISC_CHRG + AFTER_TOTAL_MULTI_LINE_DISC_CHRG</t>
  </si>
  <si>
    <t>after_soho_discount</t>
  </si>
  <si>
    <t>Change STM code</t>
  </si>
  <si>
    <t>before_s15_adjustment</t>
  </si>
  <si>
    <t>after_s15_adjustment</t>
  </si>
  <si>
    <t>ACQUIST_RETENTION_IND</t>
  </si>
  <si>
    <t xml:space="preserve">Note : Please Derive ACQUIST_RETENTION_IND_BEFORE in Layer 1, from ACQUIST_RETENTION_IND found in latest PNL table, here (AFTER_REVENUE_INBUNDLE) - (BEFORE_REVENUE_INBUNDLE) = DELTA_REVENUE_INBUNDLE                           case
    when ACQUIST_RETENTION_IND_BEFORE ='OA' 
      then (cast (AFTER_REVENUE_INBUNDLE as INT64) - cast (BEFORE_REVENUE_INBUNDLE as INT64)) 
    else 0  </t>
  </si>
  <si>
    <t>beforee_re_contract</t>
  </si>
  <si>
    <t xml:space="preserve">Note : Please Derive ACQUIST_RETENTION_IND_AFTER in Layer 1, from ACQUIST_RETENTION_IND found in latest PNL table, here (AFTER_REVENUE_INBUNDLE) - (BEFORE_REVENUE_INBUNDLE) = DELTA_REVENUE_INBUNDLE                        case
    when ACQUIST_RETENTION_IND_AFTER ='OA' 
      then (cast (AFTER_REVENUE_INBUNDLE as INT64) - cast (BEFORE_REVENUE_INBUNDLE as INT64)) 
    else 0  </t>
  </si>
  <si>
    <t>after_re_contract</t>
  </si>
  <si>
    <t>AFTER_ANNUAL_PRICE_ADJ, BEFORE_ANNUAL_PRICE_ADJ</t>
  </si>
  <si>
    <t>AFTER_ANNUAL_PRICE_ADJ - BEFORE_ANNUAL_PRICE_ADJ</t>
  </si>
  <si>
    <t>delta_annual_price_adj</t>
  </si>
  <si>
    <t>AFTER_FMLY_DISCOUNT, BEFORE_FMLY_DISCOUNT</t>
  </si>
  <si>
    <t>AFTER_FMLY_DISCOUNT - BEFORE_FMLY_DISCOUNT</t>
  </si>
  <si>
    <t>delta_fmly_discount</t>
  </si>
  <si>
    <t>AFTER_TOTAL_IFA_DISC_CHRG, BEFORE_TOTAL_IFA_DISC_CHRG</t>
  </si>
  <si>
    <t>AFTER_TOTAL_IFA_DISC_CHRG - BEFORE_TOTAL_IFA_DISC_CHRG</t>
  </si>
  <si>
    <t>delta_total_ifa_disc_chrg</t>
  </si>
  <si>
    <t>AFTER_TOTAL_MULTI_LINE_DISC_CHRG, BEFORE_TOTAL_MULTI_LINE_DISC_CHRG</t>
  </si>
  <si>
    <t>AFTER_TOTAL_MULTI_LINE_DISC_CHRG - BEFORE_TOTAL_MULTI_LINE_DISC_CHRG</t>
  </si>
  <si>
    <t>delta_total_multi_line_disc_chrg</t>
  </si>
  <si>
    <t>AFTER_SOHO_DISCOUNT, BEFORE_SOHO_DISCOUNT</t>
  </si>
  <si>
    <t>AFTER_SOHO_DISCOUNT - BEFORE_SOHO_DISCOUNT</t>
  </si>
  <si>
    <t>delta_soho_discount</t>
  </si>
  <si>
    <t>AFTER_S15_ADJUSTMENT, BEFORE_S15_ADJUSTMENT</t>
  </si>
  <si>
    <t>AFTER_S15_ADJUSTMENT - BEFORE_S15_ADJUSTMENT</t>
  </si>
  <si>
    <t>delta_s15_adjustment</t>
  </si>
  <si>
    <t>AFTER_RE_CONTRACT, BEFOREE_RE_CONTRACT</t>
  </si>
  <si>
    <t>AFTER_RE_CONTRACT - BEFORE_RE_CONTRACT</t>
  </si>
  <si>
    <t>delta_re_contract</t>
  </si>
  <si>
    <t>SUB_SERVICE_PROVIDER_DESC</t>
  </si>
  <si>
    <t>sub_service_provider_desc</t>
  </si>
  <si>
    <t>UNITCOUNTABLE_IND</t>
  </si>
  <si>
    <t>F_NEW_ACTIVATION</t>
  </si>
  <si>
    <t>f_new_activation</t>
  </si>
  <si>
    <t>F_ACTIVE_SRC</t>
  </si>
  <si>
    <t>f_active_src</t>
  </si>
  <si>
    <t>Conract IBRO - Base Stage Table</t>
  </si>
  <si>
    <t xml:space="preserve">
This BLOCK is for BASE
All Before KPI values will be 0 for INFLOW. All After KPI values will be 0 for OUTFLOW.
Before KPI = Column name contains 'Before' and it is a measure columns i.e non string.
After KPI = Column name contains 'After' and it is a measure columns i.e non string.</t>
  </si>
  <si>
    <r>
      <rPr>
        <b/>
        <sz val="10"/>
        <color theme="1"/>
        <rFont val="Vodafone Rg"/>
        <family val="2"/>
      </rPr>
      <t>JOIN LOGIC : (for Including BASE)</t>
    </r>
    <r>
      <rPr>
        <sz val="10"/>
        <color theme="1"/>
        <rFont val="Vodafone Rg"/>
        <family val="2"/>
      </rPr>
      <t xml:space="preserve">
from `vf-ie-mc2-nonlive.vfie_mc2_nonlive_ie_lake_mc2_presentation_processed_s.CPA_MOBILE_R_IR_CPA_PNL_DTLD` A --after PNL
 JOIN `vf-ie-mc2-nonlive.vfie_mc2_nonlive_ie_lake_mc2_presentation_processed_s.CPA_MOBILE_R_IR_CPA_PNL_DTLD` B --before PNL
ON A.SUB_SUBSCRIPTION_CD = B.SUB_SUBSCRIPTION_CD AND
date_sub (parse_date ('%Y%m', cast (A.DAT_MONTH_ID as string)), INTERVAL 1 MONTH) = parse_date('%Y%m', cast (B.DAT_MONTH_ID as string))
LEFT JOIN `vf-ie-mc2-nonlive.vfie_mc2_nonlive_ie_lake_mc2_presentation_processed_s.CPA_MOBILE_R_IR_CPA_DISCOUNT` DA
ON A.SUB_SUBSCRIPTION_CD = DA.SUB_SUBSCRIPTION_CD and A.DAT_MONTH_ID = DA.DAT_MONTH_ID  --after DISCOUNT
LEFT JOIN `vf-ie-mc2-nonlive.vfie_mc2_nonlive_ie_lake_mc2_presentation_processed_s.CPA_MOBILE_R_IR_CPA_DISCOUNT` DB
ON B.SUB_SUBSCRIPTION_CD = DB.SUB_SUBSCRIPTION_CD and B.DAT_MONTH_ID = DB.DAT_MONTH_ID  --before DISCOUNT
LEFT JOIN `vf-ie-mc2-nonlive.vfie_mc2_nonlive_ie_lake_mc2_presentation_processed_s.CPA_MOBILE_R_IR_CPA_CREDIT_DTLD` CA --after CREDIT
ON A.DAT_MONTH_ID = CA.DAT_MONTH_ID and A.SUB_SUBSCRIPTION_CD = CA.SUB_SUBSCRIPTION_CD
LEFT JOIN `vf-ie-mc2-nonlive.vfie_mc2_nonlive_ie_lake_mc2_presentation_processed_s.CPA_MOBILE_R_IR_CPA_CREDIT_DTLD` CB --before CREDIT
ON B.DAT_MONTH_ID = CB.DAT_MONTH_ID and B.SUB_SUBSCRIPTION_CD = CB.SUB_SUBSCRIPTION_CD
LEFT JOIN `vf-ie-mc2-nonlive.vfie_mc2_nonlive_ie_lake_mc2_presentation_processed_s.IC_D_PRODUCT_CATALOGUE_IE` PA --after PROD
ON A.PRICEPLAN_DESC = PA.PRICEPLAN_DESC
LEFT JOIN `vf-ie-mc2-nonlive.vfie_mc2_nonlive_ie_lake_mc2_presentation_processed_s.IC_D_PRODUCT_CATALOGUE_IE` PB --before PROD
ON B.PRICEPLAN_DESC = PB.PRICEPLAN_DESC</t>
    </r>
  </si>
  <si>
    <t>Refer The Family Discount Sheet for Requirment</t>
  </si>
  <si>
    <t>For Base Including the Subscriber Cd</t>
  </si>
  <si>
    <t>For Current month Put Filter in CPA_MOBILE_R_IR_CPA_PNL_DTLD for Transaction type as 'BASE'
AND F_ACTIVE='1'
AND (UPPER(PRICEPLAN_DESC) NOT LIKE '%BROADBAND BACKUP%','%TELEMETRY%', ’TEBTEXT%’) 
AND   SUB_BUNDLE_TYPE_DESC ='Mobile'</t>
  </si>
  <si>
    <t>"ACTUAL"</t>
  </si>
  <si>
    <t>stg_ibro_01_base_usl.TRANSACTION_TYPE=OUTFLOW THEN Disconnected else Active</t>
  </si>
  <si>
    <t>TRANSACTION_TYPE,
F_VOLUNTARY_DEACTIVATION</t>
  </si>
  <si>
    <t>Null</t>
  </si>
  <si>
    <t>IF F_PREPAID_TO_POSTPAID_MIGRATE&gt;0 and AFTER_CUS_CUSTOMER_SUB_TYPE_DESC IN ('SH56','SHDI','SHO','SHOS','SOHO')    then ‘INFLOW’
If F_POSTPAID_TO_PREPAID_MIGRATE &gt;0  and AFTER_CUS_CUSTOMER_SUB_TYPE_DESC IN ('SH56','SHDI','SHO','SHOS','SOHO')   THEN ‘OUTFLOW’
ELSE TRANSACTION_TYPE</t>
  </si>
  <si>
    <t>If  MIGRATION_OUT_CONSUMER_IND &gt;0 OR MIGRATION_OUT_SOHO_IND &gt; 0 then  'Migration Out' 
IF F_PREPAID_TO_POSTPAID_MIGRATE&gt; 0 and AFTER_CUS_CUSTOMER_SUB_TYPE_DESC IN ('SH56','SHDI','SHO','SHOS','SOHO')   THEN 'Migration In'
If F_POSTPAID_TO_PREPAID_MIGRATE &gt;0  and AFTER_CUS_CUSTOMER_SUB_TYPE_DESC IN ('SH56','SHDI','SHO','SHOS','SOHO')    then  'Migration Out'
else TRANSACTION_TYPE</t>
  </si>
  <si>
    <t>If  MIGRATION_OUT_CONSUMER_IND &gt;0 OR MIGRATION_OUT_SOHO_IND &gt; 0 then  'Migration Out' 
F_PREPAID_TO_POSTPAID_MIGRATE&gt; 0 and AFTER_CUS_CUSTOMER_SUB_TYPE_DESC IN ('SH56','SHDI','SHO','SHOS','SOHO')   THEN 'Migration In'
If F_POSTPAID_TO_PREPAID_MIGRATE &gt;0  and AFTER_CUS_CUSTOMER_SUB_TYPE_DESC IN ('SH56','SHDI','SHO','SHOS','SOHO')    then  'Migration Out'
else TRANSACTION_TYPE</t>
  </si>
  <si>
    <t xml:space="preserve">If CHNL_LEVEL_1 is null then CHNL_LEVEL_2 else first letter of CHNL_LEVEL_1 || '-' || CHNL_LEVEL_2
 </t>
  </si>
  <si>
    <t>Refer after_total_revenue logic from target table</t>
  </si>
  <si>
    <t xml:space="preserve">SUB_BUNDLE_TYPE_DESC </t>
  </si>
  <si>
    <t>, Refer after_inbundle_revenue logic from target table</t>
  </si>
  <si>
    <t>CASE WHEN UPPER(stg_ibro_01_base_usl.TRANSACTION_TYPE) = 'RETENTION' 
 THEN 
  CASE 
   WHEN (NVL(AFTER_REVENUE_INBUNDLE,0))&gt;NVL(BEFORE_REVENUE_INBUNDLE,0) THEN 'UPGRADE'
   WHEN (NVL(AFTER_REVENUE_INBUNDLE,0))&lt;NVL(BEFORE_REVENUE_INBUNDLE,0) THEN 'DOWNGRADE'
   WHEN (NVL(AFTER_REVENUE_INBUNDLE,0))=NVL(BEFORE_REVENUE_INBUNDLE,0) THEN 'NEUTRAL'
  END
END 
FLAG_PP_MOVEMENT</t>
  </si>
  <si>
    <t>CPA_MOBILE_R_IR_CPA_PNL_DTLD, IC_D_PRODUCT_CATALOGUE_IE</t>
  </si>
  <si>
    <t>PLAN_GROUP, Refer before_offer_desc logic from target table</t>
  </si>
  <si>
    <t>CPA_MOBILE_R_IR_CPA_PNL_DTLD, 
CPA_MOBILE_R_IR_CPA_DISCOUNT</t>
  </si>
  <si>
    <t>ACR_CHARGE_CODE_DESC,
 F_CHARGE_AMT</t>
  </si>
  <si>
    <t xml:space="preserve">
WHEN stg_ibro_01_base_usl.TRANSACTION_TYPE = BASE THEN 
(
when UPPER(DB. ACR_CHARGE_CODE_EXT_CD) in ('DISC_RDSMUNL10', 'DISC_RDSMUNMX10')
     then 
      case 
        when DB.F_CHARGE_AMT is null
          then 0
        else DB.F_CHARGE_AMT
      end
Note: Apply filter condition : WHERE  UPPER(DB. ACR_CHARGE_CODE_EXT_CD) in ('DISC_RDSMUNL10', 'DISC_RDSMUNMX10')
)
WHEN stg_ibro_01_base_usl.TRANSACTION_TYPE &lt;&gt; BASE THEN 
(
Join with D_PRODUCT_CATALOGUE_IE based on PRICEPLAN_DESC &amp; BEFORE_OFFER_DESC and TYPE='SIMO' AND CONTRACT_TENURE&lt;DISCOUNT_PERIOD THEN DISC_EXCLUD_VAT
)</t>
  </si>
  <si>
    <t xml:space="preserve">NOTE: before populating this column, AGGR at the SUBSCRIBER level and REPORTING DATE level
Aggregate before joining
Add WHERE filter </t>
  </si>
  <si>
    <t xml:space="preserve">Join with D_PRODUCT_CATALOGUE_IE based on PRICEPLAN_DESC &amp; BEFORE_OFFER_DESC of same subscriber from previous month and obtain  CHARGE_EXCLUD_VAT. If value obtained is NULL then populate 25.  </t>
  </si>
  <si>
    <t>F_INSURANCE_REV of same subscriber from previous month</t>
  </si>
  <si>
    <t>F_ROAMING_VOICE_REV + F_ROAMING_SMS_REV + F_ROAMING_DATA_REV of same subscriber from previous month</t>
  </si>
  <si>
    <t>F_OUTBUNDLE_REV of same subscriber from previous month</t>
  </si>
  <si>
    <t>F_INCOMING_REV of same subscriber from previous month</t>
  </si>
  <si>
    <t xml:space="preserve">Obtain SIMO_DEVICE_IND from CPA_MOBILE_R_IR_CPA_PNL_DTLDrelated to PRICEPLAN_DESC of same subscriber from previous month. If SIMO_DEVICE_IND='S' then ((BEFORE_REVENUE_INBUNDLE+BEFORE_REVENUE_OUTBUNDLE)*5.5)/100 else ((BEFORE_REVENUE_INBUNDLE+BEFORE_REVENUE_OUTBUNDLE)*8)/100
 </t>
  </si>
  <si>
    <t xml:space="preserve">
PLAN_GROUP, Refer after_offer_desc logic from target table</t>
  </si>
  <si>
    <t xml:space="preserve">when UPPER (A.cus_customer_sub_type_desc) NOT in ('SH56','SHOS','SHO','SHDI')
then 
        case
          when PA.PLAN_GROUP in ('Other')  then 150/24
          when PA.PLAN_GROUP in ('Red Unlimited')   then 450/24
          when PA.PLAN_GROUP in ('RED Unlimited Max') then 600/24
          when PA.PLAN_GROUP in ('Red Unlimited Lite')  then 250/24
          else 0                                                                                                                                                                                   
when UPPER (A.cus_customer_sub_type_desc) IN ('SH56','SHOS','SHO','SHDI') and UPPER(AFTER_OFFER_DESC) like '%BUS%'
then 
        case
          when PA.PLAN_GROUP in ('Other')  then 200/24
          when PA.PLAN_GROUP in ('Red Unlimited')  then 500/24
          when PA.PLAN_GROUP in ('RED Unlimited Max')  then 650/24
          when PA.PLAN_GROUP in ('Red Unlimited Lite') then 300/24
          else 0
when UPPER (A.cus_customer_sub_type_desc) IN ('SH56','SHOS','SHO','SHDI') 
then
        case
          when PA.PLAN_GROUP in ('Other')  then 150/24
          when PA.PLAN_GROUP in ('Red Unlimited')   then 450/24
          when PA.PLAN_GROUP in ('RED Unlimited Max') then 600/24
          when PA.PLAN_GROUP in ('Red Unlimited Lite')  then 250/24
          else 0                          </t>
  </si>
  <si>
    <t xml:space="preserve">
WHEN stg_ibro_01_base_usl.TRANSACTION_TYPE = BASE THEN 
(
when UPPER(DA. ACR_CHARGE_CODE_EXT_CD) in ('DISC_RDSMUNL10', 'DISC_RDSMUNMX10')
     then 
      case 
        when DA.F_CHARGE_AMT is null
          then 0
        else DA.F_CHARGE_AMT
      end
Note: Apply filter condition : WHERE  UPPER(DA. ACR_CHARGE_CODE_EXT_CD) in ('DISC_RDSMUNL10', 'DISC_RDSMUNMX10')
)
WHEN stg_ibro_01_base_usl.TRANSACTION_TYPE &lt;&gt; BASE THEN 
(
Join with D_PRODUCT_CATALOGUE_IE based on PRICEPLAN_DESC &amp; AFTER_OFFER_DESC and TYPE='SIMO' AND CONTRACT_TENURE&lt;DISCOUNT_PERIOD THEN DISC_EXCLUD_VAT
)</t>
  </si>
  <si>
    <t>F_ROAMING_VOICE_REV + F_ROAMING_SMS_REV + F_ROAMING_DATA_REV</t>
  </si>
  <si>
    <t>AFTER_REVENUE_INBUNDLE + AFTER_REVENUE_INSURANCE +  AFTER_REVENUE_OUTBUNDLE</t>
  </si>
  <si>
    <t>Obtain SIMO_DEVICE_IND from CPA_MOBILE_R_IR_CPA_PNL_DTLDrelated to PRICEPLAN_DESC of same subscriber from current month. If SIMO_DEVICE_IND='S' then ((AFTER_REVENUE_INBUNDLE+AFTER_REVENUE_OUTBUNDLE)*5.5)/100 else ((AFTER_REVENUE_INBUNDLE+AFTER_REVENUE_OUTBUNDLE)*8)/100</t>
  </si>
  <si>
    <t xml:space="preserve"> F_IC_NTL_CST+ F_IC_INTL_CST  </t>
  </si>
  <si>
    <t xml:space="preserve"> </t>
  </si>
  <si>
    <t xml:space="preserve">when UPPER(DB.ACR_CHARGE_CODE_DESC) LIKE '%MULTI-LINE%' 
     then 
      case 
        when DB.F_CHARGE_AMT is null
          then 0
        else (DB.F_CHARGE_AMT)
      end
Note: Apply filter condition : WHERE  UPPER(DB.ACR_CHARGE_CODE_DESC) LIKE '%MULTI-LINE%' </t>
  </si>
  <si>
    <t>Refer as per logic explained in S15 ADJUSTMENT EXAMPLE sheet.</t>
  </si>
  <si>
    <t>dependent</t>
  </si>
  <si>
    <t>Profitabilty Store STG Table</t>
  </si>
  <si>
    <t>Source table</t>
  </si>
  <si>
    <t>source column</t>
  </si>
  <si>
    <t>source Column Data Type</t>
  </si>
  <si>
    <t>Target Column Business Name</t>
  </si>
  <si>
    <t>GBD_IE_CPA_PNL_STORE</t>
  </si>
  <si>
    <t>REPORTING_DATE</t>
  </si>
  <si>
    <t>DIRECT</t>
  </si>
  <si>
    <t>stg_gbd_ie_cpa_pnl_store</t>
  </si>
  <si>
    <t>reporting_date</t>
  </si>
  <si>
    <t>CPA PNL STORE</t>
  </si>
  <si>
    <t>F_POSTPAID_TO_PREPAID_MIGRATE</t>
  </si>
  <si>
    <t>f_postpaid_to_prepaid_migrate</t>
  </si>
  <si>
    <t xml:space="preserve">GBD_IE_CPA_PNL_STORE ,
VW_CPA_MOBILE_R_IR_CPA_PNL_DTL   Join based on REPORTING_DATE , SUB_SUBSCRIPTION_CD , CUS_CUSTOMER_CD </t>
  </si>
  <si>
    <t>CUS_CUSTOMER_SUB_TYPE_DESC_BEFORE</t>
  </si>
  <si>
    <t>cus_customer_sub_type_desc_before</t>
  </si>
  <si>
    <t>F_AMORT_COMMISSION_CST_1_Q</t>
  </si>
  <si>
    <t>f_amort_commission_cst_1_q_gbd</t>
  </si>
  <si>
    <t>F_AMORT_SUBSIDY_1_Q</t>
  </si>
  <si>
    <t>f_amort_subsidy_1_q_gbd</t>
  </si>
  <si>
    <t>OOB_Band_Q</t>
  </si>
  <si>
    <t>oob_band_q_gbd</t>
  </si>
  <si>
    <t>CONNECTION_TYPE_Q</t>
  </si>
  <si>
    <t>connection_type_q_gbd</t>
  </si>
  <si>
    <t>SEGMENT_Q</t>
  </si>
  <si>
    <t>segment_q_gbd</t>
  </si>
  <si>
    <t>DLR_BRANCH_ID_Key_Q</t>
  </si>
  <si>
    <t>dlr_branch_id_key_q_gbd</t>
  </si>
  <si>
    <t>CHANNEL_L1_Q</t>
  </si>
  <si>
    <t>channel_l1_q_gbd</t>
  </si>
  <si>
    <t>CHNL_LEVEL_2</t>
  </si>
  <si>
    <t>channel_l2_q_gbd</t>
  </si>
  <si>
    <t>CHNL_LEVEL_3</t>
  </si>
  <si>
    <t>channel_l3_q_gbd</t>
  </si>
  <si>
    <t>device_manufacturer_q_gbd</t>
  </si>
  <si>
    <t>TRANSACTION_KEY_Q</t>
  </si>
  <si>
    <t>transaction_key_q_gbd</t>
  </si>
  <si>
    <t>CONTRACT_TENURE_Q</t>
  </si>
  <si>
    <t>contract_tenure_q_gbd</t>
  </si>
  <si>
    <t>CUSTOMER_TYPE_Q</t>
  </si>
  <si>
    <t>customer_type_q_gbd</t>
  </si>
  <si>
    <t>CLEAR_FLAG_Q</t>
  </si>
  <si>
    <t>clear_flag_q_gbd</t>
  </si>
  <si>
    <t>LIFECYCLE_FLAG_Q</t>
  </si>
  <si>
    <t>lifecycle_flag_q_gbd</t>
  </si>
  <si>
    <t>F_INF_CHRG_IND_Q</t>
  </si>
  <si>
    <t>f_inf_chrg_ind_q_gbd</t>
  </si>
  <si>
    <t>F_IN_BUNDEL_REV_Q</t>
  </si>
  <si>
    <t>f_in_bundel_rev_q_gbd</t>
  </si>
  <si>
    <t>F_OUTBUNDLE_REV_Q</t>
  </si>
  <si>
    <t>f_outbundle_rev_q_gbd</t>
  </si>
  <si>
    <t>TOTAL_REVENUE_Q</t>
  </si>
  <si>
    <t>total_revenue_q_gbd</t>
  </si>
  <si>
    <t>F_CREDIT_AMT_Q</t>
  </si>
  <si>
    <t>f_credit_amt_q_gbd</t>
  </si>
  <si>
    <t>F_IC_NTL_CST_Q</t>
  </si>
  <si>
    <t>f_ic_ntl_cst_q_gbd</t>
  </si>
  <si>
    <t>F_IC_INTL_CST_Q</t>
  </si>
  <si>
    <t>f_ic_intl_cst_q_gbd</t>
  </si>
  <si>
    <t>F_ROAMING_VOICE_CST_Q</t>
  </si>
  <si>
    <t>f_roaming_voice_cst_q_gbd</t>
  </si>
  <si>
    <t>F_ROAMING_SMS_CST_Q</t>
  </si>
  <si>
    <t>f_roaming_sms_cst_q_gbd</t>
  </si>
  <si>
    <t>F_ROAMING_DATA_CST_Q</t>
  </si>
  <si>
    <t>f_roaming_data_cst_q_gbd</t>
  </si>
  <si>
    <t>F_INSURANCE_CST_Q</t>
  </si>
  <si>
    <t>f_insurance_cst_q_gbd</t>
  </si>
  <si>
    <t>TOTAL_COST_Q</t>
  </si>
  <si>
    <t>total_cost_q_gbd</t>
  </si>
  <si>
    <t>F_AMORT_COMMISSION_CST_2_Q</t>
  </si>
  <si>
    <t>f_amort_commission_cst_2_q_gbd</t>
  </si>
  <si>
    <t>F_AMORT_SUBSIDY_2_Q</t>
  </si>
  <si>
    <t>f_amort_subsidy_2_q_gbd</t>
  </si>
  <si>
    <t>GROSS_MARGIN_Q</t>
  </si>
  <si>
    <t>gross_margin_q_gbd</t>
  </si>
  <si>
    <t>NET_REVENUE_Q</t>
  </si>
  <si>
    <t>net_revenue_q_gbd</t>
  </si>
  <si>
    <t>MARGIN_PERCENTAGE_Q</t>
  </si>
  <si>
    <t>margin_percentage_q_gbd</t>
  </si>
  <si>
    <t>DIRECT_MARGIN_Q</t>
  </si>
  <si>
    <t>direct_margin_q_gbd</t>
  </si>
  <si>
    <t>MARGININD_Q</t>
  </si>
  <si>
    <t>marginind_q_gbd</t>
  </si>
  <si>
    <t>STORE_COMMISSION_CST_Q</t>
  </si>
  <si>
    <t>store_commission_cst_q_gbd</t>
  </si>
  <si>
    <t>STORE_ID</t>
  </si>
  <si>
    <t>store_id_gbd</t>
  </si>
  <si>
    <t>STORE_COUNTY</t>
  </si>
  <si>
    <t>store_county_gbd</t>
  </si>
  <si>
    <t>STORE_TOWN</t>
  </si>
  <si>
    <t>store_town_gbd</t>
  </si>
  <si>
    <t>STORE_LATITUDE</t>
  </si>
  <si>
    <t>store_latitude_gbd</t>
  </si>
  <si>
    <t>STORE_LONGITUDE</t>
  </si>
  <si>
    <t>store_longitude_gbd</t>
  </si>
  <si>
    <t>F_BAD_DEBT_S</t>
  </si>
  <si>
    <t>f_bad_debt_s_gbd</t>
  </si>
  <si>
    <t>F_CREDIT_AMT_S</t>
  </si>
  <si>
    <t>f_credit_amt_s_gbd</t>
  </si>
  <si>
    <t>F_DURATIO_SUM_S</t>
  </si>
  <si>
    <t>f_duratio_sum_s_gbd</t>
  </si>
  <si>
    <t>F_USED_DATA_S</t>
  </si>
  <si>
    <t>f_used_data_s_gbd</t>
  </si>
  <si>
    <t>F_CONTENT_CST_S</t>
  </si>
  <si>
    <t>f_content_cst_s_gbd</t>
  </si>
  <si>
    <t>AR_TOTAL_COST_S</t>
  </si>
  <si>
    <t>ar_total_cost_s_gbd</t>
  </si>
  <si>
    <t>AVG_TOTAL_REVENUE_INC_S</t>
  </si>
  <si>
    <t>avg_total_revenue_inc_s_gbd</t>
  </si>
  <si>
    <t>LOG_DEBT_SALE_CST_S</t>
  </si>
  <si>
    <t>log_debt_sale_cst_s_gbd</t>
  </si>
  <si>
    <t>STORE_BAD_DEBT_S</t>
  </si>
  <si>
    <t>store_bad_debt_s_gbd</t>
  </si>
  <si>
    <t>STORE_BONUS_COMMISSION_S</t>
  </si>
  <si>
    <t>store_bonus_commission_s_gbd</t>
  </si>
  <si>
    <t>STORE_COMMISSION_CST_S</t>
  </si>
  <si>
    <t>store_commission_cst_s_gbd</t>
  </si>
  <si>
    <t>STORE_COMMISSION_S</t>
  </si>
  <si>
    <t>store_commission_s_gbd</t>
  </si>
  <si>
    <t>STORE_IC_ROAMING_S</t>
  </si>
  <si>
    <t>store_ic_roaming_s_gbd</t>
  </si>
  <si>
    <t>STORE_MONTHLY_COST_S</t>
  </si>
  <si>
    <t>store_monthly_cost_s_gbd</t>
  </si>
  <si>
    <t>STORE_TOTAL_REVENUE_S</t>
  </si>
  <si>
    <t>store_total_revenue_s_gbd</t>
  </si>
  <si>
    <t>SUBSCRIBER_COUNT</t>
  </si>
  <si>
    <t>subscriber_count_gbd</t>
  </si>
  <si>
    <t>TOTAL_REVENUE_INC_S</t>
  </si>
  <si>
    <t>total_revenue_inc_s_gbd</t>
  </si>
  <si>
    <t>AVG_TOTAL_REVENUE</t>
  </si>
  <si>
    <t>avg_total_revenue_gbd</t>
  </si>
  <si>
    <t>STORE_CREDIT_AMT_S</t>
  </si>
  <si>
    <t>store_credit_amt_s_gbd</t>
  </si>
  <si>
    <t>STORE_MARGIN_S</t>
  </si>
  <si>
    <t>store_margin_s_gbd</t>
  </si>
  <si>
    <t>STORE_LT_MARGIN_S</t>
  </si>
  <si>
    <t>store_lt_margin_s_gbd</t>
  </si>
  <si>
    <t>STORE_MARGIN_EX_SUB_S</t>
  </si>
  <si>
    <t>store_margin_ex_sub_s_gbd</t>
  </si>
  <si>
    <t>STORE_NET_MARGIN_S</t>
  </si>
  <si>
    <t>store_net_margin_s_gbd</t>
  </si>
  <si>
    <t>STORE_NET_REVENUE_S</t>
  </si>
  <si>
    <t>store_net_revenue_s_gbd</t>
  </si>
  <si>
    <t>STORE_TOTAL_REVENUE_INC_S</t>
  </si>
  <si>
    <t>store_total_revenue_inc_s_gbd</t>
  </si>
  <si>
    <t>A_CREDIT_AMT_S</t>
  </si>
  <si>
    <t>a_credit_amt_s_gbd</t>
  </si>
  <si>
    <t>AR_DIRECT_MARGIN_S</t>
  </si>
  <si>
    <t>ar_direct_margin_s_gbd</t>
  </si>
  <si>
    <t>AVG_NET_REVENUE_S</t>
  </si>
  <si>
    <t>avg_net_revenue_s_gbd</t>
  </si>
  <si>
    <t>STORE_LT_DIRECT_MARGIN_S</t>
  </si>
  <si>
    <t>store_lt_direct_margin_s_gbd</t>
  </si>
  <si>
    <t>PRICEPLAN_RATE</t>
  </si>
  <si>
    <t>priceplan_rate_gbd</t>
  </si>
  <si>
    <t>S_ROAMING_DATA_S</t>
  </si>
  <si>
    <t>s_roaming_data_s_gbd</t>
  </si>
  <si>
    <t>S_ROAMING_SMS_S</t>
  </si>
  <si>
    <t>s_roaming_sms_s_gbd</t>
  </si>
  <si>
    <t>S_ROAMING_VOICE_S</t>
  </si>
  <si>
    <t>s_roaming_voice_s_gbd</t>
  </si>
  <si>
    <t>S_IC_INT_CST_S</t>
  </si>
  <si>
    <t>s_ic_int_cst_s_gbd</t>
  </si>
  <si>
    <t>S_IC_NAT_CST_S</t>
  </si>
  <si>
    <t>s_ic_nat_cst_s_gbd</t>
  </si>
  <si>
    <t>S_DISCOUNT_CST_S</t>
  </si>
  <si>
    <t>s_discount_cst_s_gbd</t>
  </si>
  <si>
    <t>S_ADD_SERVICE_REV_S</t>
  </si>
  <si>
    <t>s_add_service_rev_s_gbd</t>
  </si>
  <si>
    <t>S_OUTBUNDLE_REV_S</t>
  </si>
  <si>
    <t>s_outbundle_rev_s_gbd</t>
  </si>
  <si>
    <t>S_INBUNDLE_REV_S</t>
  </si>
  <si>
    <t>s_inbundle_rev_s_gbd</t>
  </si>
  <si>
    <t>A_INBUNDLE_REV_S</t>
  </si>
  <si>
    <t>a_inbundle_rev_s_gbd</t>
  </si>
  <si>
    <t>A_OUTBUNDLE_REV_S</t>
  </si>
  <si>
    <t>a_outbundle_rev_s_gbd</t>
  </si>
  <si>
    <t>A_ADDL_SERVICE_REV_S</t>
  </si>
  <si>
    <t>a_addl_service_rev_s_gbd</t>
  </si>
  <si>
    <t>A_DISCOUNT_CST_S</t>
  </si>
  <si>
    <t>a_discount_cst_s_gbd</t>
  </si>
  <si>
    <t>A_ROAMING_DATA_CST_S</t>
  </si>
  <si>
    <t>a_roaming_data_cst_s_gbd</t>
  </si>
  <si>
    <t>A_ROAMING_VOICE_CST_S</t>
  </si>
  <si>
    <t>a_roaming_voice_cst_s_gbd</t>
  </si>
  <si>
    <t>A_ROAMING_SMS_CST_S</t>
  </si>
  <si>
    <t>a_roaming_sms_cst_s_gbd</t>
  </si>
  <si>
    <t>A_IC_NTL_CST_S</t>
  </si>
  <si>
    <t>a_ic_ntl_cst_s_gbd</t>
  </si>
  <si>
    <t>A_IC_INTL_CST_S</t>
  </si>
  <si>
    <t>a_ic_intl_cst_s_gbd</t>
  </si>
  <si>
    <t>EST_TENURE_S</t>
  </si>
  <si>
    <t>est_tenure_s_gbd</t>
  </si>
  <si>
    <t>STORE_TOTAL_COST_S</t>
  </si>
  <si>
    <t>store_total_cost_s_gbd</t>
  </si>
  <si>
    <t>OPEX_CST</t>
  </si>
  <si>
    <t>opex_cst_gbd</t>
  </si>
  <si>
    <t>INDIRECT_CST</t>
  </si>
  <si>
    <t>indirect_cst_gbd</t>
  </si>
  <si>
    <t>AIRTIME_MARGIN</t>
  </si>
  <si>
    <t>airtime_margin_gbd</t>
  </si>
  <si>
    <t>EBITDA</t>
  </si>
  <si>
    <t>ebitda_gbd</t>
  </si>
  <si>
    <t>SERVICE_REVENUE</t>
  </si>
  <si>
    <t>service_revenue_gbd</t>
  </si>
  <si>
    <t>DIRECT_COST</t>
  </si>
  <si>
    <t>direct_cost_gbd</t>
  </si>
  <si>
    <t>Est_Lifetime_Margin</t>
  </si>
  <si>
    <t>est_lifetime_margin_gbd</t>
  </si>
  <si>
    <t>Est_Gross_Margin</t>
  </si>
  <si>
    <t>est_gross_margin_gbd</t>
  </si>
  <si>
    <t>INDIRECT_CST_CB</t>
  </si>
  <si>
    <t>indirect_cst_cb_gbd</t>
  </si>
  <si>
    <t>AIRTIME_MARGIN_CB</t>
  </si>
  <si>
    <t>airtime_margin_cb_gbd</t>
  </si>
  <si>
    <t>EBITDA_CB</t>
  </si>
  <si>
    <t>ebitda_cb_gbd</t>
  </si>
  <si>
    <t>SERVICE_REVENUE_CB</t>
  </si>
  <si>
    <t>service_revenue_cb_gbd</t>
  </si>
  <si>
    <t>DIRECT_COST_CB</t>
  </si>
  <si>
    <t>direct_cost_cb_gbd</t>
  </si>
  <si>
    <t>Est_Lifetime_Margin_CB</t>
  </si>
  <si>
    <t>est_lifetime_margin_cb_gbd</t>
  </si>
  <si>
    <t>Est_Gross_Margin_CB</t>
  </si>
  <si>
    <t>est_gross_margin_cb_gbd</t>
  </si>
  <si>
    <t>MOBILE POST STORE'</t>
  </si>
  <si>
    <t>cpa_sub_source</t>
  </si>
  <si>
    <t>CPA Roaming</t>
  </si>
  <si>
    <t xml:space="preserve">ROAMING_UI  R Left Join f_subscriber_base_semantic_m_usl T 
based on T.rpt_dt , T.sub_subscription_cd and R.sub_subscription_cd and R.DAT_MONTH_ID (convert R.DAT_MONTH_ID to 'YYYY-MM-DD' format for joining) 
left join 
f_subscriber_ibro_prof_report_semantic_usl T1  based on T1.rpt_month , T1.Cus_customer_cd,T1.sub_subscription_cd,T1.sub_bill_type_ext_cd and T.rpt_dt , T.Cus_customer_cd,T.sub_subscription_cd,T.sub_bill_type_ext_cd   
Left Join stg_subscriber_cpa_union_usl T2 based on T2.reporting_date , T2.Cus_customer_cd,T2.sub_subscription_cd,T2.sub_bill_type_ext_cd and  T1.rpt_month , T1.Cus_customer_cd,T1.sub_subscription_cd,T1.sub_bill_type_ext_cd
NULL handling for Target Columns : 
Float Columns - 0.0
String - NA
Ineteger - 0
</t>
  </si>
  <si>
    <t xml:space="preserve">ROAMING_UI </t>
  </si>
  <si>
    <t>convert DAT_MONTH_ID to 'YYYY-MM-DD' format</t>
  </si>
  <si>
    <t>f_subscriber_cpa_roaming_usl</t>
  </si>
  <si>
    <t>rpt_dt</t>
  </si>
  <si>
    <t>RPT DT</t>
  </si>
  <si>
    <t>f_subscriber_base_semantic_m_usl</t>
  </si>
  <si>
    <t>dw_uniq_cust_id</t>
  </si>
  <si>
    <t>DW UNIQ CUST ID</t>
  </si>
  <si>
    <t>dw_cust_id</t>
  </si>
  <si>
    <t>DW CUST ID</t>
  </si>
  <si>
    <t>dw_uniq_cust_acct_id</t>
  </si>
  <si>
    <t>DW UNIQ CUST ACCT ID</t>
  </si>
  <si>
    <t>dw_cust_acct_id</t>
  </si>
  <si>
    <t>DW CUST ACCT ID</t>
  </si>
  <si>
    <t>DERIVED</t>
  </si>
  <si>
    <t>to_hex(sha256(sub_subscription_cd || rpt_dt))
Rpt_dt is derived above</t>
  </si>
  <si>
    <t>dw_uniq_subs_id</t>
  </si>
  <si>
    <t>DW UNIQ SUBS ID</t>
  </si>
  <si>
    <t>to_hex(sha256(sub_subscription_cd))</t>
  </si>
  <si>
    <t>dw_subs_id</t>
  </si>
  <si>
    <t>DW SUBS ID</t>
  </si>
  <si>
    <t>dw_uniq_cust_type_id</t>
  </si>
  <si>
    <t>DW UNIQ CUST TYPE ID</t>
  </si>
  <si>
    <t>dw_cust_type_id</t>
  </si>
  <si>
    <t>DW CUST TYPE ID</t>
  </si>
  <si>
    <t>dw_uniq_cust_sector_id</t>
  </si>
  <si>
    <t>DW UNIQ CUST SECTOR ID</t>
  </si>
  <si>
    <t>dw_cust_sector_id</t>
  </si>
  <si>
    <t>DW CUST SECTOR ID</t>
  </si>
  <si>
    <t>dw_uniq_cust_geo_id</t>
  </si>
  <si>
    <t>DW UNIQ CUST GEO ID</t>
  </si>
  <si>
    <t>dw_cust_geo_id</t>
  </si>
  <si>
    <t>DW CUST GEO ID</t>
  </si>
  <si>
    <t>dw_uniq_cust_acct_geo_id</t>
  </si>
  <si>
    <t>DW UNIQ CUST ACCT GEO ID</t>
  </si>
  <si>
    <t>dw_cust_acct_geo_id</t>
  </si>
  <si>
    <t>DW CUST ACCT GEO ID</t>
  </si>
  <si>
    <t>dw_uniq_curr_business_line_id</t>
  </si>
  <si>
    <t>DW UNIQ CURR BUSINESS LINE ID</t>
  </si>
  <si>
    <t>dw_curr_business_line_id</t>
  </si>
  <si>
    <t>DW CURR BUSINESS LINE ID</t>
  </si>
  <si>
    <t>dw_uniq_prev_business_line_id</t>
  </si>
  <si>
    <t>DW UNIQ PREV BUSINESS LINE ID</t>
  </si>
  <si>
    <t>dw_prev_business_line_id</t>
  </si>
  <si>
    <t>DW PREV BUSINESS LINE ID</t>
  </si>
  <si>
    <t>dw_uniq_curr_rpt_tariff_plan_id</t>
  </si>
  <si>
    <t>DW UNIQ CURR RPT TARIFF PLAN ID</t>
  </si>
  <si>
    <t>dw_curr_rpt_tariff_plan_id</t>
  </si>
  <si>
    <t>DW CURR RPT TARIFF PLAN ID</t>
  </si>
  <si>
    <t>dw_uniq_prev_rpt_tariff_plan_id</t>
  </si>
  <si>
    <t>DW UNIQ PREV RPT TARIFF PLAN ID</t>
  </si>
  <si>
    <t>dw_prev_rpt_tariff_plan_id</t>
  </si>
  <si>
    <t>DW PREV RPT TARIFF PLAN ID</t>
  </si>
  <si>
    <t>dw_uniq_first_acquired_prod_id</t>
  </si>
  <si>
    <t>DW UNIQ FIRST ACQUIRED PROD ID</t>
  </si>
  <si>
    <t>dw_first_acquired_prod_id</t>
  </si>
  <si>
    <t>DW FIRST ACQUIRED PROD ID</t>
  </si>
  <si>
    <t>dw_sub_first_acquired_prod_id</t>
  </si>
  <si>
    <t>DW SUB FIRST ACQUIRED PROD ID</t>
  </si>
  <si>
    <t>dw_uniq_physical_line_id</t>
  </si>
  <si>
    <t>DW UNIQ PHYSICAL LINE ID</t>
  </si>
  <si>
    <t>dw_physical_line_id</t>
  </si>
  <si>
    <t>DW PHYSICAL LINE ID</t>
  </si>
  <si>
    <t>dw_uniq_curr_fixed_line_type_id</t>
  </si>
  <si>
    <t>DW UNIQ CURR FIXED LINE TYPE ID</t>
  </si>
  <si>
    <t>dw_curr_fixed_line_type_id</t>
  </si>
  <si>
    <t>DW CURR FIXED LINE TYPE ID</t>
  </si>
  <si>
    <t>dw_uniq_prev_fixed_line_type_id</t>
  </si>
  <si>
    <t>DW UNIQ PREV FIXED LINE TYPE ID</t>
  </si>
  <si>
    <t>dw_prev_fixed_line_type_id</t>
  </si>
  <si>
    <t>DW PREV FIXED LINE TYPE ID</t>
  </si>
  <si>
    <t>dw_uniq_subs_stat_id</t>
  </si>
  <si>
    <t>DW UNIQ SUBS STAT ID</t>
  </si>
  <si>
    <t>dw_subs_stat_id</t>
  </si>
  <si>
    <t>DW SUBS STAT ID</t>
  </si>
  <si>
    <t>dw_uniq_subs_stat_rsn_id</t>
  </si>
  <si>
    <t>DW UNIQ SUBS STAT RSN ID</t>
  </si>
  <si>
    <t>dw_subs_stat_rsn_id</t>
  </si>
  <si>
    <t>DW SUBS STAT RSN ID</t>
  </si>
  <si>
    <t>dw_uniq_subs_rpt_stat_id</t>
  </si>
  <si>
    <t>DW UNIQ SUBS RPT STAT ID</t>
  </si>
  <si>
    <t>dw_subs_rpt_stat_id</t>
  </si>
  <si>
    <t>DW SUBS RPT STAT ID</t>
  </si>
  <si>
    <t>dw_uniq_subs_barring_stat_id</t>
  </si>
  <si>
    <t>DW UNIQ SUBS BARRING STAT ID</t>
  </si>
  <si>
    <t>dw_subs_barring_stat_id</t>
  </si>
  <si>
    <t>DW SUBS BARRING STAT ID</t>
  </si>
  <si>
    <t>dw_curr_subs_seg_id</t>
  </si>
  <si>
    <t>DW CURR SUBS SEG ID</t>
  </si>
  <si>
    <t>dw_uniq_curr_subs_seg_id</t>
  </si>
  <si>
    <t>DW UNIQ CURR SUBS SEG ID</t>
  </si>
  <si>
    <t>dw_prev_subs_seg_id</t>
  </si>
  <si>
    <t>DW PREV SUBS SEG ID</t>
  </si>
  <si>
    <t>dw_uniq_prev_subs_seg_id</t>
  </si>
  <si>
    <t>DW UNIQ PREV SUBS SEG ID</t>
  </si>
  <si>
    <t>dw_cust_seg_id</t>
  </si>
  <si>
    <t>DW CUST SEG ID</t>
  </si>
  <si>
    <t>dw_uniq_cust_seg_id</t>
  </si>
  <si>
    <t>DW UNIQ CUST SEG ID</t>
  </si>
  <si>
    <t>dw_acq_sf_position_id</t>
  </si>
  <si>
    <t>DW ACQ SF POSITION ID</t>
  </si>
  <si>
    <t>dw_uniq_acq_sf_position_id</t>
  </si>
  <si>
    <t>DW UNIQ ACQ SF POSITION ID</t>
  </si>
  <si>
    <t>dw_acq_sf_type_id</t>
  </si>
  <si>
    <t>DW ACQ SF TYPE ID</t>
  </si>
  <si>
    <t>dw_uniq_acq_sf_type_id</t>
  </si>
  <si>
    <t>DW UNIQ ACQ SF TYPE ID</t>
  </si>
  <si>
    <t>dw_last_retention_sf_position_id</t>
  </si>
  <si>
    <t>DW LAST RETENTION SF POSITION ID</t>
  </si>
  <si>
    <t>dw_uniq_last_retention_sf_position_id</t>
  </si>
  <si>
    <t>DW UNIQ LAST RETENTION SF POSITION ID</t>
  </si>
  <si>
    <t>dw_last_retention_sf_type_id</t>
  </si>
  <si>
    <t>DW LAST RETENTION SF TYPE ID</t>
  </si>
  <si>
    <t>dw_uniq_last_retention_sf_type_id</t>
  </si>
  <si>
    <t>DW UNIQ LAST RETENTION SF TYPE ID</t>
  </si>
  <si>
    <t>dw_prev_prim_dvc_id</t>
  </si>
  <si>
    <t>DW PREV PRIM DVC ID</t>
  </si>
  <si>
    <t>dw_uniq_prev_prim_dvc_id</t>
  </si>
  <si>
    <t>DW UNIQ PREV PRIM DVC ID</t>
  </si>
  <si>
    <t>dw_prev_prim_dvc_cat_id</t>
  </si>
  <si>
    <t>DW PREV PRIM DVC CAT ID</t>
  </si>
  <si>
    <t>dw_uniq_prev_prim_dvc_cat_id</t>
  </si>
  <si>
    <t>DW UNIQ PREV PRIM DVC CAT ID</t>
  </si>
  <si>
    <t>dw_port_req_stat_id</t>
  </si>
  <si>
    <t>DW PORT REQ STAT ID</t>
  </si>
  <si>
    <t>dw_uniq_port_req_stat_id</t>
  </si>
  <si>
    <t>DW UNIQ PORT REQ STAT ID</t>
  </si>
  <si>
    <t>dw_port_req_stat_rsn_id</t>
  </si>
  <si>
    <t>DW PORT REQ STAT RSN ID</t>
  </si>
  <si>
    <t>dw_uniq_port_req_stat_rsn_id</t>
  </si>
  <si>
    <t>DW UNIQ PORT REQ STAT RSN ID</t>
  </si>
  <si>
    <t>dw_port_in_operator_id</t>
  </si>
  <si>
    <t>DW PORT IN OPERATOR ID</t>
  </si>
  <si>
    <t>dw_uniq_port_in_operator_id</t>
  </si>
  <si>
    <t>DW UNIQ PORT IN OPERATOR ID</t>
  </si>
  <si>
    <t>dw_port_out_operator_id</t>
  </si>
  <si>
    <t>DW PORT OUT OPERATOR ID</t>
  </si>
  <si>
    <t>dw_uniq_port_out_operator_id</t>
  </si>
  <si>
    <t>DW UNIQ PORT OUT OPERATOR ID</t>
  </si>
  <si>
    <t>dw_curr_converge_type_id</t>
  </si>
  <si>
    <t>DW CURR CONVERGE TYPE ID</t>
  </si>
  <si>
    <t>dw_uniq_curr_converge_type_id</t>
  </si>
  <si>
    <t>DW UNIQ CURR CONVERGE TYPE ID</t>
  </si>
  <si>
    <t>dw_prev_converge_type_id</t>
  </si>
  <si>
    <t>DW PREV CONVERGE TYPE ID</t>
  </si>
  <si>
    <t>dw_uniq_prev_converge_type_id</t>
  </si>
  <si>
    <t>DW UNIQ PREV CONVERGE TYPE ID</t>
  </si>
  <si>
    <t>dw_dconn_business_line_id</t>
  </si>
  <si>
    <t>DW DCONN BUSINESS LINE ID</t>
  </si>
  <si>
    <t>dw_uniq_dconn_business_line_id</t>
  </si>
  <si>
    <t>DW UNIQ DCONN BUSINESS LINE ID</t>
  </si>
  <si>
    <t>dw_dconn_subs_seg_id</t>
  </si>
  <si>
    <t>DW DCONN SUBS SEG ID</t>
  </si>
  <si>
    <t>dw_uniq_dconn_subs_seg_id</t>
  </si>
  <si>
    <t>DW UNIQ DCONN SUBS SEG ID</t>
  </si>
  <si>
    <t>dw_dconn_rpt_tariff_plan_id</t>
  </si>
  <si>
    <t>DW DCONN RPT TARIFF PLAN ID</t>
  </si>
  <si>
    <t>dw_uniq_dconn_rpt_tariff_plan_id</t>
  </si>
  <si>
    <t>DW UNIQ DCONN RPT TARIFF PLAN ID</t>
  </si>
  <si>
    <t>dw_dconn_stat_rsn_id</t>
  </si>
  <si>
    <t>DW DCONN STAT RSN ID</t>
  </si>
  <si>
    <t>dw_uniq_dconn_stat_rsn_id</t>
  </si>
  <si>
    <t>DW UNIQ DCONN STAT RSN ID</t>
  </si>
  <si>
    <t>dw_acq_business_line_id</t>
  </si>
  <si>
    <t>DW ACQ BUSINESS LINE ID</t>
  </si>
  <si>
    <t>dw_uniq_acq_business_line_id</t>
  </si>
  <si>
    <t>DW UNIQ ACQ BUSINESS LINE ID</t>
  </si>
  <si>
    <t>dw_acq_subs_seg_id</t>
  </si>
  <si>
    <t>DW ACQ SUBS SEG ID</t>
  </si>
  <si>
    <t>dw_uniq_acq_subs_seg_id</t>
  </si>
  <si>
    <t>DW UNIQ ACQ SUBS SEG ID</t>
  </si>
  <si>
    <t>dw_acq_rpt_tariff_plan_id</t>
  </si>
  <si>
    <t>DW ACQ RPT TARIFF PLAN ID</t>
  </si>
  <si>
    <t>dw_uniq_acq_rpt_tariff_plan_id</t>
  </si>
  <si>
    <t>DW UNIQ ACQ RPT TARIFF PLAN ID</t>
  </si>
  <si>
    <t>dw_uniq_seg_id</t>
  </si>
  <si>
    <t>DW UNIQ SEG ID</t>
  </si>
  <si>
    <t>dw_seg_id</t>
  </si>
  <si>
    <t>DW SEG ID</t>
  </si>
  <si>
    <r>
      <t xml:space="preserve">ROAMING_UI R  Left Join d_operator_usl  O based on O.operator_cd  and R.LU_OPERATOR_CODE. Use </t>
    </r>
    <r>
      <rPr>
        <b/>
        <sz val="10"/>
        <color rgb="FF000000"/>
        <rFont val="Vodafone Rg"/>
        <family val="2"/>
      </rPr>
      <t>upper and trim</t>
    </r>
    <r>
      <rPr>
        <sz val="10"/>
        <color rgb="FF000000"/>
        <rFont val="Vodafone Rg"/>
        <family val="2"/>
      </rPr>
      <t xml:space="preserve">  &amp;  handle</t>
    </r>
    <r>
      <rPr>
        <b/>
        <sz val="10"/>
        <color rgb="FF000000"/>
        <rFont val="Vodafone Rg"/>
        <family val="2"/>
      </rPr>
      <t xml:space="preserve"> NULL and blank by replacing NA*</t>
    </r>
    <r>
      <rPr>
        <sz val="10"/>
        <color rgb="FF000000"/>
        <rFont val="Vodafone Rg"/>
        <family val="2"/>
      </rPr>
      <t xml:space="preserve"> before joining.</t>
    </r>
  </si>
  <si>
    <t>dw_uniq_operator_id</t>
  </si>
  <si>
    <t>dw_uniq_roaming_operator_id</t>
  </si>
  <si>
    <t>DW UNIQ ROAMING OPERATOR ID</t>
  </si>
  <si>
    <t>dw_operator_id</t>
  </si>
  <si>
    <t>dw_roaming_operator_id</t>
  </si>
  <si>
    <t>DW ROAMING OPERATOR ID</t>
  </si>
  <si>
    <t>dw_uniq_subs_geo_id</t>
  </si>
  <si>
    <t>DW UNIQ SUBS GEO ID</t>
  </si>
  <si>
    <t>dw_subs_geo_id</t>
  </si>
  <si>
    <t>DW SUBS GEO ID</t>
  </si>
  <si>
    <t>dw_uniq_cc_type_id</t>
  </si>
  <si>
    <t>DW UNIQ CC TYPE ID</t>
  </si>
  <si>
    <t>dw_cc_type_id</t>
  </si>
  <si>
    <t>DW CC TYPE ID</t>
  </si>
  <si>
    <t>dw_curr_prim_dvc_id</t>
  </si>
  <si>
    <t>DW CURR PRIM DVC ID</t>
  </si>
  <si>
    <t>dw_uniq_curr_prim_dvc_id</t>
  </si>
  <si>
    <t>DW UNIQ CURR PRIM DVC ID</t>
  </si>
  <si>
    <t>dw_curr_prim_dvc_cat_id</t>
  </si>
  <si>
    <t>DW CURR PRIM DVC CAT ID</t>
  </si>
  <si>
    <t>dw_uniq_curr_prim_dvc_cat_id</t>
  </si>
  <si>
    <t>DW UNIQ CURR PRIM DVC CAT ID</t>
  </si>
  <si>
    <t>CUS CUSTOMER CD</t>
  </si>
  <si>
    <t>SUB SUBSCRIPTION CD</t>
  </si>
  <si>
    <t>CUS CONVERGENCE TYPE DESC</t>
  </si>
  <si>
    <t>SUB_CONNECTION_TYPE_DESC</t>
  </si>
  <si>
    <t>sub_connection_type_desc</t>
  </si>
  <si>
    <t>SUB CONNECTION TYPE DESC</t>
  </si>
  <si>
    <t>SUB BILL TYPE EXT CD</t>
  </si>
  <si>
    <t>county</t>
  </si>
  <si>
    <t xml:space="preserve"> stg_subscriber_cpa_union_usl</t>
  </si>
  <si>
    <t>DLR_DEALER_ID</t>
  </si>
  <si>
    <t>dlr_dealer_id</t>
  </si>
  <si>
    <t>DLR DEALER ID</t>
  </si>
  <si>
    <t>DLR_DEALER_SRC_CD</t>
  </si>
  <si>
    <t>dlr_dealer_src_cd</t>
  </si>
  <si>
    <t>DLR DEALER SRC CD</t>
  </si>
  <si>
    <t>ACQ CHNL LVL 1</t>
  </si>
  <si>
    <t>ACQ CHNL LVL 2</t>
  </si>
  <si>
    <t>ACQ CHNL LVL 3</t>
  </si>
  <si>
    <t>RETENTION CHNL LVL 1</t>
  </si>
  <si>
    <t>RETENTION CHNL LVL 2</t>
  </si>
  <si>
    <t>RETENTION CHNL LVL 3</t>
  </si>
  <si>
    <t>priceplan_desc</t>
  </si>
  <si>
    <t>PRICEPLAN DESC</t>
  </si>
  <si>
    <t>SIMO_DEVICE_IND</t>
  </si>
  <si>
    <t>simo_device_ind</t>
  </si>
  <si>
    <t>SIMO DEVICE IND</t>
  </si>
  <si>
    <t>f_subscriber_ibro_prof_report_semantic_usl</t>
  </si>
  <si>
    <t>DEVICE TYPE MANUFACTURER</t>
  </si>
  <si>
    <t>DEVICE MODEL</t>
  </si>
  <si>
    <t>MARGIN_BAND</t>
  </si>
  <si>
    <t>margin_band</t>
  </si>
  <si>
    <t>MARGIN BAND</t>
  </si>
  <si>
    <t>TRANSACTION TYPE</t>
  </si>
  <si>
    <t>SUB_DISCONNECTION_REASON</t>
  </si>
  <si>
    <t>sub_disconnection_reason</t>
  </si>
  <si>
    <t>SUB DISCONNECTION REASON</t>
  </si>
  <si>
    <t>INT_CC_CALL_REASON_1</t>
  </si>
  <si>
    <t>int_cc_call_reason_1</t>
  </si>
  <si>
    <t>INT CC CALL REASON 1</t>
  </si>
  <si>
    <t>INT_CC_CALL_REASON_2</t>
  </si>
  <si>
    <t>int_cc_call_reason_2</t>
  </si>
  <si>
    <t>INT CC CALL REASON 2</t>
  </si>
  <si>
    <t>INT_CC_CALL_REASON_3</t>
  </si>
  <si>
    <t>int_cc_call_reason_3</t>
  </si>
  <si>
    <t>INT CC CALL REASON 3</t>
  </si>
  <si>
    <t>contract_tenure</t>
  </si>
  <si>
    <t>CONTRACT TENURE</t>
  </si>
  <si>
    <t>ACT TENURE</t>
  </si>
  <si>
    <t>LU_OPERATOR_CODE</t>
  </si>
  <si>
    <t>lu_operator_code</t>
  </si>
  <si>
    <t>LU OPERATOR CODE</t>
  </si>
  <si>
    <t>CALL_TYPE</t>
  </si>
  <si>
    <t>call_type</t>
  </si>
  <si>
    <t>CALL TYPE</t>
  </si>
  <si>
    <t>CHNL_GROUP</t>
  </si>
  <si>
    <t>chnl_group</t>
  </si>
  <si>
    <t>CHNL GROUP</t>
  </si>
  <si>
    <t>CUS_SEGMENT_EXT_CD</t>
  </si>
  <si>
    <t>cus_segment_ext_cd</t>
  </si>
  <si>
    <t>CUS SEGMENT EXT CD</t>
  </si>
  <si>
    <t>CPA_SOURCE</t>
  </si>
  <si>
    <t>cpa_source</t>
  </si>
  <si>
    <t>CPA SOURCE</t>
  </si>
  <si>
    <t xml:space="preserve">CPA_SOURCE </t>
  </si>
  <si>
    <t>CPA_SOURCE || '  ROAMING'</t>
  </si>
  <si>
    <t>CPA SUB SOURCE</t>
  </si>
  <si>
    <t>when a subscriber ID is appeared for the first time in a reporting month ,then  1. If the same subscriber ID appears multiple times in a reporting month, all subsequent entries should be assigned as 0.</t>
  </si>
  <si>
    <t>ro_subs_ind</t>
  </si>
  <si>
    <t>f_priceplan_rate</t>
  </si>
  <si>
    <t>F PRICEPLAN RATE</t>
  </si>
  <si>
    <t>F_NUM_CALLS</t>
  </si>
  <si>
    <t>f_num_calls</t>
  </si>
  <si>
    <t>F NUM CALLS</t>
  </si>
  <si>
    <t>F_DURATION</t>
  </si>
  <si>
    <t>f_duration</t>
  </si>
  <si>
    <t>F DURATION</t>
  </si>
  <si>
    <t>F_DATA_VOLUME</t>
  </si>
  <si>
    <t>f_data_volume</t>
  </si>
  <si>
    <t>F DATA VOLUME</t>
  </si>
  <si>
    <t>F_CHARGE_EURO</t>
  </si>
  <si>
    <t>R.F_CHARGE_EURO</t>
  </si>
  <si>
    <t>f_charge_euro</t>
  </si>
  <si>
    <t>F CHARGE EURO</t>
  </si>
  <si>
    <t>R.F_CHARGE_EURO * -1</t>
  </si>
  <si>
    <t>f_roaming_cost_q</t>
  </si>
  <si>
    <t>F ROAMING COST Q</t>
  </si>
  <si>
    <t xml:space="preserve"> Case when  R.CALL_TYPE = VOICE then R.F_CHARGE_EURO * -1 else 0</t>
  </si>
  <si>
    <t>f_voice_cost_q</t>
  </si>
  <si>
    <t>F VOICE COST Q</t>
  </si>
  <si>
    <t>Case when  R.CALL_TYPE= DATA then R.F_CHARGE_EURO * -1 else 0</t>
  </si>
  <si>
    <t>f_data_cost_q</t>
  </si>
  <si>
    <t>F DATA COST Q</t>
  </si>
  <si>
    <t xml:space="preserve"> Case when R.CALL_TYPE= SMS then R.F_CHARGE_EURO * -1 else 0</t>
  </si>
  <si>
    <t>f_sms_cost_q</t>
  </si>
  <si>
    <t>F SMS COST Q</t>
  </si>
  <si>
    <t>f_roaming_cost + f_voice_cost + f_data_cost + f_sms_cost else 0</t>
  </si>
  <si>
    <t>f_total_usage_cost_q</t>
  </si>
  <si>
    <t>F TOTAL USAGE COST Q</t>
  </si>
  <si>
    <t>CPA Interconnect</t>
  </si>
  <si>
    <t xml:space="preserve"> Inner join  INTERCONNECT_UI  I  and  f_subscriber_base_semantic_m_usl T 
based on T.rpt_dt , T.sub_subscription_cd and I.sub_subscription_cd and I.DAT_MONTH_ID (convert I.DAT_MONTH_ID to 'YYYY-MM-DD' format for joining) 
left join 
f_subscriber_ibro_prof_report_semantic_usl T1  based on T1.rpt_month , T1.Cus_customer_cd,T1.sub_subscription_cd,T1.sub_bill_type_ext_cd and T.rpt_dt , T.Cus_customer_cd,T.sub_subscription_cd,T.sub_bill_type_ext_cd   
Left Join stg_subscriber_cpa_union_usl T2 based on T2.reporting_date , T2.Cus_customer_cd,T2.sub_subscription_cd,T2.sub_bill_type_ext_cd and  T1.rpt_month , T1.Cus_customer_cd,T1.sub_subscription_cd,T1.sub_bill_type_ext_cd
NULL handling for Target Columns : 
Float Columns - 0.0
String - NA
Ineteger - 0</t>
  </si>
  <si>
    <t>INTERCONNECT_UI</t>
  </si>
  <si>
    <t>f_subscriber_cpa_interconnect_usl</t>
  </si>
  <si>
    <t>T1.CUS_SEGMENT_EXT_CD</t>
  </si>
  <si>
    <t>LU_TIER_ID</t>
  </si>
  <si>
    <t>lu_tier_id</t>
  </si>
  <si>
    <t>LU TIER ID</t>
  </si>
  <si>
    <t>ICT_TIER_DESC</t>
  </si>
  <si>
    <t>ict_tier_desc</t>
  </si>
  <si>
    <t>ICT TIER DESC</t>
  </si>
  <si>
    <t>CASE WHEN ICT_TIER_DESC IN (
    'Mobile Termination',
'SMS',
'National Termination ',
'SMSVMH',
'Emergency Services',
'Universal Access-ECM',
'VOIP - ECM',
'Tesco Mobile ',
'Ported to Tesco',
'MMS',
'SMSSAP',
'Premium Rate ECM',
'Universal Access-OLO',
'Stentor Geographic',
'Dir Enquiry-CDQ',
'Disability Service') THEN 'D' ELSE 'I' END</t>
  </si>
  <si>
    <t>call_classificationn_ind</t>
  </si>
  <si>
    <t>CALL CLASSIFICATIONN IND</t>
  </si>
  <si>
    <t xml:space="preserve">CASE WHEN CPA_SOURCE = MOBILE POST 
  and When SUB_SUBSCRIPTION_CD IS NOT NULL THEN 1 ELSE 0 END </t>
  </si>
  <si>
    <t>act_ind</t>
  </si>
  <si>
    <t>ACT IND</t>
  </si>
  <si>
    <t>CPA_SOURCE || " INTERCONNECT"</t>
  </si>
  <si>
    <t>when a subscriber ID is appeared for the first time in a reporting month,then  1. If the same subscriber ID appears multiple times  in a reporting month , all subsequent entries should be assigned as 0.</t>
  </si>
  <si>
    <t>ca_subs_ind</t>
  </si>
  <si>
    <t>F_CHARGE_AMT</t>
  </si>
  <si>
    <t>f_charge_amt</t>
  </si>
  <si>
    <t>F CHARGE AMT</t>
  </si>
  <si>
    <t>F_CHARGE_AMT , 
call_classificationn_ind derived above in the target table</t>
  </si>
  <si>
    <t>when  CALL_CLASSIFICATION_IND='I' then F_CHARGE_AMT * -1 else 0</t>
  </si>
  <si>
    <t>f_international_ic_cost_q</t>
  </si>
  <si>
    <t>F INTERNATIONAL IC COST Q</t>
  </si>
  <si>
    <t>INTERCONNECT_UI left join  interconnect_costs_202002.xlsx on ICT_TIER_DESC</t>
  </si>
  <si>
    <t>Country</t>
  </si>
  <si>
    <t>ifnull(country,'Others')</t>
  </si>
  <si>
    <t>country</t>
  </si>
  <si>
    <t>CPA Discount</t>
  </si>
  <si>
    <t>DISCOUNT_UI  D Inner join  f_subscriber_base_semantic_m_usl T 
based on T.rpt_dt , T.sub_subscription_cd and D.sub_subscription_cd and D.DAT_MONTH_ID (convert D.DAT_MONTH_ID to 'YYYY-MM-DD' format for joining) 
left join  f_subscriber_ibro_prof_report_semantic_usl T1  based on T1.rpt_month , T1.Cus_customer_cd,T1.sub_subscription_cd,T1.sub_bill_type_ext_cd and T.rpt_dt , T.Cus_customer_cd,T.sub_subscription_cd,T.sub_bill_type_ext_cd   
Left Join stg_subscriber_cpa_union_usl T2 based on T2.reporting_date , T2.Cus_customer_cd,T2.sub_subscription_cd,T2.sub_bill_type_ext_cd and  T1.rpt_month , T1.Cus_customer_cd,T1.sub_subscription_cd,T1.sub_bill_type_ext_cd
--- NULL handling for Target Columns : 
Ineteger - 0
Float Columns - 0.0
String - NA</t>
  </si>
  <si>
    <t>DISCOUNT_UI</t>
  </si>
  <si>
    <t>dat_month_id</t>
  </si>
  <si>
    <t>f_subscriber_cpa_discount_usl</t>
  </si>
  <si>
    <t>to_hex(sha256(CUS_CUSTOMER_CD || rpt_dt))
Rpt_dt is derived above</t>
  </si>
  <si>
    <t>to_hex(sha256(CUS_CUSTOMER_CD))</t>
  </si>
  <si>
    <t>to_hex(sha256(CUS_CUSTOMER_CD || rpt_dt))
Rpt_dt is derived above</t>
  </si>
  <si>
    <t>acr_charge_code_ext_cd</t>
  </si>
  <si>
    <t>ACR CHARGE CODE EXT CD</t>
  </si>
  <si>
    <t>acr_charge_code_desc</t>
  </si>
  <si>
    <t>ACR CHARGE CODE DESC</t>
  </si>
  <si>
    <t xml:space="preserve">CPA_SOURCE || " DISCOUNT"  </t>
  </si>
  <si>
    <t>F_COST_AMT</t>
  </si>
  <si>
    <t>f_cost_amt</t>
  </si>
  <si>
    <t>F COST AMT</t>
  </si>
  <si>
    <t>DISCOUNT_UI Left join fixed_discount on Upper(trim (ACR_CHARGE_CODE_DESC))=Upper(trim(DISCOUNT_DESC))</t>
  </si>
  <si>
    <t>Grouping</t>
  </si>
  <si>
    <t>discount_grouping</t>
  </si>
  <si>
    <t>when a subscriber ID is appeared for the first time in a reporting month,then  1. If the same subscriber ID appears multiple times in a reporting month , all subsequent entries should be assigned as 0.</t>
  </si>
  <si>
    <t>d_subs_cnt_ind</t>
  </si>
  <si>
    <t>cus_customer_cd,cpa_source</t>
  </si>
  <si>
    <t>when a cus_customer_cd is appeared for the first time in a reporting month and for a cpa_source ,then  1. If the same cus_customer_cd appears multiple times  in a reporting  month and for a cpa_source  , all subsequent entries should be assigned as 0.</t>
  </si>
  <si>
    <t>d_cus_cnt_ind</t>
  </si>
  <si>
    <t>DISCOUNT_UI , f_subscriber_base_semantic_m_usl</t>
  </si>
  <si>
    <t>case when 
UPPER (SUB_BUNDLE_TYPE_DESC) NOT IN ('MOBILE', 'TV',  'VOICE + TV')   
AND (ACR_CHARGE_CODE_DESC Like '%Discount%' or  ACR_CHARGE_CODE_DESC Like '%Disc%')
    AND F_CHARGE_AMT&lt;0 then f_charge_amt else 0
end</t>
  </si>
  <si>
    <t>f_charge_amt_cpaf_q</t>
  </si>
  <si>
    <t>CPA Fixed Cost</t>
  </si>
  <si>
    <t xml:space="preserve">"step 1 &gt; Get the count of distinct subscribers based on  customer, DAT_MONTH_ID from FIXED_COST_FL_FL_UI
step 2&gt; Get the SUM(F_CHARGE_AMT) from FIXED_COST_FL_FL_UI table based on DAT_MONTH_ID,CUS_CUSTOMER_CD and PRD_PRODUCT_DESC. 
Step 3 &gt; inner Join step 1 and step 2 based on  DAT_MONTH_ID,CUS_CUSTOMER_CD. Divide the  sum(F_CHARGE_AMT )/ count ( distinct subscribers)
Step 4 &gt; Get Distinct DAT_MONTH_ID,CUS_CUSTOMER_CD,SUB_SUBSCRIPTION_CD,CHARGE_DESC,SUB_FIXED_SERV_PROVIDER_DESC from FIXED_COST_FL_FL_UI table.
    step 4 left join step 3 based on DAT_MONTH_ID,CUS_CUSTOMER_CD
	left join f_subscriber_base_semantic_m_usl  T  based on rpt_dt , CUS_CUSTOMER_CD,SUB_SUBSCRIPTION_CD and step4- DAT_MONTH_ID,CUS_CUSTOMER_CD,SUB_SUBSCRIPTION_CD (convert DAT_MONTH_ID to 'YYYY-MM-DD' format for joining )
    left join f_subscriber_ibro_prof_report_semantic_usl  T1 based on T1.rpt_month , T1.Cus_customer_cd,T1.sub_subscription_cd,T1.sub_bill_type_ext_cd and T.rpt_dt , T.Cus_customer_cd,T.sub_subscription_cd,T.sub_bill_type_ext_cd
--- NULL handling for Target Columns :
Ineteger - 0
Float Columns - 0.0
String - NA"	</t>
  </si>
  <si>
    <t>FIXED_COST_FL_FL_UI</t>
  </si>
  <si>
    <t>f_subscriber_cpa_fixed_cost_usl</t>
  </si>
  <si>
    <t xml:space="preserve">f_subscriber_base_semantic_m_usl </t>
  </si>
  <si>
    <t>CHARGE_DESC</t>
  </si>
  <si>
    <t>charge_desc</t>
  </si>
  <si>
    <t>CHARGE DESC</t>
  </si>
  <si>
    <t>SUB_FIXED_SERV_PROVIDER_DESC</t>
  </si>
  <si>
    <t>sub_fixed_serv_provider_desc</t>
  </si>
  <si>
    <t>SUB FIXED SERV PROVIDER DESC</t>
  </si>
  <si>
    <t xml:space="preserve">CPA_SOURCE || " FIXED COST"  </t>
  </si>
  <si>
    <t xml:space="preserve">f_subscriber_ibro_prof_report_semantic_usl  </t>
  </si>
  <si>
    <t>f_PRICEPLAN_RATE</t>
  </si>
  <si>
    <t>PRD_PRODUCT_DESC</t>
  </si>
  <si>
    <t>prd_product_desc</t>
  </si>
  <si>
    <t>PRD PRODUCT DESC</t>
  </si>
  <si>
    <t xml:space="preserve">sum(F_CHARGE_AMT )/ count ( distinct subscribers) </t>
  </si>
  <si>
    <t>CPA Credit</t>
  </si>
  <si>
    <r>
      <rPr>
        <b/>
        <sz val="10"/>
        <color rgb="FF000000"/>
        <rFont val="Vodafone Rg "/>
      </rPr>
      <t xml:space="preserve">Mobile : </t>
    </r>
    <r>
      <rPr>
        <sz val="10"/>
        <color rgb="FF000000"/>
        <rFont val="Vodafone Rg "/>
      </rPr>
      <t xml:space="preserve">
Step 01: Retrieve records from CREDIT_DTLD_UI C table using filter UPPER(ACR_CREDIT_REASON_DESC) NOT IN ('MISSING PAYMENT', 'WRITE OFF')
Step 02: Retrieve count of subscribers for  each customer by filtering UNITCOUNTABLE_IND=1 from  f_subscriber_base_semantic_m_usl
Step 03: step 1  left join step 02  based on CUS_CUSTOMER_CD and DAT_MONTH_ID,Divide F_TRANSACTION_GROSS_AMT and F_TRANSACTION_NET_AMT by count of subscriber derived in step 2. (If count of subscribers obtained from step 2 is 0 or NULL then divide with 1)
 Step 03 C left join f_subscriber_base_semantic_m_usl  T (filter UNITCOUNTABLE_IND=1) based on C.CUS_CUSTOMER_CD ,C. DAT_MONTH_ID and T.CUS_CUSTOMER_CD and T.rpt_dt (DAT_MONTH_ID to 'YYYY-MM-DD' format for joining))
 left join  f_subscriber_ibro_prof_report_semantic_usl T1  based on T1.rpt_month , T1.Cus_customer_cd,T1.sub_subscription_cd,T1.sub_bill_type_ext_cd and T.rpt_dt , T.Cus_customer_cd,T.sub_subscription_cd,T.sub_bill_type_ext_cd  
Left Join stg_subscriber_cpa_union_usl T2 based on T2.reporting_date , T2.Cus_customer_cd,T2.sub_subscription_cd,T2.sub_bill_type_ext_cd and  T1.rpt_month , T1.Cus_customer_cd,T1.sub_subscription_cd,T1.sub_bill_type_ext_cd
--- NULL handling for Target Columns :
Ineteger - 0
Float Columns - 0.0
String - NA</t>
    </r>
  </si>
  <si>
    <t xml:space="preserve">For prepaid and Fixed :  Union prepaid and fixed dataset with Mobile for f_susbscriber_cpa_cerdit_usl
"Step 01: Retrieve distinct records from CREDIT_DTLD_UI table 
Step 02: Retrieve count of subscribers for combination customer,rpt_dt,cpa_source from  f_subscriber_base_semantic_m_usl , filter cpa_source (MOBILE PRE , FIXED)
Step 03: f_subscriber_base_semantic_m_usl T (filter cpa_source - MOBILE PRE , FIXED)  
            join step 02  based on CUS_CUSTOMER_CD rpt_dt and cpa_source 
           Join step 01 based on step2.CUS_CUSTOMER_CD,step2.rpt_dt and step1.CUS_CUSTOMER_CD , step1.DAT_MONTH_ID (convert DAT_MONTH_ID to date while joining)
          then Divide F_TRANSACTION_GROSS_AMT and F_TRANSACTION_NET_AMT by count of subscriber derived in step 2. (If count of subscribers obtained from step 2 is 0 or NULL then divide with 1)
 Step 03  left join  f_subscriber_ibro_prof_report_semantic_usl T1  based on T1.rpt_month , T1.Cus_customer_cd,T1.sub_subscription_cd,T1.sub_bill_type_ext_cd and T.rpt_dt , T.Cus_customer_cd,T.sub_subscription_cd,T.sub_bill_type_ext_cd  
Left Join stg_subscriber_cpa_union_usl T2 based on T2.reporting_date , T2.Cus_customer_cd,T2.sub_subscription_cd,T2.sub_bill_type_ext_cd and  T1.rpt_month , T1.Cus_customer_cd,T1.sub_subscription_cd,T1.sub_bill_type_ext_cd
</t>
  </si>
  <si>
    <t>CREDIT_DTLD_UI</t>
  </si>
  <si>
    <t>f_subscriber_cpa_credit_usl</t>
  </si>
  <si>
    <t> </t>
  </si>
  <si>
    <t>CUS_CUSTOMER_EXT_CD</t>
  </si>
  <si>
    <t>CUS CUSTOMER EXT CD</t>
  </si>
  <si>
    <t>String</t>
  </si>
  <si>
    <t>Integer</t>
  </si>
  <si>
    <t>ACR_CREDIT_REASON_DESC</t>
  </si>
  <si>
    <t>acr_credit_reason_desc</t>
  </si>
  <si>
    <t>ACR CREDIT REASON DESC</t>
  </si>
  <si>
    <t>ACR_TRANSACTION_TYPE_DESC</t>
  </si>
  <si>
    <t>acr_transaction_type_desc</t>
  </si>
  <si>
    <t>ACR TRANSACTION TYPE DESC</t>
  </si>
  <si>
    <t>ACR_TRANS_CATEGORY_DESC</t>
  </si>
  <si>
    <t>acr_trans_category_desc</t>
  </si>
  <si>
    <t>ACR TRANS CATEGORY DESC</t>
  </si>
  <si>
    <t>BLL_CHARGE_DESC</t>
  </si>
  <si>
    <t>bll_charge_desc</t>
  </si>
  <si>
    <t>BLL CHARGE DESC</t>
  </si>
  <si>
    <t>BLL_DISCOUNTABLE_IND_DESC</t>
  </si>
  <si>
    <t>bll_discountable_ind_desc</t>
  </si>
  <si>
    <t>BLL DISCOUNTABLE IND DESC</t>
  </si>
  <si>
    <t>DEFAULT</t>
  </si>
  <si>
    <t>agent_id</t>
  </si>
  <si>
    <t>AGENT ID</t>
  </si>
  <si>
    <t>team_name</t>
  </si>
  <si>
    <t>TEAM NAME</t>
  </si>
  <si>
    <t>CPA_SOURCE || " CREDIT"</t>
  </si>
  <si>
    <t>ACT_IND</t>
  </si>
  <si>
    <t>Check whether the column SUB_SUBSCRIPTION_CD in the table stg_cpa_union  has a non-null value. If it does, returns 1, otherwise 0</t>
  </si>
  <si>
    <t>f_subscriber_base_semantic_m_usl, CREDIT_DTLD_UI</t>
  </si>
  <si>
    <t>ACR_CREDIT_REASON_DESC, CPA Source</t>
  </si>
  <si>
    <r>
      <rPr>
        <strike/>
        <sz val="10"/>
        <color rgb="FFFF0000"/>
        <rFont val="Vodafone Rg "/>
      </rPr>
      <t>If CPA source = "FIXED" OR "MOBILE POST" then</t>
    </r>
    <r>
      <rPr>
        <sz val="10"/>
        <color theme="1"/>
        <rFont val="Vodafone Rg "/>
      </rPr>
      <t xml:space="preserve"> if(ACR_CREDIT_REASON_DESC='Write off') then 0 else 1</t>
    </r>
  </si>
  <si>
    <t>activation_ind_q</t>
  </si>
  <si>
    <t>ACTIVATION IND Q</t>
  </si>
  <si>
    <t>F_TOPUP_NONCONTRIBUTORY_AMT ,CPA Source</t>
  </si>
  <si>
    <t xml:space="preserve">If CPA source = "MOBILE PRE" THEN If(F_TOPUP_NONCONTRIBUTORY_AMT is not equal to 0 then 1) else 0 </t>
  </si>
  <si>
    <t>nc_credit_customer_q</t>
  </si>
  <si>
    <t>NC CREDIT CUSTOMER Q</t>
  </si>
  <si>
    <t>F_TRANSACTION_GROSS_AMT</t>
  </si>
  <si>
    <t>Float</t>
  </si>
  <si>
    <t>F_TRANSACTION_GROSS_AMT/COUNT OF SUB_SUBSCRIPTION_CD FOR EVERY CUS_CUSTOMER_CD</t>
  </si>
  <si>
    <t>f_gross_credit_amt</t>
  </si>
  <si>
    <t>F GROSS CREDIT AMT</t>
  </si>
  <si>
    <t>F_TRANSACTION_NET_AMT</t>
  </si>
  <si>
    <t>F_TRANSACTION_NET_AMT/COUNT OF SUB_SUBSCRIPTION_CD FOR EVERY CUS_CUSTOMER_CD</t>
  </si>
  <si>
    <t>f_net_credit_amt</t>
  </si>
  <si>
    <t>F NET CREDIT AMT</t>
  </si>
  <si>
    <t>F_TRANSACTION_GROSS_AMT,
F_TRANSACTION_NET_AMT</t>
  </si>
  <si>
    <t>f_gross_credit_amt - f_net_credit_amt</t>
  </si>
  <si>
    <t>f_tax_amt</t>
  </si>
  <si>
    <t>F TAX AMT</t>
  </si>
  <si>
    <t>Both source columns are from stg_subscriber_cpa_credit for both columns</t>
  </si>
  <si>
    <t>if Activation_ind_q = 1 then ( GROSS_CREDIT_AMT)*-1</t>
  </si>
  <si>
    <t>f_gross_credit_q</t>
  </si>
  <si>
    <t>F GROSS CREDIT Q</t>
  </si>
  <si>
    <t>if Activation_ind_q = 1 then (TAX_AMT)</t>
  </si>
  <si>
    <t>f_tax_q</t>
  </si>
  <si>
    <t>F TAX Q</t>
  </si>
  <si>
    <t>if Activation_ind_q = 1 then (NET_CREDIT_AMT)*-1</t>
  </si>
  <si>
    <t>f_net_credit_q</t>
  </si>
  <si>
    <t>F NET CREDIT Q</t>
  </si>
  <si>
    <t>f_subscriber_ibro_prof_report_semantic_usl , f_subscriber_base_semantic_m_usl</t>
  </si>
  <si>
    <t>F_TOPUP_NONCONTRIBUTORY_AMT , CPA source</t>
  </si>
  <si>
    <t xml:space="preserve">If CPA source = "MOBILE PRE" THEN F_TOPUP_NONCONTRIBUTORY_AMT*-1 else 0 </t>
  </si>
  <si>
    <t>f_nc_credit_customer_q</t>
  </si>
  <si>
    <t>F NC CREDIT CUSTOMER Q</t>
  </si>
  <si>
    <t>when a subscriber ID is appeared for the first time in a reporting month,then  1. If the same subscriber ID appears multiple times in a reporting month, all subsequent entries should be assigned as 0.</t>
  </si>
  <si>
    <t>c_subs_cnt_ind</t>
  </si>
  <si>
    <t>CPA Call Center</t>
  </si>
  <si>
    <t>CALL_CENTER_UI C left join f_subscriber_base_semantic_m_usl T 
based on T.rpt_dt , T.sub_subscription_cd and C.sub_subscription_cd and C.DAT_MONTH_ID (convert C.DAT_MONTH_ID to 'YYYY-MM-DD' format for joining) 
left join 
f_subscriber_ibro_prof_report_semantic_usl T1  based on T1.rpt_month , T1.Cus_customer_cd,T1.sub_subscription_cd,T1.sub_bill_type_ext_cd and T.rpt_dt , T.Cus_customer_cd,T.sub_subscription_cd,T.sub_bill_type_ext_cd   
Left Join stg_subscriber_cpa_union_usl T2 based on T2.reporting_date , T2.Cus_customer_cd,T2.sub_subscription_cd,T2.sub_bill_type_ext_cd and  T1.rpt_month , T1.Cus_customer_cd,T1.sub_subscription_cd,T1.sub_bill_type_ext_cd . 
Left Join withCALL_CENTER_WRAPUP_UI W based on C.WRAPUP_ID and W.WRAPUP_ID   . (Before joining consider only distinct values of WRAPUP_ID from CALL_CENTER_WRAPUP_UI.)
--- NULL handling for Target Columns : 
Ineteger - 0
Float Columns - 0.0
String - NA</t>
  </si>
  <si>
    <t>CALL_CENTER_UI</t>
  </si>
  <si>
    <t>f_subscriber_cpa_call_center_usl</t>
  </si>
  <si>
    <t>CALL_CENTER_WRAPUP_UI T  Left Join 
d_call_center_wrapup_usl T1
If T.WRAPUP_ID and T.INT_CC_CALL_REASON_1 and T.INT_CC_CALL_REASON_2 and T.INT_CC_CALL_REASON_3 is null then 'UNKNOWN' =UPPER(T1.cc_call_reason_cd) 
else use below condition
UPPER(IFNULL(T.WRAPUP_ID,'UNKNOWN')||""-""||IFNULL(T.INT_CC_CALL_REASON_1,'UNKNOWN') ||""-""||IFNULL(T.INT_CC_CALL_REASON_2,'UNKNOWN') ||""-""||IFNULL(T.INT_CC_CALL_REASON_3,'UNKNOWN' )  )
=UPPER(T1.cc_call_reason_cd) 
Retrieve below column
T1.dw_uniq_cc_type_id</t>
  </si>
  <si>
    <t>T. Wrapup_id
,T.int_cc_call_reason_1
,T.int_cc_call_reason_2
,T.int_cc_call_reason_3
,T1.cc_call_reason_cd</t>
  </si>
  <si>
    <t>CALL_CENTER_WRAPUP_UI T  Left Join 
d_call_center_wrapup_usl T1
If T.WRAPUP_ID and T.INT_CC_CALL_REASON_1 and T.INT_CC_CALL_REASON_2 and T.INT_CC_CALL_REASON_3 is null then 'UNKNOWN' =UPPER(T1.cc_call_reason_cd) 
else use below condition
UPPER(IFNULL(T.WRAPUP_ID,'UNKNOWN')||""-""||IFNULL(T.INT_CC_CALL_REASON_1,'UNKNOWN') ||""-""||IFNULL(T.INT_CC_CALL_REASON_2,'UNKNOWN') ||""-""||IFNULL(T.INT_CC_CALL_REASON_3,'UNKNOWN' )  )
=UPPER(T1.cc_call_reason_cd) 
Retrieve below column
T1.dw_cc_type_id</t>
  </si>
  <si>
    <t>INT_CC_HELPDESK_CALL_DT</t>
  </si>
  <si>
    <t>CONVERT IT INTO YYYYMM FORMAT</t>
  </si>
  <si>
    <t>cc_call_month</t>
  </si>
  <si>
    <t>CC CALL MONTH</t>
  </si>
  <si>
    <t>cc_call_dt</t>
  </si>
  <si>
    <t>CC CALL DT</t>
  </si>
  <si>
    <t>WRAPUP_ID</t>
  </si>
  <si>
    <t>wrapup_id</t>
  </si>
  <si>
    <t>WRAPUP ID</t>
  </si>
  <si>
    <t>CALL_CENTER_WRAPUP_UI</t>
  </si>
  <si>
    <t>AGENT_GROUP</t>
  </si>
  <si>
    <t>agent_group</t>
  </si>
  <si>
    <t>AGENT GROUP</t>
  </si>
  <si>
    <t>CALL_DIRECTION</t>
  </si>
  <si>
    <t>call_direction</t>
  </si>
  <si>
    <t>CALL DIRECTION</t>
  </si>
  <si>
    <t>TNPS_SCORE</t>
  </si>
  <si>
    <t>tnps_score</t>
  </si>
  <si>
    <t>TNPS SCORE</t>
  </si>
  <si>
    <t>CPA_SOURCE || "  CALL CENTER"</t>
  </si>
  <si>
    <t>cc_subs_ind</t>
  </si>
  <si>
    <t>F_DURATIO_SUM</t>
  </si>
  <si>
    <t>F_DURATIO_SUM/60</t>
  </si>
  <si>
    <t>f_duration_sum</t>
  </si>
  <si>
    <t>F DURATION SUM</t>
  </si>
  <si>
    <t>F_CALL_COUNT</t>
  </si>
  <si>
    <t>f_call_count</t>
  </si>
  <si>
    <t>F CALL COUNT</t>
  </si>
  <si>
    <t>f_duration_sum - derived above in the target table</t>
  </si>
  <si>
    <t xml:space="preserve">DERIVED </t>
  </si>
  <si>
    <t>f_duration_sum/60</t>
  </si>
  <si>
    <t>f_call_hours_q</t>
  </si>
  <si>
    <t>F CALL HOURS Q</t>
  </si>
  <si>
    <t>((f_duration_sum)/60)*9.3)*-1</t>
  </si>
  <si>
    <t>f_call_cost_q</t>
  </si>
  <si>
    <t>F CALL COST Q</t>
  </si>
  <si>
    <t>if(DAT_MONTH_ID&gt;='202103') then '9.3' else '8.5'  if no monthyear is selected then use   '9.3'</t>
  </si>
  <si>
    <t>f_cost_per_hour_q</t>
  </si>
  <si>
    <t>F COST PER HOUR Q</t>
  </si>
  <si>
    <t>[NPS Category] = IF(TNPS_SCORE&gt;=0 AND TNPS_SCORE&lt;=6) then  0 else
     if(TNPS_SCORE=7) then  1  else
     if(TNPS_SCORE&gt;7 and TNPS_SCORE&lt;=10) then  2  else 99</t>
  </si>
  <si>
    <t>nps_category</t>
  </si>
  <si>
    <t>CPA Mobile Qlik logic stage tables</t>
  </si>
  <si>
    <t>STG_Retail_Opex</t>
  </si>
  <si>
    <t>Step 1:
SELECT 
Dealer_ID,
Sum([Cost in Euro]) As Retail_Cost
vf-ie-mc2-nonlive.vfie_mc2_nonlive_ie_lake_mc2_processed_s.OPEX_FILE
Group by Dealer ID</t>
  </si>
  <si>
    <t>Remarks</t>
  </si>
  <si>
    <t>From Step1 Query</t>
  </si>
  <si>
    <t>Dealer_ID</t>
  </si>
  <si>
    <t>CPA Mobile</t>
  </si>
  <si>
    <t>History data</t>
  </si>
  <si>
    <t>Retail_Cost</t>
  </si>
  <si>
    <t>STG_Inflow_Ret_Subs</t>
  </si>
  <si>
    <t xml:space="preserve">Step 1:
Select distinct 
DAT_MONTH_ID,
DLR_DEALER_SRC_CD,
Count(SUB_SUBSCRIPTION_CD) as Subs
from 
`vfie_dh_lake_finance_mc2_presentation_processed_s`.`GBD_IE_CPA_PNL_STORE`
Where
TRANSACTION_TYPE in ('INFLOW','RETENTION')
and DLR_DEALER_SRC_CD ='RVF01'
GROUP BY DAT_MONTH_ID,
  DLR_DEALER_SRC_CD
</t>
  </si>
  <si>
    <t>Subs</t>
  </si>
  <si>
    <t>stg_cpa_mobile_discovery_q_usl</t>
  </si>
  <si>
    <t>`vfie_dh_lake_finance_mc2_presentation_processed_s`.`GBD_IE_CPA_PNL_STORE`</t>
  </si>
  <si>
    <t>CPA Mobile Discovery</t>
  </si>
  <si>
    <t xml:space="preserve">Transaction_type </t>
  </si>
  <si>
    <t>1.If Transaction type is inflow,retention,outflow use [Store Net Revenue] else use [Net Revenue])
where
   a. [Store Net Revenue] = STORE_NET_REVENUE_S
2.[Net Revenue] = SERVICE_REVENUE_CB</t>
  </si>
  <si>
    <t>service_revenue_cpam_q</t>
  </si>
  <si>
    <t>Service Revenue</t>
  </si>
  <si>
    <t>Discovery View</t>
  </si>
  <si>
    <t>1.If Transaction type is inflow,retention,base use   SERVICE_REVENUE_CB</t>
  </si>
  <si>
    <t>service_revenue_cb_cpam_q</t>
  </si>
  <si>
    <t>Service Revenue Closing base</t>
  </si>
  <si>
    <t>1.If Transaction type  is inflow,retention,outflow  then use AIRTIME_MARGIN else AIRTIME_MARGIN_CB  
where AIRTIME_MARGIN and AIRTIME_MARGIN_CB are direct fields</t>
  </si>
  <si>
    <t>est_airtime_margin_cpam_q</t>
  </si>
  <si>
    <t>Est.Airtime Margin</t>
  </si>
  <si>
    <t xml:space="preserve">1.If Transaction type  is inflow,retention,base  then use AIRTIME_MARGIN_CB  
</t>
  </si>
  <si>
    <t>est_airtime_margin_cb_cpam_q</t>
  </si>
  <si>
    <t>Est.Airtime Margin  Closing base</t>
  </si>
  <si>
    <t>1.Avg EBIDTA = If Transaction type is inflow,retention,outflow(Please use upper case)  then use EBITDA_Q else use EBITDA_CB
where EBITDA_CB,EBITDA_Q are direct fields</t>
  </si>
  <si>
    <t>est_ebidta_cpam_q</t>
  </si>
  <si>
    <t>Est EBIDTA</t>
  </si>
  <si>
    <t>Used in Executive Mobile Bill pay Pnl</t>
  </si>
  <si>
    <t>1.Avg EBIDTA = If Transaction type is inflow,retention,Base(Please use upper case)  then use EBITDA_CB
where EBITDA_CB is direct field</t>
  </si>
  <si>
    <t>est_ebidta_cb_cpam_q</t>
  </si>
  <si>
    <t>Est EBIDTA  Closing base</t>
  </si>
  <si>
    <t>`vfie_dh_lake_finance_mc2_presentation_processed_s`.`GBD_IE_CPA_PNL_STORE` 
LEFT JOIN stg_cltv_aa_usl 
using below joining condition
Key created in  `GBD_IE_CPA_PNL_STORE` : (Upper(CUS_CUSTOMER_SUB_TYPE_DESC)&amp;'|'&amp;Upper(SUB_BUNDLE_TYPE_DESC)&amp;'|'&amp;Upper(SUB_BILL_TYPE_EXT_CD)&amp;'|'&amp;Upper(CHNL_LEVEL_3)&amp;'|'&amp;Upper(TRANSACTION_TYPE) &amp;'|'&amp;DAT_MONTH_ID) 
Left joined with CLTV Table  using Key:
(Upper(CUS_CUSTOMER_SUB_TYPE_DESC)&amp;'|'&amp;Upper(SUB_BUNDLE_TYPE_DESC)&amp;'|'&amp;Upper(SUB_BILL_TYPE_EXT_CD)&amp;'|'&amp;Upper(CHNL_LEVEL_3)&amp;'|'&amp;Upper(TRANSACTION_TYPE) &amp;'|'&amp;REPORTING_MONTH_CD))</t>
  </si>
  <si>
    <t>inflow_clt from stg_cltv_aa_usl  table</t>
  </si>
  <si>
    <t>est_tenure_cpam_q</t>
  </si>
  <si>
    <t>Est.Tenure</t>
  </si>
  <si>
    <t>Used in Summary P&amp;L</t>
  </si>
  <si>
    <t>If Transaction  type is inflow,retention,outflow(Please use upper case) then use Est_Gross_Margin else for transaction type  base use Est_Gross_Margin_CB.
Est_Gross_Margin, Est_Gross_Margin_CB are direct fields</t>
  </si>
  <si>
    <t>gross_margin_cpam_q</t>
  </si>
  <si>
    <t>Gross Margin</t>
  </si>
  <si>
    <t>If Transaction type  is inflow,retention,base then Est_Gross_Margin_CB</t>
  </si>
  <si>
    <t>gross_margin_cb_cpam_q</t>
  </si>
  <si>
    <t>Gross Margin Closing Base</t>
  </si>
  <si>
    <t xml:space="preserve">(F_ROAMING_VOICE_REV + F_ROAMING_SMS_REV + F_ROAMING_DATA_REV)	</t>
  </si>
  <si>
    <t>roaming_revenue_cpam_q</t>
  </si>
  <si>
    <t>Roaming Revenue</t>
  </si>
  <si>
    <t>avg_tenure_cpam_q</t>
  </si>
  <si>
    <t>Avg Tenure</t>
  </si>
  <si>
    <t xml:space="preserve">(F_USED_DATA)/1024	</t>
  </si>
  <si>
    <t>national_data_gb_cpam_q</t>
  </si>
  <si>
    <t>National Data(in GBs)</t>
  </si>
  <si>
    <t>(F_USED_DURATION/60)</t>
  </si>
  <si>
    <t>national_voice_min_cpam_q</t>
  </si>
  <si>
    <t>National Voice ( in Mins)</t>
  </si>
  <si>
    <t>(F_USED_SMS)</t>
  </si>
  <si>
    <t>national_sms_cpam_q</t>
  </si>
  <si>
    <t>National SMS</t>
  </si>
  <si>
    <t>(F_USED_ROAMING_DATA/1024)</t>
  </si>
  <si>
    <t>roaming data_gb_cpam_q</t>
  </si>
  <si>
    <t>Roaming Data(in GBS)</t>
  </si>
  <si>
    <t>(F_USED_ROAMING_VOICE/60)</t>
  </si>
  <si>
    <t>roaming voice_min_cpam_q</t>
  </si>
  <si>
    <t>Roaming Voice(in Mins)</t>
  </si>
  <si>
    <t>(F_USED_ROAMING_SMS)</t>
  </si>
  <si>
    <t>roaming_sms_cpam_q</t>
  </si>
  <si>
    <t>Roaming SMS</t>
  </si>
  <si>
    <t>MOBILE POST</t>
  </si>
  <si>
    <t>CPA_SOURCE || ' DISCOVERY'</t>
  </si>
  <si>
    <t>CPA_SUB_SOURCE</t>
  </si>
  <si>
    <t>stg_cpa_mobile_store_q_usl</t>
  </si>
  <si>
    <t>REPORTING MONTH</t>
  </si>
  <si>
    <t>CPA Mobile Summary</t>
  </si>
  <si>
    <t>DW_CUSTOMER_ID</t>
  </si>
  <si>
    <t>DW SUBSCRIBER ID</t>
  </si>
  <si>
    <t>`vfie_dh_lake_finance_mc2_presentation_processed_s`.`GBD_IE_CPA_PNL_STORE` S
LEFT JOIN 
`vf-ie-datahub`.`vfie_dh_lake_finance_mc2_presentation_processed_s`.`AVG_REVENUE_BY_PRODUCT` A
ON S.PRICEPLAN_DESC = A.PRD_PRODUCT_DESC</t>
  </si>
  <si>
    <t>1. If transaction type is Inflow, retention, outflow(Please use upper case) then use S_INBUNDLE_REV column
2. S_INBUNDLE_REV ="Inbundle_Revenue" taken from AVG_REVENUE_BY_PRODUCT` 
3. For base  use F_IN_BUNDEL_REV_Q  revenue</t>
  </si>
  <si>
    <t>monthly_access_fee_cpam_q</t>
  </si>
  <si>
    <t>Monthly Access Fee</t>
  </si>
  <si>
    <t xml:space="preserve"> If transaction type is Inflow, retention, base (Please use upper case) then use   F_IN_BUNDEL_REV_Q  revenue</t>
  </si>
  <si>
    <t>monthly_access_fee_cb_cpam_q</t>
  </si>
  <si>
    <t>Monthly Access Fee Closing Base</t>
  </si>
  <si>
    <t>1. If transaction type is Inflow, retention, outflow then use S_OUTBUNDLE revenue column
2. S_OUTBUNDLE = ''OOB_Revenue'' taken from AVG_REVENUE_BY_PRODUCT` 
3. For base use  F_OUTBUNDLE_REV_Q</t>
  </si>
  <si>
    <t>out_of_bundle_revenue_cpam_q</t>
  </si>
  <si>
    <t>Out of Bundle Revenue</t>
  </si>
  <si>
    <t>1. If transaction type is Inflow, retention, base then use    F_OUTBUNDLE_REV_Q</t>
  </si>
  <si>
    <t>out_of_bundle_revenue_cb_cpam_q</t>
  </si>
  <si>
    <t>Out of Bundle Revenue Closing Base</t>
  </si>
  <si>
    <r>
      <rPr>
        <sz val="10"/>
        <rFont val="Calibri"/>
        <family val="2"/>
      </rPr>
      <t xml:space="preserve">1. If transaction type is Inflow, retention, outflow(Please use upper case) then use S_ADD_SERVICE_REV revenue column
2.S_ADD_SERVICE_REV = "Additional_Service_Revenue" taken from AVG_REVENUE_BY_PRODUCT` 
3. For base &amp; closing base use F_ADDL_SERVICE_REV revenue, this is a direct field from semantic </t>
    </r>
  </si>
  <si>
    <t>additional_service_revenue_cpam_q</t>
  </si>
  <si>
    <t>Additional Service Revenue</t>
  </si>
  <si>
    <r>
      <rPr>
        <sz val="10"/>
        <rFont val="Calibri"/>
        <family val="2"/>
      </rPr>
      <t xml:space="preserve">1. If transaction type is Inflow, retention, base(Please use upper case) then  F_ADDL_SERVICE_REV revenue, this is a direct field from semantic </t>
    </r>
  </si>
  <si>
    <t>additional_service_revenue_cb_cpam_q</t>
  </si>
  <si>
    <t>Additional Service Revenue Closing Base</t>
  </si>
  <si>
    <r>
      <t xml:space="preserve">1.if transaction type is inflow,retention, outflow (Please use upper case) then use [Store Total Revenue] else use [Total Revenue]
where 
2.[Store Total Revenue] = STORE_TOTAL_REVENUE_S
</t>
    </r>
    <r>
      <rPr>
        <b/>
        <sz val="10"/>
        <rFont val="Vodafone Rg"/>
        <family val="2"/>
      </rPr>
      <t xml:space="preserve">3. [Total Revenue ] = (F_IN_BUNDEL_REV + F_OUTBUNDLE_REV + F_ADDL_SERVICE_REV+F_DISCOUNT_CST*-1)
</t>
    </r>
  </si>
  <si>
    <t>mobile_customer_revenue_cpam_q</t>
  </si>
  <si>
    <t>Mobile_Customer_Revenue</t>
  </si>
  <si>
    <r>
      <t xml:space="preserve">1.if transaction type is inflow,retention, Base (Please use upper case) then  use [Total Revenue]
where 
</t>
    </r>
    <r>
      <rPr>
        <b/>
        <sz val="10"/>
        <rFont val="Vodafone Rg"/>
        <family val="2"/>
      </rPr>
      <t>3. [Total Revenue ] = (F_IN_BUNDEL_REV + F_OUTBUNDLE_REV + F_ADDL_SERVICE_REV+F_DISCOUNT_CST*-1)</t>
    </r>
  </si>
  <si>
    <t>mobile_customer_revenue_cb_cpam_q</t>
  </si>
  <si>
    <t>Mobile_Customer_Revenue_CB</t>
  </si>
  <si>
    <t>1. If transaction type is Inflow, retention, outflow(Please use upper case) then use S_DISCOUNT_CST column
2. S_DISCOUNT_CST : "Discount" taken from `AVG_REVENUE_BY_PRODUCT` 
3. For base use F_DISCOUNT_CST, this is a direct field from semantic (GBD_IE_CPA_PNL_STORE)</t>
  </si>
  <si>
    <t>discount_cpam_q</t>
  </si>
  <si>
    <t>Discount</t>
  </si>
  <si>
    <t>1. If transaction type is Inflow, retention, base(Please use upper case) then use F_DISCOUNT_CST, this is a direct field from semantic (GBD_IE_CPA_PNL_STORE)</t>
  </si>
  <si>
    <t>discount_cb_cpam_q</t>
  </si>
  <si>
    <t>Discount Closing Base</t>
  </si>
  <si>
    <t xml:space="preserve">1. If transaction type is Inflow, retention, outflow(Please use upper case) then use Store_Credit_Amt
2. Store_credit_Amt= "STORE_CREDIT_AMT_S"
3. For Base use F_CREDIT_AMT = "F_CREDIT_AMT_Q"
</t>
  </si>
  <si>
    <t>credit_cpam_q</t>
  </si>
  <si>
    <t>Credit</t>
  </si>
  <si>
    <t xml:space="preserve">1. If transaction type is Inflow, retention, base(Please use upper case) then use  "F_CREDIT_AMT_Q"
</t>
  </si>
  <si>
    <t>credit_cb_cpam_q</t>
  </si>
  <si>
    <t>Credit Closing Base</t>
  </si>
  <si>
    <r>
      <t xml:space="preserve">1. If transaction type is Inflow, retention, outflow(Please use upper case) then use [Store Total Revenue Inc]  else for other transaction type use [Total Revenue Inc]
where
   a.[Store Total Revenue Inc] = STORE_TOTAL_REVENUE_INC_S
2.[Total Revenue Inc] = ([Total Revenue]+F_DISCOUNT_CST+F_CREDIT_AMT_Q)	
</t>
    </r>
    <r>
      <rPr>
        <strike/>
        <sz val="10"/>
        <color rgb="FFFF0000"/>
        <rFont val="Calibri"/>
        <family val="2"/>
      </rPr>
      <t xml:space="preserve">
</t>
    </r>
    <r>
      <rPr>
        <b/>
        <sz val="10"/>
        <rFont val="Calibri"/>
        <family val="2"/>
      </rPr>
      <t>3. [Total Revenue ] = (F_IN_BUNDEL_REV + F_OUTBUNDLE_REV + F_ADDL_SERVICE_REV+F_DISCOUNT_CST*-1)</t>
    </r>
    <r>
      <rPr>
        <strike/>
        <sz val="10"/>
        <color rgb="FFFF0000"/>
        <rFont val="Calibri"/>
        <family val="2"/>
      </rPr>
      <t xml:space="preserve">
</t>
    </r>
    <r>
      <rPr>
        <sz val="10"/>
        <rFont val="Calibri"/>
        <family val="2"/>
      </rPr>
      <t xml:space="preserve">
4. STORE_TOTAL_REVENUE_INC_S,F_IN_BUNDEL_REV_Q,F_OUTBUNDLE_REV_Q,F_ADDL_SERVICE_REV,F_DISCOUNT_CST,F_CREDIT_AMT_Q
 are direct fields</t>
    </r>
  </si>
  <si>
    <t>mobile_customer_revenue_d_c_cpam_q</t>
  </si>
  <si>
    <t>Mobile Customer Revenue - D&amp;C</t>
  </si>
  <si>
    <r>
      <t xml:space="preserve">1. If transaction type is Inflow, retention, base(Please use upper case) then [Total Revenue Inc]
where
  [Total Revenue Inc] = ([Total Revenue]+F_DISCOUNT_CST+F_CREDIT_AMT_Q)	
</t>
    </r>
    <r>
      <rPr>
        <b/>
        <sz val="10"/>
        <rFont val="Calibri"/>
        <family val="2"/>
      </rPr>
      <t xml:space="preserve">3. [Total Revenue ] = (F_IN_BUNDEL_REV + F_OUTBUNDLE_REV + F_ADDL_SERVICE_REV+F_DISCOUNT_CST*-1)
</t>
    </r>
    <r>
      <rPr>
        <sz val="10"/>
        <rFont val="Calibri"/>
        <family val="2"/>
      </rPr>
      <t xml:space="preserve">
4. STORE_TOTAL_REVENUE_INC_S,F_IN_BUNDEL_REV_Q,F_OUTBUNDLE_REV_Q,F_ADDL_SERVICE_REV,F_DISCOUNT_CST,F_CREDIT_AMT_Q
 are direct fields</t>
    </r>
  </si>
  <si>
    <t>mobile_customer_revenue_d_c_cb_cpam_q</t>
  </si>
  <si>
    <t>Mobile Customer Revenue - D&amp;C closing base</t>
  </si>
  <si>
    <t>1. If transaction type is Inflow, retention, outflow then use Store Net Revenue else use  Net Revenue.
2. Store Net Revenue = "STORE_NET_REVENUE_S" 
3. Net Revenue = SERVICE_REVENUE_CB</t>
  </si>
  <si>
    <t>mobile_service_revenue_cpam_q</t>
  </si>
  <si>
    <t>Mobile Service Revenue</t>
  </si>
  <si>
    <t>1. If transaction type is Inflow, retention, base then use  Net Revenue.
Net Revenue = SERVICE_REVENUE_CB</t>
  </si>
  <si>
    <t>mobile_service_revenue_cb_cpam_q</t>
  </si>
  <si>
    <t>Mobile Service Revenue Closing Base</t>
  </si>
  <si>
    <t>1. If transaction type is Inflow, retention, outflow(Please use upper case) then use S_IC_INT_CST  column
2. S_IC_INT_CST = "IC_Int_Cost" *-1 taken from `AVG_REVENUE_BY_PRODUCT`, 
3. For base use F_IC_INTL_CST_Q  revenue</t>
  </si>
  <si>
    <t>interconnect_international_cost_cpam_q</t>
  </si>
  <si>
    <t>Interconnect International Cost</t>
  </si>
  <si>
    <t>1. If transaction type is Inflow, retention, base then use F_IC_INTL_CST_Q  revenue</t>
  </si>
  <si>
    <t>interconnect_international_cost_cb_cpam_q</t>
  </si>
  <si>
    <t>Interconnect International Cost Closing Base</t>
  </si>
  <si>
    <t>1. If transaction type is Inflow, retention, outflow(Please use upper case) then use S_IC_NAT_CST  column
2.S_IC_NAT_CST = "IC_Nat_Cost" taken from `AVG_REVENUE_BY_PRODUCT`,
3. For base use F_IC_NTL_CST_Q revenue</t>
  </si>
  <si>
    <t>interconnect_national_cost_cpam_q</t>
  </si>
  <si>
    <t>Interconnect National Cost</t>
  </si>
  <si>
    <t>1. If transaction type is Inflow, retention, base(Please use upper case) then F_IC_NTL_CST_Q revenue</t>
  </si>
  <si>
    <t>interconnect_national_cost_cb_cpam_q</t>
  </si>
  <si>
    <t>Interconnect National Cost Closing Base</t>
  </si>
  <si>
    <t>1. If transaction type is Inflow, retention, outflow(Please use upper case) then use S_ROAMING_VOICE  column
2.  S_ROAMING_VOICE = "Roaming Voice"  taken from `AVG_REVENUE_BY_PRODUCT`,
3. For base use F_ROAMING_VOICE_CST_Q revenue</t>
  </si>
  <si>
    <t>roaming_voice_cost_cpam_q</t>
  </si>
  <si>
    <t>Roaming Voice Cost</t>
  </si>
  <si>
    <t>1. If transaction type is Inflow, retention, base(Please use upper case) then  use F_ROAMING_VOICE_CST_Q revenue</t>
  </si>
  <si>
    <t>roaming_voice_cost_cb_cpam_q</t>
  </si>
  <si>
    <t>Roaming Voice Cost Closing Base</t>
  </si>
  <si>
    <t>1. If transaction type is Inflow, retention, outflow(Please use upper case) then use S_ROAMING_DATA  column
2. S_ROAMING_DATA  = "Roaming Data"  taken from `AVG_REVENUE_BY_PRODUCT`,
3. For base use F_ROAMING_DATA_CST_Q revenue</t>
  </si>
  <si>
    <t>roaming_data_cost_cpam_q</t>
  </si>
  <si>
    <t>Roaming Data Cost</t>
  </si>
  <si>
    <t>1. If transaction type is Inflow, retention, base(Please use upper case) then use F_ROAMING_DATA_CST_Q revenue</t>
  </si>
  <si>
    <t>roaming_data_cost_cb_cpam_q</t>
  </si>
  <si>
    <t>Roaming Data Cost Closing Base</t>
  </si>
  <si>
    <t>1. If transaction type is Inflow, retention, outflow(Please use upper case) then use S_ROAMING_SMS  column
2. S_ROAMING_SMS = "Roaming SMS" taken from `AVG_REVENUE_BY_PRODUCT`,
3. For base use F_ROAMING_SMS_CST_Q revenue</t>
  </si>
  <si>
    <t>roaming_sms_cost_cpam_q</t>
  </si>
  <si>
    <t>Roaming SMS Cost</t>
  </si>
  <si>
    <t>1. If transaction type is Inflow, retention, outflow(Please use upper case) then use F_ROAMING_SMS_CST_Q revenue</t>
  </si>
  <si>
    <t>roaming_sms_cost_cb_cpam_q</t>
  </si>
  <si>
    <t>Roaming SMS Cost Closing Base</t>
  </si>
  <si>
    <t>For rpt_month&gt;=Jan 2020,use( F_INSURANCE_REV*.69)*-1  else (F_INSURANCE_REV*.91  )*-1</t>
  </si>
  <si>
    <t>insurance_cost_cpam_q</t>
  </si>
  <si>
    <t>Insurance Cost</t>
  </si>
  <si>
    <t xml:space="preserve"> F_CONTENT_CST_Q</t>
  </si>
  <si>
    <t>content_cost_cpam_q</t>
  </si>
  <si>
    <t>Content Cost</t>
  </si>
  <si>
    <t>1. If transaction type is Inflow, retention, outflow(Please use upper case) then use DIRECT_COST  else For base  DIRECT_COST_CB</t>
  </si>
  <si>
    <t>total_direct_cost_cpam_q</t>
  </si>
  <si>
    <t>Total Direct Cost</t>
  </si>
  <si>
    <t>1. If transaction type is Inflow, retention, base(Please use upper case) then  DIRECT_COST_CB</t>
  </si>
  <si>
    <t>total_direct_cost_cb_cpam_q</t>
  </si>
  <si>
    <t>Total Direct Cost Cosing Base</t>
  </si>
  <si>
    <t>1.If Transaction type  is inflow,retention,outflow(Please use upper case)  then use AIRTIME_MARGIN else AIRTIME_MARGIN_CB  
where AIRTIME_MARGIN and AIRTIME_MARGIN_CB are direct fields</t>
  </si>
  <si>
    <t>airtime_margin_cpam_q</t>
  </si>
  <si>
    <t>Airtime Margin</t>
  </si>
  <si>
    <t xml:space="preserve">1.If Transaction type  is inflow,retention,base(Please use upper case)  then  AIRTIME_MARGIN_CB  
where AIRTIME_MARGIN_CB  is  direct fields </t>
  </si>
  <si>
    <t>airtime_margin_cb_cpam_q</t>
  </si>
  <si>
    <t>Airtime Margin Closing Base</t>
  </si>
  <si>
    <t>1.[LT Direct Margin]= If transaction type is Inflow, retention(Please use upper case) then use Est_Lifetime_Margin
2.For Outflow,use AIRTIME_MARGIN, else For Base, use AIRTIME_MARGIN_CB
where Est_Lifetime_Margin,AIRTIME_MARGIN and AIRTIME_MARGIN_CB are direct fields</t>
  </si>
  <si>
    <t>est_lifetime_margin_cpam_q</t>
  </si>
  <si>
    <t>Est. Lifetime Margin</t>
  </si>
  <si>
    <t>1.If Transaction type  is inflow,retention,base(Please use upper case)  then AIRTIME_MARGIN_CB</t>
  </si>
  <si>
    <t>est_lifetime_margin_cb_cpam_q</t>
  </si>
  <si>
    <t>Est. Lifetime Margin Closing Base</t>
  </si>
  <si>
    <t xml:space="preserve">`vfie_dh_lake_finance_mc2_presentation_processed_s`.`GBD_IE_CPA_PNL_STORE` S
</t>
  </si>
  <si>
    <t>1. If transaction type is Inflow,Retention(Please use upper case)  use F_SUBSIDY*(-1)  
2.  If transaction type is Base,Outflow(Please use upper case) F_AMORT_SUBSIDY*(-1)       
where                                                                                                                                                                                            
F_AMORT_SUBSIDY,SUBSIDY   are direct fields</t>
  </si>
  <si>
    <t>subsidy_cpam_q</t>
  </si>
  <si>
    <t>Subsidy</t>
  </si>
  <si>
    <t xml:space="preserve"> If transaction type is Inflow,Retention , base then use F_AMORT_SUBSIDY*(-1)       
</t>
  </si>
  <si>
    <t>subsidy_cb_cpam_q</t>
  </si>
  <si>
    <t>Subsidy  Cosing Base</t>
  </si>
  <si>
    <t xml:space="preserve">	If CHNL_LEVEL_2 in 'VF Retail','VIS Outbound','VF Online Sales' then 0
	else 
	If UPPER(TRANSACTION_TYPE) in 'INFLOW','RETENTION' then F_COMMISSION_CST*(-1) 
	If transaction type is outflow : take    F_AMORT_COMMISSION_CST*(-1)
	else 0</t>
  </si>
  <si>
    <t>commision_cpam_q</t>
  </si>
  <si>
    <t>Commision</t>
  </si>
  <si>
    <t xml:space="preserve">	 
 If CHNL_LEVEL_2 in 'VF Retail','VIS Outbound','VF Online Sales' then 0
	else 	
if transaction type is  INFLOW,RETENTION,BASE then  
    if PRICEPLAN_DESC='RED 30 Day' then F_COMMISSION_CST else  
	if UPPER(TRANSACTION_TYPE) is 'INFLOW','RETENTION' and SIMO_DEVICE_IND='S' then F_COMMISSION_CST/12
	if UPPER(TRANSACTION_TYPE) is 'INFLOW','RETENTION'  and SIMO_DEVICE_IND='D' then F_COMMISSION_CST/24
	if(UPPER(TRANSACTION_TYPE)='BASE' then F_AMORT_COMMISSION_CST else F_COMMISSION_CST/24</t>
  </si>
  <si>
    <t>commision_cb_cpam_q</t>
  </si>
  <si>
    <r>
      <rPr>
        <sz val="10"/>
        <rFont val="Calibri"/>
        <family val="2"/>
      </rPr>
      <t>if transaction type is inflow or retention or outflow use INDIRECT_CST else use INDIRECT_CST_CB</t>
    </r>
    <r>
      <rPr>
        <b/>
        <sz val="10"/>
        <rFont val="Calibri"/>
        <family val="2"/>
      </rPr>
      <t xml:space="preserve">
</t>
    </r>
  </si>
  <si>
    <t>total_indirect_cost_cpam_q</t>
  </si>
  <si>
    <t>Total Indirect Cost</t>
  </si>
  <si>
    <t xml:space="preserve">1.Avg Gross Margin = If Transaction  type is inflow,retention,outflow then use Est_Gross_Margin else for transaction type closing base or base use Est_Gross_Margin_CB
Est_Gross_Margin, Est_Gross_Margin_CB are direct fields
</t>
  </si>
  <si>
    <t>est_gross_margin_cpam_q</t>
  </si>
  <si>
    <t>Est Gross Margin</t>
  </si>
  <si>
    <t xml:space="preserve"> use Est_Gross_Margin_CB
 Est_Gross_Margin_CB is direct fields
</t>
  </si>
  <si>
    <t>est_gross_margin_cb_cpam_q</t>
  </si>
  <si>
    <t>Est Gross Margin Closing Base</t>
  </si>
  <si>
    <t>`vfie_dh_lake_finance_mc2_presentation_processed_s`.`GBD_IE_CPA_PNL_STORE` S
LEFT JOIN 
STG_Inflow_Ret_Subs STG_IRS
On S.DLR_DEALER_SRC_CD = STG_INF_RET.DLR_DEALER_SRC_CD
AND S.DAT_MONTH_ID = STG_IRS.DAT_MONTH_ID
LEFT JOIN STG_Retail_Opex STG_RO
ON STG_IRS.DLR_DEALER_SRC_CD = SRG_RO.Dealer ID</t>
  </si>
  <si>
    <t>1. If transaction type is Inflow, retention use AvgCost*(-1) else 0
2.AvgCost=  Retail_Cost/Subs	
3.Retail_Cost  is taken from  STG_Retail_Opex
4.Subs is taken from STG_Inflow_Ret_Subs</t>
  </si>
  <si>
    <t>vodafone_retail_cost_cpam_q</t>
  </si>
  <si>
    <t>Vodafone Retail Cost</t>
  </si>
  <si>
    <t>cost_to_carry_cpam_q</t>
  </si>
  <si>
    <t>Cost to Carry</t>
  </si>
  <si>
    <t xml:space="preserve">F_DURATIO_SUM_S
</t>
  </si>
  <si>
    <t>cost_to_service_cpam_q</t>
  </si>
  <si>
    <t>Cost to Service</t>
  </si>
  <si>
    <t>F_USED_DATA_S + F_DURATIO_SUM_S</t>
  </si>
  <si>
    <t>total_opex_cost_cpam_q</t>
  </si>
  <si>
    <t>Total Opex Cost</t>
  </si>
  <si>
    <t>1.Avg EBIDTA = If Transaction type is inflow,retention,outflow(Please use upper case)  then use EBITDA else use EBITDA_CB
where EBITDA_CB,EBITDA are direct fields</t>
  </si>
  <si>
    <t>est_ebitda_cpam_q</t>
  </si>
  <si>
    <t>Est_EBITDA</t>
  </si>
  <si>
    <t>1.Avg EBIDTA = If Transaction type is inflow,retention,Base(Please use upper case)  then use EBITDA_CB
 EBITDA_CB is direct field</t>
  </si>
  <si>
    <t>est_ebitda_cb_cpam_q</t>
  </si>
  <si>
    <t>Est_EBITDA CB</t>
  </si>
  <si>
    <t>F_OUTSTANDING_AMT</t>
  </si>
  <si>
    <t>overdue_amount_cpam_q</t>
  </si>
  <si>
    <t>Overdue Amount</t>
  </si>
  <si>
    <t>est_tenure_cpam_q derived in this table</t>
  </si>
  <si>
    <t xml:space="preserve">case when transaction type = 'INFLOW' then est_tenure_cpam_q else 0 end </t>
  </si>
  <si>
    <t>est_tenure_inflow_cpam_q</t>
  </si>
  <si>
    <t xml:space="preserve">case when transaction type = 'OUTFLOW' then est_tenure_cpam_q else 0 end </t>
  </si>
  <si>
    <t>est_tenure_outflow_cpam_q</t>
  </si>
  <si>
    <t>Both cols are derived in this table</t>
  </si>
  <si>
    <t>est_tenure_inflow_cpam_q - est_tenure_outflow_cpam_q</t>
  </si>
  <si>
    <t>est_tenure_net_pnl_cpam_q</t>
  </si>
  <si>
    <t xml:space="preserve">case when transaction type = 'INFLOW' then 1 else 0 end </t>
  </si>
  <si>
    <t>customers_vol_inflow_cpam_q</t>
  </si>
  <si>
    <t xml:space="preserve">case when transaction type = 'OUTFLOW' then 1 else 0 end </t>
  </si>
  <si>
    <t>customers_vol_outflow_cpam_q</t>
  </si>
  <si>
    <t>customers_vol_inflow_cpam_q - customers_vol_outflow_cpam_q</t>
  </si>
  <si>
    <t>customers_vol_net_pnl_cpam_q</t>
  </si>
  <si>
    <t xml:space="preserve">case when transaction type = 'INFLOW' then monthly_access_fee_cpam_q else 0 end </t>
  </si>
  <si>
    <t>monthly_access_fee_inflow_cpam_q</t>
  </si>
  <si>
    <t xml:space="preserve">case when transaction type = 'OUTFLOW' then monthly_access_fee_cpam_q else 0 end </t>
  </si>
  <si>
    <t>monthly_access_fee_outflow_cpam_q</t>
  </si>
  <si>
    <t>monthly_access_fee_inflow_cpam_q - monthly_access_fee_outflow_cpam_q</t>
  </si>
  <si>
    <t>monthly_access_fee_net_pnl_cpam_q</t>
  </si>
  <si>
    <t xml:space="preserve">case when transaction type = 'INFLOW' then out_of_bundle_revenue_cpam_q else 0 end </t>
  </si>
  <si>
    <t>out_of_bundle_revenue_inflow_cpam_q</t>
  </si>
  <si>
    <t xml:space="preserve">case when transaction type = 'OUTFLOW' then out_of_bundle_revenue_cpam_q else 0 end </t>
  </si>
  <si>
    <t>out_of_bundle_revenue_outflow_cpam_q</t>
  </si>
  <si>
    <t>out_of_bundle_revenue_inflow_cpam_q - out_of_bundle_revenue_outflow_cpam_q</t>
  </si>
  <si>
    <t>out_of_bundle_revenue_net_pnl_cpam_q</t>
  </si>
  <si>
    <t>additional_service_revenue_cpam_q derived above in the same table</t>
  </si>
  <si>
    <t xml:space="preserve">case when transaction type = 'INFLOW' then additional_service_revenue_cpam_q else 0 end </t>
  </si>
  <si>
    <t>additional_service_revenue_inflow_cpam_q</t>
  </si>
  <si>
    <t xml:space="preserve">case when transaction type = 'OUTFLOW' then additional_service_revenue_cpam_q else 0 end </t>
  </si>
  <si>
    <t>additional_service_revenue_outflow_cpam_q</t>
  </si>
  <si>
    <t>additional_service_revenue_inflow_cpam_q - additional_service_revenue_outflow_cpam_q</t>
  </si>
  <si>
    <t>additional_service_revenue_net_pnl_cpam_q</t>
  </si>
  <si>
    <t xml:space="preserve">case when transaction type = 'INFLOW' then F_INSURANCE_REV else 0 end </t>
  </si>
  <si>
    <t>insurance_revenue_inflow_cpam_q</t>
  </si>
  <si>
    <t xml:space="preserve">case when transaction type = 'OUTFLOW' then F_INSURANCE_REV else 0 end </t>
  </si>
  <si>
    <t>insurance_revenue_outflow_cpam_q</t>
  </si>
  <si>
    <t>insurance_revenue_inflow_cpam_q - insurance_revenue_outflow_cpam_q</t>
  </si>
  <si>
    <t>insurance_revenue_net_pnl_cpam_q</t>
  </si>
  <si>
    <t>F_CONTENT_REV</t>
  </si>
  <si>
    <t xml:space="preserve">case when transaction type = 'INFLOW' then F_CONTENT_REV else 0 end </t>
  </si>
  <si>
    <t>content_revenue_inflow_cpam_q</t>
  </si>
  <si>
    <t xml:space="preserve">case when transaction type = 'OUTFLOW' then F_CONTENT_REV else 0 end </t>
  </si>
  <si>
    <t>content_revenue_outflow_cpam_q</t>
  </si>
  <si>
    <t>content_revenue_inflow_cpam_q - content_revenue_outflow_cpam_q</t>
  </si>
  <si>
    <t>content_revenue_net_pnl_cpam_q</t>
  </si>
  <si>
    <t>F_VAS_REV</t>
  </si>
  <si>
    <t xml:space="preserve">case when transaction type = 'INFLOW' then F_VAS_REV else 0 end </t>
  </si>
  <si>
    <t>vas_revenue_inflow_cpam_q</t>
  </si>
  <si>
    <t xml:space="preserve">case when transaction type = 'OUTFLOW' then F_VAS_REV else 0 end </t>
  </si>
  <si>
    <t>vas_revenue_outflow_cpam_q</t>
  </si>
  <si>
    <t>vas_revenue_inflow_cpam_q - vas_revenue_outflow_cpam_q</t>
  </si>
  <si>
    <t>vas_revenue_net_pnl_cpam_q</t>
  </si>
  <si>
    <t xml:space="preserve">case when transaction type = 'INFLOW' then mobile_customer_revenue_cpam_q else 0 end </t>
  </si>
  <si>
    <t>mobile_customer_revenue_inflow_cpam_q</t>
  </si>
  <si>
    <t xml:space="preserve">case when transaction type = 'OUTFLOW' then mobile_customer_revenue_cpam_q else 0 end </t>
  </si>
  <si>
    <t>mobile_customer_revenue_outflow_cpam_q</t>
  </si>
  <si>
    <t>mobile_customer_revenue_inflow_cpam_q - mobile_customer_revenue_outflow_cpam_q</t>
  </si>
  <si>
    <t>mobile_customer_revenue_net_pnl_cpam_q</t>
  </si>
  <si>
    <t xml:space="preserve">case when transaction type = 'INFLOW' then discount_cpam_q else 0 end </t>
  </si>
  <si>
    <t>discount_inflow_cpam_q</t>
  </si>
  <si>
    <t xml:space="preserve">case when transaction type = 'OUTFLOW' then discount_cpam_q else 0 end </t>
  </si>
  <si>
    <t>discount_outflow_cpam_q</t>
  </si>
  <si>
    <t>discount_inflow_cpam_q - discount_outflow_cpam_q</t>
  </si>
  <si>
    <t>discount_net_pnl_cpam_q</t>
  </si>
  <si>
    <t xml:space="preserve">case when transaction type = 'INFLOW' then credit_cpam_q else 0 end </t>
  </si>
  <si>
    <t>credit_inflow_cpam_q</t>
  </si>
  <si>
    <t xml:space="preserve">case when transaction type = 'OUTFLOW' then credit_cpam_q else 0 end </t>
  </si>
  <si>
    <t>credit_outflow_cpam_q</t>
  </si>
  <si>
    <t>credit_inflow_cpam_q - credit_outflow_cpam_q</t>
  </si>
  <si>
    <t>credit_net_pnl_cpam_q</t>
  </si>
  <si>
    <t xml:space="preserve">case when transaction type = 'INFLOW' then mobile_customer_revenue_d_c_cpam_q else 0 end </t>
  </si>
  <si>
    <t>mobile_customer_revenue_d_c_inflow_cpam_q</t>
  </si>
  <si>
    <t xml:space="preserve">case when transaction type = 'OUTFLOW' then mobile_customer_revenue_d_c_cpam_q else 0 end </t>
  </si>
  <si>
    <t>mobile_customer_revenue_d_c_outflow_cpam_q</t>
  </si>
  <si>
    <t>mobile_customer_revenue_d_c_inflow_cpam_q - mobile_customer_revenue_d_c_outflow_cpam_q</t>
  </si>
  <si>
    <t>mobile_customer_revenue_d_c_net_pnl_cpam_q</t>
  </si>
  <si>
    <t xml:space="preserve">case when transaction type = 'INFLOW' then F_INCOMING_REV else 0 end </t>
  </si>
  <si>
    <t>incoming_revenue_inflow_cpam_q</t>
  </si>
  <si>
    <t xml:space="preserve">case when transaction type = 'OUTFLOW' then F_INCOMING_REV else 0 end </t>
  </si>
  <si>
    <t>incoming_revenue_outflow_cpam_q</t>
  </si>
  <si>
    <t>incoming_revenue_inflow_cpam_q - incoming_revenue_outflow_cpam_q</t>
  </si>
  <si>
    <t>incoming_revenue_net_pnl_cpam_q</t>
  </si>
  <si>
    <t xml:space="preserve">case when transaction type = 'INFLOW' then mobile_service_revenue_cpam_q else 0 end </t>
  </si>
  <si>
    <t>mobile_service_revenue_inflow_cpam_q</t>
  </si>
  <si>
    <t xml:space="preserve">case when transaction type = 'OUTFLOW' then mobile_service_revenue_cpam_q else 0 end </t>
  </si>
  <si>
    <t>mobile_service_revenue_outflow_cpam_q</t>
  </si>
  <si>
    <t>mobile_service_revenue_inflow_cpam_q - mobile_service_revenue_outflow_cpam_q</t>
  </si>
  <si>
    <t>mobile_service_revenue_net_pnl_cpam_q</t>
  </si>
  <si>
    <t xml:space="preserve">case when transaction type = 'INFLOW' then interconnect_international_cost_cpam_q else 0 end </t>
  </si>
  <si>
    <t>interconnect_international_cost_inflow_cpam_q</t>
  </si>
  <si>
    <t xml:space="preserve">case when transaction type = 'OUTFLOW' then interconnect_international_cost_cpam_q else 0 end </t>
  </si>
  <si>
    <t>interconnect_international_cost_outflow_cpam_q</t>
  </si>
  <si>
    <t>interconnect_international_cost_inflow_cpam_q - interconnect_international_cost_outflow_cpam_q</t>
  </si>
  <si>
    <t>interconnect_international_cost_net_pnl_cpam_q</t>
  </si>
  <si>
    <t xml:space="preserve">case when transaction type = 'INFLOW' then interconnect_national_cost_cpam_q else 0 end </t>
  </si>
  <si>
    <t>interconnect_national_cost_inflow_cpam_q</t>
  </si>
  <si>
    <t xml:space="preserve">case when transaction type = 'OUTFLOW' then interconnect_national_cost_cpam_q else 0 end </t>
  </si>
  <si>
    <t>interconnect_national_cost_outflow_cpam_q</t>
  </si>
  <si>
    <t>interconnect_national_cost_inflow_cpam_q - interconnect_national_cost_outflow_cpam_q</t>
  </si>
  <si>
    <t>interconnect_national_cost_net_pnl_cpam_q</t>
  </si>
  <si>
    <t xml:space="preserve">case when transaction type = 'INFLOW' then roaming_voice_cost_cpam_q else 0 end </t>
  </si>
  <si>
    <t>roaming_voice_cost_inflow_cpam_q</t>
  </si>
  <si>
    <t xml:space="preserve">case when transaction type = 'OUTFLOW' then roaming_voice_cost_cpam_q else 0 end </t>
  </si>
  <si>
    <t>roaming_voice_cost_outflow_cpam_q</t>
  </si>
  <si>
    <t>roaming_voice_cost_inflow_cpam_q - roaming_voice_cost_outflow_cpam_q</t>
  </si>
  <si>
    <t>roaming_voice_cost_net_pnl_cpam_q</t>
  </si>
  <si>
    <t xml:space="preserve">case when transaction type = 'INFLOW' then roaming_data_cost_cpam_q else 0 end </t>
  </si>
  <si>
    <t>roaming_data_cost_inflow_cpam_q</t>
  </si>
  <si>
    <t xml:space="preserve">case when transaction type = 'OUTFLOW' then roaming_data_cost_cpam_q else 0 end </t>
  </si>
  <si>
    <t>roaming_data_cost_outflow_cpam_q</t>
  </si>
  <si>
    <t>roaming_data_cost_inflow_cpam_q - roaming_data_cost_outflow_cpam_q</t>
  </si>
  <si>
    <t>roaming_data_cost_net_pnl_cpam_q</t>
  </si>
  <si>
    <t xml:space="preserve">case when transaction type = 'INFLOW' then roaming_sms_cost_cpam_q else 0 end </t>
  </si>
  <si>
    <t>roaming_sms_cost_inflow_cpam_q</t>
  </si>
  <si>
    <t xml:space="preserve">case when transaction type = 'OUTFLOW' then roaming_sms_cost_cpam_q else 0 end </t>
  </si>
  <si>
    <t>roaming_sms_cost_outflow_cpam_q</t>
  </si>
  <si>
    <t>roaming_sms_cost_inflow_cpam_q - roaming_sms_cost_outflow_cpam_q</t>
  </si>
  <si>
    <t>roaming_sms_cost_net_pnl_cpam_q</t>
  </si>
  <si>
    <t xml:space="preserve">case when transaction type = 'INFLOW' then insurance_cost_cpam_q else 0 end </t>
  </si>
  <si>
    <t>insurance_cost_inflow_cpam_q</t>
  </si>
  <si>
    <t xml:space="preserve">case when transaction type = 'OUTFLOW' then insurance_cost_cpam_q else 0 end </t>
  </si>
  <si>
    <t>insurance_cost_outflow_cpam_q</t>
  </si>
  <si>
    <t>insurance_cost_inflow_cpam_q - insurance_cost_outflow_cpam_q</t>
  </si>
  <si>
    <t>insurance_cost_net_pnl_cpam_q</t>
  </si>
  <si>
    <t xml:space="preserve">case when transaction type = 'INFLOW' then content_cost_cpam_q else 0 end </t>
  </si>
  <si>
    <t>content_cost_inflow_cpam_q</t>
  </si>
  <si>
    <t xml:space="preserve">case when transaction type = 'OUTFLOW' then content_cost_cpam_q else 0 end </t>
  </si>
  <si>
    <t>content_cost_outflow_cpam_q</t>
  </si>
  <si>
    <t>content_cost_inflow_cpam_q - content_cost_outflow_cpam_q</t>
  </si>
  <si>
    <t>content_cost_net_pnl_cpam_q</t>
  </si>
  <si>
    <t xml:space="preserve">case when transaction type = 'INFLOW' then total_direct_cost_cpam_q else 0 end </t>
  </si>
  <si>
    <t>total_direct_cost_inflow_cpam_q</t>
  </si>
  <si>
    <t xml:space="preserve">case when transaction type = 'OUTFLOW' then total_direct_cost_cpam_q else 0 end </t>
  </si>
  <si>
    <t>total_direct_cost_outflow_cpam_q</t>
  </si>
  <si>
    <t>total_direct_cost_inflow_cpam_q - total_direct_cost_outflow_cpam_q</t>
  </si>
  <si>
    <t>total_direct_cost_net_pnl_cpam_q</t>
  </si>
  <si>
    <t xml:space="preserve">case when transaction type = 'INFLOW' then airtime_margin_cpam_q else 0 end </t>
  </si>
  <si>
    <t>airtime_margin_inflow_cpam_q</t>
  </si>
  <si>
    <t xml:space="preserve">case when transaction type = 'OUTFLOW' then airtime_margin_cpam_q else 0 end </t>
  </si>
  <si>
    <t>airtime_margin_outflow_cpam_q</t>
  </si>
  <si>
    <t>airtime_margin_inflow_cpam_q - airtime_margin_outflow_cpam_q</t>
  </si>
  <si>
    <t>airtime_margin_net_pnl_cpam_q</t>
  </si>
  <si>
    <t xml:space="preserve">case when transaction type = 'INFLOW' then est_lifetime_margin_cpam_q else 0 end </t>
  </si>
  <si>
    <t>est_lifetime_margin_inflow_cpam_q</t>
  </si>
  <si>
    <t xml:space="preserve">case when transaction type = 'OUTFLOW' then est_lifetime_margin_cpam_q else 0 end </t>
  </si>
  <si>
    <t>est_lifetime_margin_outflow_cpam_q</t>
  </si>
  <si>
    <t>est_lifetime_margin_inflow_cpam_q - est_lifetime_margin_outflow_cpam_q</t>
  </si>
  <si>
    <t>est_lifetime_margin_net_pnl_cpam_q</t>
  </si>
  <si>
    <t xml:space="preserve">case when transaction type = 'INFLOW' then subsidy_cpam_q else 0 end </t>
  </si>
  <si>
    <t>subsidy_inflow_cpam_q</t>
  </si>
  <si>
    <t xml:space="preserve">case when transaction type = 'OUTFLOW' then subsidy_cpam_q else 0 end </t>
  </si>
  <si>
    <t>subsidy_outflow_cpam_q</t>
  </si>
  <si>
    <t>subsidy_inflow_cpam_q - subsidy_outflow_cpam_q</t>
  </si>
  <si>
    <t>subsidy_net_pnl_cpam_q</t>
  </si>
  <si>
    <t xml:space="preserve">case when transaction type = 'INFLOW' then commision_cpam_q else 0 end </t>
  </si>
  <si>
    <t>commision_inflow_cpam_q</t>
  </si>
  <si>
    <t xml:space="preserve">case when transaction type = 'OUTFLOW' then commision_cpam_q else 0 end </t>
  </si>
  <si>
    <t>commision_outflow_cpam_q</t>
  </si>
  <si>
    <t>commision_inflow_cpam_q - commision_outflow_cpam_q</t>
  </si>
  <si>
    <t>commision_net_pnl_cpam_q</t>
  </si>
  <si>
    <t xml:space="preserve">case when transaction type = 'INFLOW' then total_indirect_cost_cpam_q else 0 end </t>
  </si>
  <si>
    <t>total_indirect_cost_inflow_cpam_q</t>
  </si>
  <si>
    <t xml:space="preserve">case when transaction type = 'OUTFLOW' then total_indirect_cost_cpam_q else 0 end </t>
  </si>
  <si>
    <t>total_indirect_cost_outflow_cpam_q</t>
  </si>
  <si>
    <t>total_indirect_cost_inflow_cpam_q - total_indirect_cost_outflow_cpam_q</t>
  </si>
  <si>
    <t>total_indirect_cost_net_pnl_cpam_q</t>
  </si>
  <si>
    <t xml:space="preserve">case when transaction type = 'INFLOW' then est_gross_margin_cpam_q else 0 end </t>
  </si>
  <si>
    <t>est_gross_margin_inflow_cpam_q</t>
  </si>
  <si>
    <t xml:space="preserve">case when transaction type = 'OUTFLOW' then est_gross_margin_cpam_q else 0 end </t>
  </si>
  <si>
    <t>est_gross_margin_outflow_cpam_q</t>
  </si>
  <si>
    <t>est_gross_margin_inflow_cpam_q - est_gross_margin_outflow_cpam_q</t>
  </si>
  <si>
    <t>est_gross_margin_net_pnl_cpam_q</t>
  </si>
  <si>
    <t xml:space="preserve">case when transaction type = 'INFLOW' then vodafone_retail_cost_cpam_q else 0 end </t>
  </si>
  <si>
    <t>vodafone_retail_cost_inflow_cpam_q</t>
  </si>
  <si>
    <t xml:space="preserve">case when transaction type = 'OUTFLOW' then vodafone_retail_cost_cpam_q else 0 end </t>
  </si>
  <si>
    <t>vodafone_retail_cost_outflow_cpam_q</t>
  </si>
  <si>
    <t>vodafone_retail_cost_inflow_cpam_q - vodafone_retail_cost_outflow_cpam_q</t>
  </si>
  <si>
    <t>vodafone_retail_cost_net_pnl_cpam_q</t>
  </si>
  <si>
    <t xml:space="preserve">case when transaction type = 'INFLOW' then cost_to_carry_cpam_q else 0 end </t>
  </si>
  <si>
    <t>cost_to_carry_inflow_cpam_q</t>
  </si>
  <si>
    <t xml:space="preserve">case when transaction type = 'OUTFLOW' then cost_to_carry_cpam_q else 0 end </t>
  </si>
  <si>
    <t>cost_to_carry_outflow_cpam_q</t>
  </si>
  <si>
    <t>cost_to_carry_inflow_cpam_q - cost_to_carry_outflow_cpam_q</t>
  </si>
  <si>
    <t>cost_to_carry_net_pnl_cpam_q</t>
  </si>
  <si>
    <t xml:space="preserve">case when transaction type = 'INFLOW' then cost_to_service_cpam_q else 0 end </t>
  </si>
  <si>
    <t>cost_to_service_inflow_cpam_q</t>
  </si>
  <si>
    <t xml:space="preserve">case when transaction type = 'OUTFLOW' then cost_to_service_cpam_q else 0 end </t>
  </si>
  <si>
    <t>cost_to_service_outflow_cpam_q</t>
  </si>
  <si>
    <t>cost_to_service_inflow_cpam_q - cost_to_service_outflow_cpam_q</t>
  </si>
  <si>
    <t>cost_to_service_net_pnl_cpam_q</t>
  </si>
  <si>
    <t xml:space="preserve">case when transaction type = 'INFLOW' then total_opex_cost_cpam_q else 0 end </t>
  </si>
  <si>
    <t>total_opex_cost_inflow_cpam_q</t>
  </si>
  <si>
    <t xml:space="preserve">case when transaction type = 'OUTFLOW' then total_opex_cost_cpam_q else 0 end </t>
  </si>
  <si>
    <t>total_opex_cost_outflow_cpam_q</t>
  </si>
  <si>
    <t>total_opex_cost_inflow_cpam_q - total_opex_cost_outflow_cpam_q</t>
  </si>
  <si>
    <t>total_opex_cost_net_pnl_cpam_q</t>
  </si>
  <si>
    <t xml:space="preserve">case when transaction type = 'INFLOW' then est_ebitda_cpam_q else 0 end </t>
  </si>
  <si>
    <t>est_ebitda_inflow_cpam_q</t>
  </si>
  <si>
    <t xml:space="preserve">case when transaction type = 'OUTFLOW' then est_ebitda_cpam_q else 0 end </t>
  </si>
  <si>
    <t>est_ebitda_outflow_cpam_q</t>
  </si>
  <si>
    <t>est_ebitda_inflow_cpam_q - est_ebitda_outflow_cpam_q</t>
  </si>
  <si>
    <t>est_ebitda_net_pnl_cpam_q</t>
  </si>
  <si>
    <t xml:space="preserve">case when transaction type = 'INFLOW' then overdue_amount_cpam_q else 0 end </t>
  </si>
  <si>
    <t>overdue_amount_inflow_cpam_q</t>
  </si>
  <si>
    <t xml:space="preserve">case when transaction type = 'OUTFLOW' then overdue_amount_cpam_q else 0 end </t>
  </si>
  <si>
    <t>overdue_amount_outflow_cpam_q</t>
  </si>
  <si>
    <t>overdue_amount_inflow_cpam_q - overdue_amount_outflow_cpam_q</t>
  </si>
  <si>
    <t>overdue_amount_net_pnl_cpam_q</t>
  </si>
  <si>
    <t xml:space="preserve">IF TRANSACTION_TYPE in ('INFLOW' , 'BASE','RETENTION') and Est_Gross_Margin_CB &lt; 0 then 1 else 0
</t>
  </si>
  <si>
    <t xml:space="preserve">
negative_margin_ind_cpam_q</t>
  </si>
  <si>
    <t xml:space="preserve">IF TRANSACTION_TYPE in ('INFLOW' , 'BASE','RETENTION') and Est_Gross_Margin_CB &lt; 0 for consecutively 2 months then 1 else 0. (Est_Gross_Margin_CB &lt; 0 in the current month as well as  previous reporting mnth)
</t>
  </si>
  <si>
    <t xml:space="preserve">
consistent_negative_margin_ind_cpam_q</t>
  </si>
  <si>
    <t xml:space="preserve">IF TRANSACTION_TYPE in ('INFLOW' , 'BASE','RETENTION') and Est_Gross_Margin_CB &lt; 0 
then check for the number of months having Est_Gross_Margin_CB &lt; 0 consistently from current reporting month.(Backward months)
If No. of months 1 then "1 Month"
                 2 then  "2 Months"  
  between  3 and 5 then  "3-5 Months"
                &gt;=6 then "&gt;=6 Months" </t>
  </si>
  <si>
    <t xml:space="preserve">
consistent_negative_margin_months_cpam_q</t>
  </si>
  <si>
    <t>STG_Digital_Cost</t>
  </si>
  <si>
    <t xml:space="preserve">
Stpe 1 : Get the count of subscribers for each reporting month from GBD_IE_CPA_PNL_STORE using conditions 
 TRANSACTION_TYPE in ('INFLOW','RETENTION') and   CHNL_LEVEL_2 ='VF Online Sales'
 select 
DAT_MONTH_ID,
Count(SUB_SUBSCRIPTION_CD) as SubsCount 
FROM `vfie_dh_lake_finance_mc2_presentation_processed_s`.`GBD_IE_CPA_PNL_STORE`
Where 
 TRANSACTION_TYPE in ('INFLOW','RETENTION')
and CHNL_LEVEL_2 ='VF Online Sales'
GROUP BY DAT_MONTH_ID
Step 2 : Get the count of subscribers for each reporting month from GBD_IE_CPA_PNL_STORE using conditions 
 TRANSACTION_TYPE in ('INFLOW','RETENTION') and   CHNL_LEVEL_2  in ('VIS Outbound','VIS Care') (use upper while evaluating)
 select
DAT_MONTH_ID,
Count(SUB_SUBSCRIPTION_CD) as SubsCount   
FROM `vfie_dh_lake_finance_mc2_presentation_processed_s`.`GBD_IE_CPA_PNL_STORE`
Where 
TRANSACTION_TYPE in ('INFLOW','RETENTION')
and Upper(CHNL_LEVEL_2)  in  ('VIS OUTBOUND','VIS CARE')
GROUP BY DAT_MONTH_ID
Step 3: Preparing one combined dataset using 3 different chanl_level_2 from step 1 and step 2
Select DAT_MONTH_ID, 'VF Online Sales' As CHNL_LEVEL_2, Digital_cost/step1.SubsCount as DigitalCost1
from DigitalCost Join step 1 on Dat_month_Id 
union all
Select DAT_MONTH_ID , 'VIS Outbound' As CHNL_LEVEL_2 , Digital_cost/step2.SubsCount  as DigitalCost1
from DigitalCost Join step 2 on Dat_month_Id 
union all
Select DAT_MONTH_ID , 'VIS Care' As CHNL_LEVEL_2 , Digital_cost/step2.SubsCount as DigitalCost1
from DigitalCost Join step 2 on Dat_month_Id </t>
  </si>
  <si>
    <t xml:space="preserve">From Step3 </t>
  </si>
  <si>
    <t>DigitalCost1</t>
  </si>
  <si>
    <t>stg_cpa_mobile_channel_store_profitability_q_usl</t>
  </si>
  <si>
    <t>Channel Profitablity</t>
  </si>
  <si>
    <t>CPA Mobile Channel Profitablity/ Store profitability</t>
  </si>
  <si>
    <t xml:space="preserve">
`vfie_dh_lake_finance_mc2_presentation_processed_s`.`GBD_IE_CPA_PNL_STORE` S
LEFT JOIN 
`vf-ie-datahub`.`vfie_dh_lake_finance_mc2_presentation_processed_s`.`AVG_REVENUE_BY_PRODUCT` A
ON S.PRICEPLAN_DESC = A.PRD_PRODUCT_DESC</t>
  </si>
  <si>
    <t>DISCOUNT is from table AVG_REVENUE_BY_PRODUCT</t>
  </si>
  <si>
    <r>
      <t xml:space="preserve">(STORE_TOTAL_REVENUE_S+ DISCOUNT + STORE_CREDIT_AMT_S+F_INCOMING_REV+[Store Monthly Cost])
</t>
    </r>
    <r>
      <rPr>
        <b/>
        <sz val="10"/>
        <color theme="1"/>
        <rFont val="Vodafone Rg"/>
        <family val="2"/>
      </rPr>
      <t xml:space="preserve">Store Monthly Cost </t>
    </r>
    <r>
      <rPr>
        <sz val="10"/>
        <color theme="1"/>
        <rFont val="Vodafone Rg"/>
        <family val="2"/>
      </rPr>
      <t xml:space="preserve">: (STORE_IC_ROAMING_S + F_CONTENT_CST_Q + F_USED_DATA_S + F_DURATIO_SUM_S + [Store Bad Debt])
</t>
    </r>
    <r>
      <rPr>
        <b/>
        <sz val="10"/>
        <color theme="1"/>
        <rFont val="Vodafone Rg"/>
        <family val="2"/>
      </rPr>
      <t>Store Bad Debt :</t>
    </r>
    <r>
      <rPr>
        <sz val="10"/>
        <color theme="1"/>
        <rFont val="Vodafone Rg"/>
        <family val="2"/>
      </rPr>
      <t xml:space="preserve"> (F_IN_BUNDEL_REV_Q + F_OUTBUNDLE_REV_Q + F_ADDL_SERVICE_REV + F_CREDIT_AMT_Q)*0.02*-1
 </t>
    </r>
  </si>
  <si>
    <t>store_margin_cpam_q</t>
  </si>
  <si>
    <t>a. If transaction type is Inflow,Retention  use F_SUBSIDY*(-1)  
b.  If transaction type is Base,Outflow F_AMORT_SUBSIDY*(-1)    
F_AMORT_SUBSIDY and  F_SUBSIDY are direct fields</t>
  </si>
  <si>
    <t>investment_subsidy_cpam_q</t>
  </si>
  <si>
    <t xml:space="preserve"> If transaction type is Inflow,Retention use (F_SUBSIDY/24) * -1   
 If transaction type is base then  F_AMORT_SUBSIDY  *-1
</t>
  </si>
  <si>
    <t>investment_subsidy_cb_cpam_q</t>
  </si>
  <si>
    <t xml:space="preserve"> (STORE_TOTAL_REVENUE_S + S_DISCOUNT_CST + Store_Credit_Amt)	
2.S_DISCOUNT_CST =  "Discount" taken from AVG_REVENUE_BY_PRODUCT`,
3.Store_Credit_Amt = (STORE_TOTAL_REVENUE_S*.07)*-1
</t>
  </si>
  <si>
    <t>mobile_consumer_rev_dc_cpam_q</t>
  </si>
  <si>
    <t>a.`vfie_dh_lake_finance_mc2_presentation_processed_s`.`GBD_IE_CPA_PNL_STORE`</t>
  </si>
  <si>
    <r>
      <t xml:space="preserve">[Store Monthly Cost] = STORE_IC_ROAMING_S + F_CONTENT_CST_Q + F_USED_DATA_S + F_DURATIO_SUM_S + </t>
    </r>
    <r>
      <rPr>
        <b/>
        <sz val="9"/>
        <color theme="1"/>
        <rFont val="Calibri"/>
        <family val="2"/>
      </rPr>
      <t>[Store Bad Debt]</t>
    </r>
    <r>
      <rPr>
        <sz val="9"/>
        <color theme="1"/>
        <rFont val="Calibri"/>
        <family val="2"/>
      </rPr>
      <t xml:space="preserve">
</t>
    </r>
    <r>
      <rPr>
        <strike/>
        <sz val="9"/>
        <color rgb="FFFF0000"/>
        <rFont val="Calibri"/>
        <family val="2"/>
      </rPr>
      <t xml:space="preserve">
</t>
    </r>
    <r>
      <rPr>
        <sz val="9"/>
        <color theme="1"/>
        <rFont val="Calibri"/>
        <family val="2"/>
      </rPr>
      <t xml:space="preserve">
</t>
    </r>
    <r>
      <rPr>
        <b/>
        <sz val="9"/>
        <color theme="1"/>
        <rFont val="Calibri"/>
        <family val="2"/>
      </rPr>
      <t xml:space="preserve">2. [Store Bad Debt] = ([Total Revenue] + F_DISCOUNT_CST +  F_CREDIT_AMT_Q )*0.02*-1
3. [Total Revenue ] = (F_IN_BUNDEL_REV + F_OUTBUNDLE_REV + F_ADDL_SERVICE_REV+F_DISCOUNT_CST*-1)
</t>
    </r>
    <r>
      <rPr>
        <sz val="9"/>
        <color theme="1"/>
        <rFont val="Calibri"/>
        <family val="2"/>
      </rPr>
      <t xml:space="preserve">
4.F_ADDL_SERVICE_REV,F_CONTENT_REV,F_DISCOUNT_CST,F_CREDIT_AMT_Q ,F_DISCOUNT_CST,F_DURATIO_SUM_S,F_USED_DATA_S, F_CONTENT_CST_Q STORE_IC_ROAMING_S are Direct Fields.</t>
    </r>
  </si>
  <si>
    <t>monthly_cost_cpam_q</t>
  </si>
  <si>
    <t xml:space="preserve">
If Channel_L2_Q='CPW' then F_AMORT_COMMISSION_CST1 else 0
F_AMORT_COMMISSION_CST1 is derived below :
	If CHNL_LEVEL_2 in 'VF Retail','VIS Outbound','VF Online Sales' then 0
	else 
	If UPPER(TRANSACTION_TYPE) in 'INFLOW','RETENTION' then F_COMMISSION_CST*(-1) 
	If transaction type is outflow : take    F_AMORT_COMMISSION_CST*(-1)
	else 0</t>
  </si>
  <si>
    <t>bonous_commission_cpam_q</t>
  </si>
  <si>
    <t>If Channel_L2_Q='CPW' then F_AMORT_COMMISSION_CST1 else 0
F_AMORT_COMMISSION_CST1 is derived below :
 If CHNL_LEVEL_2 in 'VF Retail','VIS Outbound','VF Online Sales' then 0
	else 	
if transaction type is  INFLOW,RETENTION,BASE then  
    if PRICEPLAN_DESC='RED 30 Day' then F_COMMISSION_CST else  
	if UPPER(TRANSACTION_TYPE) is 'INFLOW','RETENTION' and SIMO_DEVICE_IND='S' then F_COMMISSION_CST/12
	if UPPER(TRANSACTION_TYPE) is 'INFLOW','RETENTION'  and SIMO_DEVICE_IND='D' then F_COMMISSION_CST/24
	if(UPPER(TRANSACTION_TYPE)='BASE' then F_AMORT_COMMISSION_CST else F_COMMISSION_CST/24</t>
  </si>
  <si>
    <t>bonous_commission_cb_cpam_q</t>
  </si>
  <si>
    <t xml:space="preserve"> GBD_IE_CPA_PNL_STORE Left join Stg_Digital_cost  on DAT_MONTH_ID and CHNL_LEVEL_2</t>
  </si>
  <si>
    <t>digital_care_cost_cpam_q</t>
  </si>
  <si>
    <t xml:space="preserve">	
 LOG_DEBT_SALE_CST_S</t>
  </si>
  <si>
    <t>logistic_cost_cpam_q</t>
  </si>
  <si>
    <t xml:space="preserve">`vfie_dh_lake_finance_mc2_presentation_processed_s`.`GBD_IE_CPA_PNL_STORE` left join stg_cpa_mobile_store_q_usl 
on rpt_dt,cus_customer_cd , sub_subscription_cd , sub_bill_type_ext_cd
</t>
  </si>
  <si>
    <t>STORE_COMMISSION_S , LOG_DEBT_SALE_CST_S from GBD pnl . 
vodafone_retail_cost_cpam_q from Summary stg table
Rest cols are derived in this table</t>
  </si>
  <si>
    <t>STORE_COMMISSION_S + bonous_commission_cpam_q+vodafone_retail_cost_cpam_q +digital_&amp;_care_cost_cpam_q+LOG_DEBT_SALE_CST_S</t>
  </si>
  <si>
    <t>total_cost_cpam_q</t>
  </si>
  <si>
    <t>STORE_COMMISSION_S + bonous_commission_cb_cpam_q+vodafone_retail_cost_cpam_q +digital_&amp;_care_cost_cpam_q+LOG_DEBT_SALE_CST_S</t>
  </si>
  <si>
    <t>total_cost_cb_cpam_q</t>
  </si>
  <si>
    <t>monthly_cost_cpam_q derived above</t>
  </si>
  <si>
    <t xml:space="preserve">STORE_NET_REVENUE_S + monthly_cost_cpam_q
</t>
  </si>
  <si>
    <t>total_margin_cpam_q</t>
  </si>
  <si>
    <t>Store Profitability</t>
  </si>
  <si>
    <t>CPA Mobile Store Profitability</t>
  </si>
  <si>
    <r>
      <t xml:space="preserve">  </t>
    </r>
    <r>
      <rPr>
        <b/>
        <sz val="10"/>
        <color theme="1"/>
        <rFont val="Vodafone Rg"/>
        <family val="2"/>
      </rPr>
      <t xml:space="preserve">[Total Revenue ] </t>
    </r>
    <r>
      <rPr>
        <sz val="10"/>
        <color theme="1"/>
        <rFont val="Vodafone Rg"/>
        <family val="2"/>
      </rPr>
      <t xml:space="preserve"> + F_DISCOUNT_CST + F_CREDIT_AMT_Q + F_INCOMING_REV
</t>
    </r>
    <r>
      <rPr>
        <b/>
        <sz val="10"/>
        <color theme="1"/>
        <rFont val="Vodafone Rg"/>
        <family val="2"/>
      </rPr>
      <t>[Total Revenue ] = (F_IN_BUNDEL_REV + F_OUTBUNDLE_REV + F_ADDL_SERVICE_REV+F_DISCOUNT_CST*-1)</t>
    </r>
  </si>
  <si>
    <t>netrevenue_cpam_q</t>
  </si>
  <si>
    <t>International Calling County An</t>
  </si>
  <si>
    <t>stg_cpam_excp_discovery_inline_usl</t>
  </si>
  <si>
    <t>Populate data from sheet "Excp_discovery_inline_data"</t>
  </si>
  <si>
    <t>so</t>
  </si>
  <si>
    <t>SO</t>
  </si>
  <si>
    <t>CPA Mobile Exception Discovery</t>
  </si>
  <si>
    <t>kpi1</t>
  </si>
  <si>
    <t>KPI1</t>
  </si>
  <si>
    <t>kpiname</t>
  </si>
  <si>
    <t>KPINAME</t>
  </si>
  <si>
    <t>stg_cpa_mobile_excp_discovery_hist_usl</t>
  </si>
  <si>
    <t>IE_CPA_MOBILE_EXCP_DISC_HIST_AA T left join stg_cpam_excp_discovery_inline_usl T1
on T.KPI = T1.KPI1</t>
  </si>
  <si>
    <t>REPORTING_MONTH</t>
  </si>
  <si>
    <t>convert  to 'YYYY-MM-DD' format</t>
  </si>
  <si>
    <t>upload_date</t>
  </si>
  <si>
    <t>KEY</t>
  </si>
  <si>
    <t>key_cpam_q</t>
  </si>
  <si>
    <t>KPI</t>
  </si>
  <si>
    <t>kpi_cpam_q</t>
  </si>
  <si>
    <t>KEY_KPI</t>
  </si>
  <si>
    <t>key_kpi_cpam_q</t>
  </si>
  <si>
    <t>MAPE</t>
  </si>
  <si>
    <t>mape_cpam_q</t>
  </si>
  <si>
    <t>PREDICTED</t>
  </si>
  <si>
    <t>predicted_cpam_q</t>
  </si>
  <si>
    <t>LL</t>
  </si>
  <si>
    <t>ll_cpam_q</t>
  </si>
  <si>
    <t>UL</t>
  </si>
  <si>
    <t>ul_cpam_q</t>
  </si>
  <si>
    <t>MODEL</t>
  </si>
  <si>
    <t>model_cpam_q</t>
  </si>
  <si>
    <t>COMBINATION</t>
  </si>
  <si>
    <t>combination_cpam_q</t>
  </si>
  <si>
    <t>KPI_VALUE</t>
  </si>
  <si>
    <t>kpi_value_cpam_q</t>
  </si>
  <si>
    <t>default</t>
  </si>
  <si>
    <t>"Excp_Hist"</t>
  </si>
  <si>
    <t>tabname_cpam_q</t>
  </si>
  <si>
    <t>case when KPI='AIRTIME_MARGIN' and KEY= "RED unlimited Lite|OUTFLOW"  then KPI_VALUE_CPAM_Q else 0 end</t>
  </si>
  <si>
    <t>airtime_red_cpam_q</t>
  </si>
  <si>
    <t>case when KPI='AIRTIME_MARGIN' and KEY= "RED unlimited Lite|OUTFLOW"  then PREDICTED else 0 end</t>
  </si>
  <si>
    <t>airtime_predicted_cpam_q</t>
  </si>
  <si>
    <t>case when KPI='AIRTIME_MARGIN' and KEY= "RED unlimited Lite|OUTFLOW"  then UL else 0 end</t>
  </si>
  <si>
    <t>airtime_ul_cpam_q</t>
  </si>
  <si>
    <t>case when KPI='AIRTIME_MARGIN' and KEY= "RED unlimited Lite|OUTFLOW"  then LL else 0 end</t>
  </si>
  <si>
    <t>airtime_ll_cpam_q</t>
  </si>
  <si>
    <t>case when KPI='OPEX_COST' and KEY= "RED unlimited Lite|OUTFLOW"  then KPI_VALUE else 0 end</t>
  </si>
  <si>
    <t>opex_red_cpam_q</t>
  </si>
  <si>
    <t>case when KPI='SERVICE_REVENUE'and KEY= "RED unlimited Lite|OUTFLOW"  then KPI_VALUE else 0 end</t>
  </si>
  <si>
    <t>revenue_red_cpam_q</t>
  </si>
  <si>
    <t>case when KPI='NO_CUSTOMERS'and KEY= "RED unlimited Lite|OUTFLOW"  then KPI_VALUE else 0 end</t>
  </si>
  <si>
    <t>no_red_cpam_q</t>
  </si>
  <si>
    <t>case when KPI='GROSS_MARGIN' and KEY= "RED unlimited Lite|OUTFLOW"  then KPI_VALUE else 0 end</t>
  </si>
  <si>
    <t>gross_red_cpam_q</t>
  </si>
  <si>
    <t>case when KPI="EBITDA"  and KEY= "RED unlimited Lite|OUTFLOW"  then KPI_VALUE else 0 end</t>
  </si>
  <si>
    <t>ebitda_red_cpam_q</t>
  </si>
  <si>
    <t>case when KPI="EBITDA"  and KEY= "RED unlimited Lite|OUTFLOW"  then PREDICTED else 0 end</t>
  </si>
  <si>
    <t>ebitda_predicted_cpam_q</t>
  </si>
  <si>
    <t>case when KPI="EBITDA"  and KEY= "RED unlimited Lite|OUTFLOW"  then UL else 0 end</t>
  </si>
  <si>
    <t>ebitda_ul_cpam_q</t>
  </si>
  <si>
    <t>case when KPI="EBITDA"  and KEY= "RED unlimited Lite|OUTFLOW"  then LL else 0 end</t>
  </si>
  <si>
    <t>ebitda_ll_cpam_q</t>
  </si>
  <si>
    <t>case when KPI='GROSS_MARGIN' and KEY= "RED unlimited Lite|OUTFLOW"  then PREDICTED else 0 end</t>
  </si>
  <si>
    <t>gross_predicted_cpam_q</t>
  </si>
  <si>
    <t>case when KPI='GROSS_MARGIN' and KEY= "RED unlimited Lite|OUTFLOW"  then UL else 0 end</t>
  </si>
  <si>
    <t>gross_ul_cpam_q</t>
  </si>
  <si>
    <t>case when KPI='GROSS_MARGIN' and KEY= "RED unlimited Lite|OUTFLOW"  then LL else 0 end</t>
  </si>
  <si>
    <t>gross_ll_cpam_q</t>
  </si>
  <si>
    <t>case when KPI="INDRIECT"  and KEY= "RED unlimited Lite|OUTFLOW"  then KPI_VALUE else 0 end</t>
  </si>
  <si>
    <t>indriect_red_cpam_q</t>
  </si>
  <si>
    <t>case when KPI="EBITDA"  and KEY= "VIS Care|INFLOW"  then KPI_VALUE else 0 end</t>
  </si>
  <si>
    <t>ebitda_vis_cpam_q</t>
  </si>
  <si>
    <t>case when KPI="EBITDA"  and KEY= "VIS Care|INFLOW"  then PREDICTED else 0 end</t>
  </si>
  <si>
    <t>ebitda_predicted_vis_cpam_q</t>
  </si>
  <si>
    <t>case when KPI="EBITDA"  and KEY= "VIS Care|INFLOW"  then UL else 0 end</t>
  </si>
  <si>
    <t>ebitda_ul_vis_cpam_q</t>
  </si>
  <si>
    <t>case when KPI="EBITDA"  and KEY= "VIS Care|INFLOW"  then LL else 0 end</t>
  </si>
  <si>
    <t>ebitda_ll_vis_cpam_q</t>
  </si>
  <si>
    <t>case when KPI='OPEX_COST' and KEY= "VIS Care|INFLOW"  then KPI_VALUE else 0 end</t>
  </si>
  <si>
    <t>opex_vis_cpam_q</t>
  </si>
  <si>
    <t>case when KPI='SERVICE_REVENUE'and KEY= "VIS Care|INFLOW"  then KPI_VALUE else 0 end</t>
  </si>
  <si>
    <t>revenue_vis_cpam_q</t>
  </si>
  <si>
    <t>case when KPI='NO_CUSTOMERS'and KEY= "VIS Care|INFLOW"  then KPI_VALUE else 0 end</t>
  </si>
  <si>
    <t>no_vis_cpam_q</t>
  </si>
  <si>
    <t>case when KPI='GROSS_MARGIN' and KEY= "VIS Care|INFLOW"  then KPI_VALUE else 0 end</t>
  </si>
  <si>
    <t>gross_vis_cpam_q</t>
  </si>
  <si>
    <t>case when KPI='GROSS_MARGIN' and KEY= "VF Online Sales|OUTFLOW"  then KPI_VALUE else 0 end</t>
  </si>
  <si>
    <t>gross_vf_cpam_q</t>
  </si>
  <si>
    <t>case when KPI='GROSS_MARGIN' and KEY= "VF Online Sales|OUTFLOW"  then PREDICTED else 0 end</t>
  </si>
  <si>
    <t>gross_predicted_vf_cpam_q</t>
  </si>
  <si>
    <t>case when KPI='GROSS_MARGIN' and KEY= "VF Online Sales|OUTFLOW"  then UL else 0 end</t>
  </si>
  <si>
    <t>gross_ul_vf_cpam_q</t>
  </si>
  <si>
    <t>case when KPI='GROSS_MARGIN' and KEY= "VF Online Sales|OUTFLOW"  then LL else 0 end</t>
  </si>
  <si>
    <t>gross_ll_vf_cpam_q</t>
  </si>
  <si>
    <t>case when KPI='INDIRECT_COST' and KEY= "VF Online Sales|OUTFLOW"  then KPI_VALUE else 0 end</t>
  </si>
  <si>
    <t>indirect_vf_cpam_q</t>
  </si>
  <si>
    <t>case when KPI='SERVICE_REVENUE'and KEY= "VIS Care|INFLOW" then KPI_VALUE else 0 end</t>
  </si>
  <si>
    <t>revenue_vf_cpam_q</t>
  </si>
  <si>
    <t>case when KPI=NO_CUSTOMERS and KEY="VIS Care|INFLOW" then KPI_VALUE else 0 end</t>
  </si>
  <si>
    <t>no_vf_cpam_q</t>
  </si>
  <si>
    <t>case when KPI='AIRTIME_MARGIN' and KEY= "VF Online Sales|OUTFLOW"  then KPI_VALUE else 0 end</t>
  </si>
  <si>
    <t>airtime_vis_cpam_q</t>
  </si>
  <si>
    <t>case when KPI='AIRTIME_MARGIN' and KEY= "King|RETENTION"  then KPI_VALUE else 0 end</t>
  </si>
  <si>
    <t>airtime_king_cpam_q</t>
  </si>
  <si>
    <t>case when KPI='AIRTIME_MARGIN' and KEY= "King|RETENTION"  then PREDICATD else 0 end</t>
  </si>
  <si>
    <t>airtime_predicted_king_cpam_q</t>
  </si>
  <si>
    <t>case when KPI='AIRTIME_MARGIN' and KEY= "King|RETENTION"  then UL else 0 end</t>
  </si>
  <si>
    <t>airtime_ul_king_cpam_q</t>
  </si>
  <si>
    <t>case when KPI='AIRTIME_MARGIN' and KEY= "King|RETENTION"  then LL else 0 end</t>
  </si>
  <si>
    <t>airtime_ll_king_cpam_q</t>
  </si>
  <si>
    <t>case when KPI='SERVICE_REVENUE'and KEY= "King|RETENTION"  then KPI_VALUE else 0 end</t>
  </si>
  <si>
    <t>revenue_king_cpam_q</t>
  </si>
  <si>
    <t>case when KPI='NO_CUSTOMERS'and KEY= "King|RETENTION"  then KPI_VALUE else 0 end</t>
  </si>
  <si>
    <t>no_king_cpam_q</t>
  </si>
  <si>
    <t>case when KPI='DIRECT_COST' and KEY= "King|RETENTION"  then KPI_VALUE else 0 end</t>
  </si>
  <si>
    <t>direct_vf_cpam_q</t>
  </si>
  <si>
    <t>T1.SO</t>
  </si>
  <si>
    <t>hist_so_cpam_q</t>
  </si>
  <si>
    <t>T1.KPI1</t>
  </si>
  <si>
    <t>hist_kpi1_cpam_q</t>
  </si>
  <si>
    <t>T1.KPINAME</t>
  </si>
  <si>
    <t>hist_kpiname_cpam_q</t>
  </si>
  <si>
    <t>CPA_SOURCE || ' EXCP DISCOVERY HIST'</t>
  </si>
  <si>
    <t>stg_cpa_mobile_excp_discovery_usl</t>
  </si>
  <si>
    <r>
      <t xml:space="preserve">USE Filter on IE_CPA_MOBILE_EXCP_DISC_AA  : 
</t>
    </r>
    <r>
      <rPr>
        <sz val="10"/>
        <color theme="1"/>
        <rFont val="Vodafone Rg"/>
        <family val="2"/>
      </rPr>
      <t>WHERE
(
    CATEGORY = 'PRICEPLAN_DESC'
    AND KPI NOT IN ('INDIRECT_COST', 'OPEX_COST')
)
OR
(
    CATEGORY = 'CHNL_LEVEL_2'
    AND KPI &lt;&gt; 'DIRECT_COST'
)</t>
    </r>
  </si>
  <si>
    <t xml:space="preserve"> a. vf-ie-datahub.vfie_dh_model_finance_mc2_processed_s.IE_CPA_MOBILE_EXCP_DISC_AA T left join stg_cpam_excp_discovery_inline_usl T1
on T.KPI = T1.KPI1</t>
  </si>
  <si>
    <t>UPLOAD_DATE</t>
  </si>
  <si>
    <t>CATEGORY</t>
  </si>
  <si>
    <t>category_cpam_q</t>
  </si>
  <si>
    <t>transaction_type_cpam_q</t>
  </si>
  <si>
    <t>CATEGORY_VALUE</t>
  </si>
  <si>
    <t>category_value_cpam_q</t>
  </si>
  <si>
    <t>CATEGORY_SUBVALUE</t>
  </si>
  <si>
    <t>category_subvalue_cpam_q</t>
  </si>
  <si>
    <t>ANOMALY_TYPE</t>
  </si>
  <si>
    <t>anomaly_type_cpam_q</t>
  </si>
  <si>
    <t>KPI Value</t>
  </si>
  <si>
    <t>DEVIATION %</t>
  </si>
  <si>
    <t>deviation_cpam_q</t>
  </si>
  <si>
    <t>ACCURACY %</t>
  </si>
  <si>
    <t>accuracy_cpam_q</t>
  </si>
  <si>
    <t>so_cpam_q</t>
  </si>
  <si>
    <t>kpi1_cpam_q</t>
  </si>
  <si>
    <t>kpiname_cpam_q</t>
  </si>
  <si>
    <t xml:space="preserve">
Rank after Sorting in descending order of  column kpi_value_cpam_q based upon the columns rpt_dt , category_cpam_q , kpiname_cpam_q,kpi_cpam_q
</t>
  </si>
  <si>
    <t>kpi_value_rank_cpam_q</t>
  </si>
  <si>
    <t>CPA_SOURCE || ' EXCP DISCOVERY'</t>
  </si>
  <si>
    <t>Analytics Base Table for CPA Mobile Anomaly</t>
  </si>
  <si>
    <t>Step 1&gt; Perform union of CPA_MOBILE_R_IR_CPA_SUBS_AA, CPA_MOBILE_R_IR_CPA_EXPLAIN_AA and CPA_MOBILE_R_IR_CPA_EXPLAIN_AA_AIRTIME and obtain distinct of DAT_MONTH_ID, CUS_CUSTOMER_CD and SUB_SUBSCRIPTION_CD for reporting month.
Step 2&gt; Perform CPA_MOBILE_R_IR_CPA_RECURRENT_AA_AIRTIME left join f_subscriber_base_semantic_m_usl based on DAT_MONTH_ID &amp; rpt_dt and SUB_SUBSCRIPTION_CD and obtain distinct of DAT_MONTH_ID, CUS_CUSTOMER_CD and SUB_SUBSCRIPTION_CD for reporting month.
Step 3&gt; Obtain distinct of rpt_dt as DAT_MONTH_ID, CUS_CUSTOMER_CD and SUB_SUBSCRIPTION_CD from f_subscriber_base_semantic_m_usl for the reporting month for all the CUS_CUSTOMER_CD in CPA_MOBILE_R_IR_CPA_CUS_AA for reporting month.
Step 4&gt; Obtain distinct of DAT_MONTH_ID, CUS_CUSTOMER_CD and SUB_SUBSCRIPTION_CD from Step 1, 2 and 3 for the reporting month. Consider this as AA_Base table.</t>
  </si>
  <si>
    <r>
      <rPr>
        <b/>
        <sz val="11"/>
        <rFont val="Vodafone Rg"/>
        <family val="2"/>
      </rPr>
      <t>To handle duplicate rows in CPA_MOBILE_R_IR_CPA_SUBS_AA :</t>
    </r>
    <r>
      <rPr>
        <sz val="10"/>
        <rFont val="Vodafone Rg"/>
        <family val="2"/>
      </rPr>
      <t xml:space="preserve">
Before joining the  CPA_MOBILE_R_IR_CPA_SUBS_AA table below  
</t>
    </r>
    <r>
      <rPr>
        <b/>
        <sz val="10"/>
        <rFont val="Vodafone Rg"/>
        <family val="2"/>
      </rPr>
      <t xml:space="preserve"> USE filter condition : ((TRANSACTION_TYPE in ('INFLOW', 'RETENTION', 'OUTFLOW') AND closing_base_flag = 0)OR(TRANSACTION_TYPE ='BASE' AND closing_base_flag =1))</t>
    </r>
    <r>
      <rPr>
        <sz val="10"/>
        <rFont val="Vodafone Rg"/>
        <family val="2"/>
      </rPr>
      <t xml:space="preserve">
  and Take sum() for all measures using group by of  these combination of columns DAT_MONTH_ID,CUS_CUSTOMER_CD,CUS_SEGMENT_EXT_CD,SUB_SUBSCRIPTION_CD,TRANSACTION_TYPE , PRICEPLAN_DESC,SIMO_DEVICE_IND,CHNL_LEVEL_2,DLR_DEALER_SRC_CD,CLOSING_BASE_FLAG</t>
    </r>
  </si>
  <si>
    <t>To handle duplicate rows in CPA_MOBILE_R_IR_CPA_EXPLAIN_AA :
Before joining the  CPA_MOBILE_R_IR_CPA_EXPLAIN_AA table below  
Take sum() for all measures using group by of  these combination of columns -  DAT_MONTH_ID,CUS_CUSTOMER_CD,SUB_SUBSCRIPTION_CD,PRICEPLAN_CHANGE,PRICEPLAN_CHANGE_GRP,TRANSACTION_TYPE_CHANGE,SUBS_DIFF</t>
  </si>
  <si>
    <t xml:space="preserve">To handle duplicate rows in CPA_MOBILE_R_IR_CPA_EXPLAIN_AA_AIRTIME :
Before joining the  CPA_MOBILE_R_IR_CPA_EXPLAIN_AA_AIRTIME table below  
Take sum() for all measures using group by of  this combination of columns - 
DAT_MONTH_ID,CUS_CUSTOMER_CD,SUB_SUBSCRIPTION_CD,TOP_TRIGGER_FEATURE_1,TOP_TRIGGER_FEATURE_2,TOP_TRIGGER_FEATURE_3,TOP_TRIGGER_FEATURE_4,TOP_TRIGGER_FEATURE_5,TT_FEATURES,TTF1_TYPE,TTF2_TYPE . </t>
  </si>
  <si>
    <t>AA_Base</t>
  </si>
  <si>
    <t>STG_AA_BASE</t>
  </si>
  <si>
    <t>CPA MOBILE</t>
  </si>
  <si>
    <t>CPA_MOBILE_R_IR_CPA_SUBS_AA
AA_Base</t>
  </si>
  <si>
    <t xml:space="preserve">Derived
</t>
  </si>
  <si>
    <t>AA_Base left join CPA_MOBILE_R_IR_CPA_SUBS_AA
based on DAT_MONTH_ID and  SUB_SUBSCRIPTION_CD and obtain source column</t>
  </si>
  <si>
    <t>F_IN_BUNDEL_REV</t>
  </si>
  <si>
    <t>F_DISCOUNT_CST</t>
  </si>
  <si>
    <t>F_INSURANCE_CST</t>
  </si>
  <si>
    <t>F_CONTENT_CST</t>
  </si>
  <si>
    <t>F_CREDIT_AMT</t>
  </si>
  <si>
    <t>F_IC_NTL_CST</t>
  </si>
  <si>
    <t>F_IC_INTL_CST</t>
  </si>
  <si>
    <t>F_ROAMING_VOICE_CST</t>
  </si>
  <si>
    <t>F_ROAMING_SMS_CST</t>
  </si>
  <si>
    <t>F_ROAMING_DATA_CST</t>
  </si>
  <si>
    <t>S_INBUNDLE_REV</t>
  </si>
  <si>
    <t>S_OUTBUNDLE_REV</t>
  </si>
  <si>
    <t>S_ADD_SERVICE_REV</t>
  </si>
  <si>
    <t>S_ROAMING_DATA</t>
  </si>
  <si>
    <t>S_ROAMING_VOICE</t>
  </si>
  <si>
    <t>S_ROAMING_SMS</t>
  </si>
  <si>
    <t>S_IC_NAT_CST</t>
  </si>
  <si>
    <t>S_IC_INT_CST</t>
  </si>
  <si>
    <t>S_DISCOUNT_CST</t>
  </si>
  <si>
    <t>STORE_TOTAL_REVENUE</t>
  </si>
  <si>
    <t>STORE_CREDIT_AMT</t>
  </si>
  <si>
    <t>TOTAL_REVENUE</t>
  </si>
  <si>
    <t>AR_TOTAL_CST</t>
  </si>
  <si>
    <t>TOTAL_CST</t>
  </si>
  <si>
    <t>CLOSING_BASE_FLAG</t>
  </si>
  <si>
    <t>LT_DIRECT_MARGIN</t>
  </si>
  <si>
    <t>F_SUBSIDY</t>
  </si>
  <si>
    <t>F_COMMISSION_CST</t>
  </si>
  <si>
    <t>F_USED_DATA</t>
  </si>
  <si>
    <t>AIRTIME_MARGIN_SUB</t>
  </si>
  <si>
    <t>AR_EST_TOTAL_REV</t>
  </si>
  <si>
    <t>AR_EST_TOTAL_REV_SUB</t>
  </si>
  <si>
    <t>AR_EST_TOTAL_CST</t>
  </si>
  <si>
    <t>AR_EST_TOTAL_CST_SUB</t>
  </si>
  <si>
    <t>CPA_MOBILE_R_IR_CPA_EXPLAIN_AA
AA_Base</t>
  </si>
  <si>
    <t>PRICEPLAN_CHANGE</t>
  </si>
  <si>
    <t>AA_Base left join CPA_MOBILE_R_IR_CPA_EXPLAIN_AA
based on DAT_MONTH_ID and  SUB_SUBSCRIPTION_CD and obtain source column</t>
  </si>
  <si>
    <t>PRICEPLAN_CHANGE_GRP</t>
  </si>
  <si>
    <t>TRANSACTION_TYPE_CHANGE</t>
  </si>
  <si>
    <t>SUBS_DIFF</t>
  </si>
  <si>
    <t>INBUNDLE_REV_DIFF</t>
  </si>
  <si>
    <t>OUTBUNDLE_REV_DIFF</t>
  </si>
  <si>
    <t>ADD_SERVICE_REV_DIFF</t>
  </si>
  <si>
    <t>CONTENT_REV_DIFF</t>
  </si>
  <si>
    <t>VAS_REV_DIFF</t>
  </si>
  <si>
    <t>INSURANCE_REV_DIFF</t>
  </si>
  <si>
    <t>INCOMING_REV_DIFF</t>
  </si>
  <si>
    <t>DISCOUNT_CST_DIFF</t>
  </si>
  <si>
    <t>CREDIT_AMT_CST_DIFF</t>
  </si>
  <si>
    <t>IC_NTL_CST_DIFF</t>
  </si>
  <si>
    <t>IC_INTL_CST_DIFF</t>
  </si>
  <si>
    <t>ROAMING_VOICE_CST_DIFF</t>
  </si>
  <si>
    <t>ROAMING_SMS_CST_DIFF</t>
  </si>
  <si>
    <t>ROAMING_DATA_CST_DIFF</t>
  </si>
  <si>
    <t>INSURANCE_CST_DIFF</t>
  </si>
  <si>
    <t>CONTENT_CST_DIFF</t>
  </si>
  <si>
    <t>CPA_MOBILE_R_IR_CPA_EXPLAIN_AA_AIRTIME
AA_Base</t>
  </si>
  <si>
    <t>KPI_LT_DIRECT_MARGIN_DIFF</t>
  </si>
  <si>
    <t>AA_Base left join CPA_MOBILE_R_IR_CPA_EXPLAIN_AA_AIRTIME
based on DAT_MONTH_ID and  SUB_SUBSCRIPTION_CD and obtain source column</t>
  </si>
  <si>
    <t>KPI_AR_EST_TOTAL_REV_DIFF</t>
  </si>
  <si>
    <t>KPI_AR_EST_TOTAL_CST_DIFF</t>
  </si>
  <si>
    <t>TOP_TRIGGER_FEATURE_1</t>
  </si>
  <si>
    <t>TOP_TRIGGER_FEATURE_2</t>
  </si>
  <si>
    <t>TOP_TRIGGER_FEATURE_3</t>
  </si>
  <si>
    <t>TOP_TRIGGER_FEATURE_4</t>
  </si>
  <si>
    <t>TOP_TRIGGER_FEATURE_5</t>
  </si>
  <si>
    <t>TT_FEATURES</t>
  </si>
  <si>
    <t>TT_FEATURES_EXP</t>
  </si>
  <si>
    <t>TTF1_TYPE</t>
  </si>
  <si>
    <t>TTF2_TYPE</t>
  </si>
  <si>
    <t>CPA_MOBILE_R_IR_CPA_CUS_AA
AA_Base</t>
  </si>
  <si>
    <t>CUS_CUSTOMER_CD_HASH_GRP</t>
  </si>
  <si>
    <t>AA_Base left join CPA_MOBILE_R_IR_CPA_CUS_AA based on DAT_MONTH_ID and  CUS_CUSTOMER_CD and obtain distinct value of source column and populate same as target column for all subscribers under it</t>
  </si>
  <si>
    <t>CUS_SEGMENT_EXT_CD_GRP</t>
  </si>
  <si>
    <t>NUM_SUBSCRIPTIONS</t>
  </si>
  <si>
    <t>Populate 1</t>
  </si>
  <si>
    <t>SEGMENT</t>
  </si>
  <si>
    <t>Obtain number of SUB_SUBSCRIPTION_CD from AA_Base for reporting month for each CUS_CUSTOMER_CD. Then AA_BASE left join CPA_MOBILE_R_IR_CPA_CUS_AA based on DAT_MONTH_ID and  CUS_CUSTOMER_CD. Then populate target column as source column/number of SUB_SUBSCRIPTION_CD.</t>
  </si>
  <si>
    <t>AR_EST_TOTAL_REV_CUS</t>
  </si>
  <si>
    <t>AR_EST_TOTAL_CST_CUS</t>
  </si>
  <si>
    <t>AIRTIME_MARGIN_CUS</t>
  </si>
  <si>
    <t>SEGMENT_HASH_GRP</t>
  </si>
  <si>
    <t>AIRTIME_MARGIN_AVG_SEG</t>
  </si>
  <si>
    <t>Analytics Staging Table for CPA Moblie Anomaly</t>
  </si>
  <si>
    <t>stg_profitability_anomaly_q_usl</t>
  </si>
  <si>
    <t>CPA Mobile Profitability Anomalies</t>
  </si>
  <si>
    <t>POST'</t>
  </si>
  <si>
    <t>Replace(TOP_TRIGGER_FEATURE_1,'_DIFF','')</t>
  </si>
  <si>
    <t>top_trigger_feature_1</t>
  </si>
  <si>
    <t xml:space="preserve">if(TTF2_TYPE='NO TF2','NO TC2',Replace(Replace(TOP_TRIGGER_FEATURE_2,'_DIFF',''),'NO TF2','NO TC2')) </t>
  </si>
  <si>
    <t>top_trigger_feature_2</t>
  </si>
  <si>
    <t>Replace(TOP_TRIGGER_FEATURE_3,'_DIFF','') </t>
  </si>
  <si>
    <t>top_trigger_feature_3</t>
  </si>
  <si>
    <t>Replace(TOP_TRIGGER_FEATURE_4,'_DIFF','')</t>
  </si>
  <si>
    <t>top_trigger_feature_4</t>
  </si>
  <si>
    <t>Replace(TOP_TRIGGER_FEATURE_5,'_DIFF','')</t>
  </si>
  <si>
    <t>top_trigger_feature_5</t>
  </si>
  <si>
    <t>tt_features_exp</t>
  </si>
  <si>
    <t>Case when TF1-REV then 'TC1-REV' 
     when 'TF1-CST' then 'TC1-CST'
else TTF1_TYPE</t>
  </si>
  <si>
    <t>ttf1_type</t>
  </si>
  <si>
    <t>Case when TF2-REV then 'TC2-REV' 
     when 'TF2-CST' then 'TC2-CST'  when 'NO TF2' then 'NO TC2'
else TTF2_TYPE</t>
  </si>
  <si>
    <t>ttf2_type</t>
  </si>
  <si>
    <t>priceplan_change</t>
  </si>
  <si>
    <t>priceplan_change_grp</t>
  </si>
  <si>
    <t>transaction_type_change</t>
  </si>
  <si>
    <t>subs_diff</t>
  </si>
  <si>
    <t>cus_segment_ext_cd_grp</t>
  </si>
  <si>
    <t>profitability_anomaly_aa_cpam_q</t>
  </si>
  <si>
    <t>airtime_margin_curr_vs_prev_aa_cpam_q</t>
  </si>
  <si>
    <t>kpi_ar_est_total_cst_diff_aa_cpam_q</t>
  </si>
  <si>
    <t>total_revenue_aa_cpam_q</t>
  </si>
  <si>
    <t>total_cost_aa_cpam_q</t>
  </si>
  <si>
    <t>airtime margin_aa_cpam_q</t>
  </si>
  <si>
    <t>content_rev_aa_cpam_q</t>
  </si>
  <si>
    <t>vas_rev_aa_cpam_q</t>
  </si>
  <si>
    <t>insurance_rev_aa_cpam_q</t>
  </si>
  <si>
    <t>incoming_rev_aa_cpam_q</t>
  </si>
  <si>
    <t xml:space="preserve">When TRANSACTION_TYPE='BASE' then F_IN_BUNDEL_REV
when TRANSACTION_TYPE in ('INFLOW', 'RETENTION', 'OUTFLOW') then
S_INBUNDLE_REV
</t>
  </si>
  <si>
    <t>inbundle_rev_aa_cpam_q</t>
  </si>
  <si>
    <t xml:space="preserve">When TRANSACTION_TYPE='BASE' then F_OUTBUNDLE_REV
when TRANSACTION_TYPE in ('INFLOW', 'RETENTION', 'OUTFLOW') then
S_OUTBUNDLE_REV
</t>
  </si>
  <si>
    <t>outbundle_rev_aa_cpam_q</t>
  </si>
  <si>
    <t xml:space="preserve">When TRANSACTION_TYPE='BASE' then F_ADDL_SERVICE_REV
when TRANSACTION_TYPE in ('INFLOW', 'RETENTION', 'OUTFLOW') then
S_ADD_SERVICE_REV
</t>
  </si>
  <si>
    <t>add_service_rev_aa_cpam_q</t>
  </si>
  <si>
    <t xml:space="preserve">When TRANSACTION_TYPE='BASE' then F_DISCOUNT_CST
when TRANSACTION_TYPE in ('INFLOW', 'RETENTION', 'OUTFLOW') then
S_DISCOUNT_CST
</t>
  </si>
  <si>
    <t>discount_cst_aa_cpam_q</t>
  </si>
  <si>
    <t>insurance_cst_aa_cpam_q</t>
  </si>
  <si>
    <t>content_cst_aa_cpam_q</t>
  </si>
  <si>
    <t xml:space="preserve">When TRANSACTION_TYPE='BASE'  then F_CREDIT_AMT
when TRANSACTION_TYPE in ('INFLOW', 'RETENTION', 'OUTFLOW') then
STORE_CREDIT_AMT
</t>
  </si>
  <si>
    <t>credit_amt_cst_aa_cpam_q</t>
  </si>
  <si>
    <t xml:space="preserve">When TRANSACTION_TYPE='BASE'  then F_IC_NTL_CST
when TRANSACTION_TYPE in ('INFLOW', 'RETENTION', 'OUTFLOW') then
S_IC_NAT_CST
</t>
  </si>
  <si>
    <t>ic_ntl_cst_aa_cpam_q</t>
  </si>
  <si>
    <t xml:space="preserve">
When TRANSACTION_TYPE='BASE' then F_IC_INTL_CST
when TRANSACTION_TYPE in ('INFLOW', 'RETENTION', 'OUTFLOW')  then
S_IC_INT_CST
</t>
  </si>
  <si>
    <t>ic_intl_cst_aa_cpam_q</t>
  </si>
  <si>
    <t xml:space="preserve">
When TRANSACTION_TYPE='BASE' then ROAMING_VOICE_CST
when TRANSACTION_TYPE in ('INFLOW', 'RETENTION', 'OUTFLOW') then
S_ROAMING_VOICE
</t>
  </si>
  <si>
    <t>roaming_voice_cst_aa_cpam_q</t>
  </si>
  <si>
    <t xml:space="preserve">When TRANSACTION_TYPE='BASE' then ROAMING_SMS_CST
when TRANSACTION_TYPE in ('INFLOW', 'RETENTION', 'OUTFLOW') then
S_ROAMING_SMS
</t>
  </si>
  <si>
    <t>roaming_sms_cst_aa_cpam_q</t>
  </si>
  <si>
    <t xml:space="preserve">When TRANSACTION_TYPE='BASE' then ROAMING_DATA_CST
when TRANSACTION_TYPE in ('INFLOW', 'RETENTION', 'OUTFLOW') then
S_ROAMING_DATA
</t>
  </si>
  <si>
    <t>roaming_data_cst_aa_cpam_q</t>
  </si>
  <si>
    <t>subsidy_aa_cpam_q</t>
  </si>
  <si>
    <t>commission_cost_aa_cpam_q</t>
  </si>
  <si>
    <t>used_data_aa_cpam_q</t>
  </si>
  <si>
    <t>duration_aa_cpam_q</t>
  </si>
  <si>
    <t>inbundle_rev_diff_aa_cpam_q</t>
  </si>
  <si>
    <t>outbundle_rev_diff_aa_cpam_q</t>
  </si>
  <si>
    <t>add_service_rev_diff_aa_cpam_q</t>
  </si>
  <si>
    <t>content_rev_diff_aa_cpam_q</t>
  </si>
  <si>
    <t>vas_rev_diff_aa_cpam_q</t>
  </si>
  <si>
    <t>insurance_rev_diff_aa_cpam_q</t>
  </si>
  <si>
    <t>incoming_rev_diff_aa_cpam_q</t>
  </si>
  <si>
    <t>discount_cst_diff_aa_cpam_q</t>
  </si>
  <si>
    <t>credit_amt_cst_diff_aa_cpam_q</t>
  </si>
  <si>
    <t>ic_ntl_cst_diff_aa_cpam_q</t>
  </si>
  <si>
    <t>ic_intl_cst_diff_aa_cpam_q</t>
  </si>
  <si>
    <t>roaming_voice_cst_diff_aa_cpam_q</t>
  </si>
  <si>
    <t>roaming_sms_cst_diff_aa_cpam_q</t>
  </si>
  <si>
    <t>roaming_data_cst_diff_aa_cpam_q</t>
  </si>
  <si>
    <t>insurance_cst_diff_aa_cpam_q</t>
  </si>
  <si>
    <t>content_cst_diff_aa_cpam_q</t>
  </si>
  <si>
    <t>kpi_ar_est_total_rev_diff_aa_cpam_q</t>
  </si>
  <si>
    <t>ar_est_total_rev_cus_aa_cpam_q</t>
  </si>
  <si>
    <t>ar_est_total_cst_cus_aa_cpam_q</t>
  </si>
  <si>
    <t>airtime_margin_cus_aa_cpam_q</t>
  </si>
  <si>
    <t>segment_hash_grp_aa_cpam_q</t>
  </si>
  <si>
    <t>airtime_margin_avg_seg_aa_cpam_q</t>
  </si>
  <si>
    <t>closing_base_flag_aa_cpam_q</t>
  </si>
  <si>
    <t>CPA_SOURCE || 'PROFITABILITY ANOMALIES'</t>
  </si>
  <si>
    <t>Analytics Staging Table for CPA Moblie Recurrent Anomaly</t>
  </si>
  <si>
    <r>
      <rPr>
        <sz val="10"/>
        <color theme="1"/>
        <rFont val="Vodafone Rg"/>
        <family val="2"/>
      </rPr>
      <t>CPA_MOBILE_R_IR_CPA_RECURRENT_AA_AIRTIME Left join CPA_MOBILE_R_IR_CPA_SUBS_AA on basis of DAT_MONTH_ID,SUB_SUBSCRIPTION_CD
Left Join CPA_MOBILE_R_IR_CPA_EXPLAIN_AA on basis of DAT_MONTH_ID,CUS_CUSTOMER_CD,SUB_SUBSCRIPTION_CD
Left join CPA_MOBILE_R_IR_CPA_EXPLAIN_AA_AIRTIME  on basis of DAT_MONTH_ID,CUS_CUSTOMER_CD,SUB_SUBSCRIPTION_CD.
NOTE : Please use the aggregation rule</t>
    </r>
    <r>
      <rPr>
        <b/>
        <sz val="10"/>
        <color theme="1"/>
        <rFont val="Vodafone Rg"/>
        <family val="2"/>
      </rPr>
      <t xml:space="preserve"> and filter condition</t>
    </r>
    <r>
      <rPr>
        <sz val="10"/>
        <color theme="1"/>
        <rFont val="Vodafone Rg"/>
        <family val="2"/>
      </rPr>
      <t xml:space="preserve">  for CPA_MOBILE_R_IR_CPA_SUBS_AA,CPA_MOBILE_R_IR_CPA_EXPLAIN_AA , EXPLAIN_AA_AIRTIME as used as above for STG_AA_BASE table
 Aggregation rule for CPA_MOBILE_R_IR_CPA_RECURRENT_AA_AIRTIME. :  before joining consider sum(cum_loss)  using group by DAT_MONTH_ID, SUB_SUBSCRIPTION_CD,TT_FEATURES,RECURRING_TYPE,RECURRENT_ANOMALY.</t>
    </r>
  </si>
  <si>
    <t xml:space="preserve">CPA_MOBILE_R_IR_CPA_RECURRENT_AA_AIRTIME </t>
  </si>
  <si>
    <t>stg_profitability_recurrent_anomaly_q_usl</t>
  </si>
  <si>
    <t>CPA_MOBILE_R_IR_CPA_SUBS_AA</t>
  </si>
  <si>
    <t>CPA_MOBILE_R_IR_CPA_EXPLAIN_AA</t>
  </si>
  <si>
    <t>CPA_MOBILE_R_IR_CPA_EXPLAIN_AA_AIRTIME</t>
  </si>
  <si>
    <t>tt_features_rec</t>
  </si>
  <si>
    <t>RECURRING_TYPE</t>
  </si>
  <si>
    <t>recurring_type_aa_cpam_q</t>
  </si>
  <si>
    <t>RECURRENT_ANOMALY</t>
  </si>
  <si>
    <t>recurrent_anomaly</t>
  </si>
  <si>
    <t>CUM_LOSS</t>
  </si>
  <si>
    <t>cum_loss_aa_cpam_q</t>
  </si>
  <si>
    <t>CPA_SOURCE || ' RECURRENT ANOMALY'</t>
  </si>
  <si>
    <t>CPA FIXED Qlik Logics stage table</t>
  </si>
  <si>
    <t>STG_Retail_Opex:</t>
  </si>
  <si>
    <t>Comments</t>
  </si>
  <si>
    <t>CPA Fixed</t>
  </si>
  <si>
    <t>STG_Inflow_Ret_Subs_F</t>
  </si>
  <si>
    <t xml:space="preserve">Step 1:
Select distinct 
DAT_MONTH_ID,
DLR_DEALER_SRC_CD,
Count(SUB_SUBSCRIPTION_CD) as Subs
from 
`vfie_dh_lake_finance_mc2_presentation_processed_s`.`CPA_FIXEDLINE_R_IR_CPA_PNL_DTLD_FL`
Where
TRANSACTION_TYPE in ('INFLOW','RETENTION')
and DLR_DEALER_SRC_CD ='RVF01'
GROUP BY DAT_MONTH_ID,
  DLR_DEALER_SRC_CD
</t>
  </si>
  <si>
    <t>stg_fixed_cost_fl</t>
  </si>
  <si>
    <t>Select 
   DAT_MONTH_ID,
   CUS_CUSTOMER_CD,
    sum( F_CHARGE_AMT ) *-1  as F_MAPP_CST
from
vf-ie-mc2-nonlive.vfie_mc2_nonlive_ie_lake_mc2_presentation_processed_s.`CPA_FIXEDLINE_R_IR_CPA_FIXED_COST_FL`
where SUB_SUBSCRIPTION_CD &lt;&gt; '-1'
and CHARGE_DESC like '%Missed Appointment'
Group by DAT_MONTH_ID,CUS_CUSTOMER_CD;</t>
  </si>
  <si>
    <t>F_MAPP_CST</t>
  </si>
  <si>
    <t>STG_Fixed_Digital_Cost</t>
  </si>
  <si>
    <t xml:space="preserve">
Stpe 1 : Get the count of subscribers for each reporting month from CPA_FIXEDLINE_R_IR_CPA_PNL_DTLD_FL using conditions 
 TRANSACTION_TYPE in ('INFLOW','RETENTION') and   CHNL_LEVEL_2 ='VF Online Sales'
 select 
DAT_MONTH_ID,
Count(SUB_SUBSCRIPTION_CD) as SubsCount 
FROM `vfie_dh_lake_finance_mc2_presentation_processed_s`.CPA_FIXEDLINE_R_IR_CPA_PNL_DTLD_FL
Where 
 TRANSACTION_TYPE in ('INFLOW','RETENTION')
and CHNL_LEVEL_2 ='VF Online Sales'
GROUP BY DAT_MONTH_ID
Step 2 : Get the count of subscribers for each reporting month from CPA_FIXEDLINE_R_IR_CPA_PNL_DTLD_FL using conditions 
 TRANSACTION_TYPE in ('INFLOW','RETENTION') and   CHNL_LEVEL_2  in ('VIS Outbound','VIS Care') (use upper while evaluating)
 select
DAT_MONTH_ID,
Count(SUB_SUBSCRIPTION_CD) as SubsCount   
FROM `vfie_dh_lake_finance_mc2_presentation_processed_s`.CPA_FIXEDLINE_R_IR_CPA_PNL_DTLD_FL
Where 
TRANSACTION_TYPE in ('INFLOW','RETENTION')
and Upper(CHNL_LEVEL_2)  in  ('VIS OUTBOUND','VIS CARE')
GROUP BY DAT_MONTH_ID
Step 3: Preparing one combined dataset using 3 different chanl_level_2 from step 1 and step 2
Select DAT_MONTH_ID, 'VF Online Sales' As CHNL_LEVEL_2, Digital_cost/step1.SubsCount as DigitalCost1
from DigitalCost- Fixed Join step 1 on Dat_month_Id 
union all
Select DAT_MONTH_ID , 'VIS Outbound' As CHNL_LEVEL_2 , Digital_cost/step2.SubsCount  as DigitalCost1
from DigitalCost- Fixed Join step 2 on Dat_month_Id 
union all
Select DAT_MONTH_ID , 'VIS Care' As CHNL_LEVEL_2 , Digital_cost/step2.SubsCount as DigitalCost1
from DigitalCost- Fixed Join step 2 on Dat_month_Id </t>
  </si>
  <si>
    <t>stg_fixed_digital_cost</t>
  </si>
  <si>
    <t>stg_cpa_fixed_line_q_usl</t>
  </si>
  <si>
    <r>
      <t xml:space="preserve">Note : 
1 . While applying filter on transaction type please use upper. 
2. Apply below filters while using discount table for discount page columns :  </t>
    </r>
    <r>
      <rPr>
        <b/>
        <sz val="10"/>
        <rFont val="Vodafone Rg"/>
        <family val="2"/>
      </rPr>
      <t>CPA_FIXEDLINE_R_IR_CPA_DISCOUNT_FL</t>
    </r>
    <r>
      <rPr>
        <sz val="10"/>
        <rFont val="Vodafone Rg"/>
        <family val="2"/>
      </rPr>
      <t xml:space="preserve">
                        SUB_BUNDLE_TYPE_DESC not in ('Mobile','TV','Voice + TV')
                        and  (ACR_CHARGE_CODE_DESC Like '%Discount%' or  ACR_CHARGE_CODE_DESC Like '%Disc%')
                        and F_CHARGE_AMT&lt;0
</t>
    </r>
    <r>
      <rPr>
        <strike/>
        <sz val="10"/>
        <rFont val="Vodafone Rg"/>
        <family val="2"/>
      </rPr>
      <t xml:space="preserve">
</t>
    </r>
    <r>
      <rPr>
        <b/>
        <sz val="10"/>
        <rFont val="Vodafone Rg"/>
        <family val="2"/>
      </rPr>
      <t>The above Discount filter is only needed on Discount page KPI's as confirmed by Viz team. So avoid using same for summary page KPI columns.</t>
    </r>
    <r>
      <rPr>
        <strike/>
        <sz val="10"/>
        <rFont val="Vodafone Rg"/>
        <family val="2"/>
      </rPr>
      <t xml:space="preserve">
</t>
    </r>
  </si>
  <si>
    <r>
      <rPr>
        <b/>
        <sz val="10"/>
        <rFont val="Vodafone Rg"/>
        <family val="2"/>
      </rPr>
      <t xml:space="preserve">Aggregated_PNL Table </t>
    </r>
    <r>
      <rPr>
        <sz val="10"/>
        <rFont val="Vodafone Rg"/>
        <family val="2"/>
      </rPr>
      <t xml:space="preserve">: Take sum() for all the measures and count(subscribers) using Group by below columns for CPA_FIXEDLINE_R_IR_CPA_PNL_DTLD_FL with below filter.
Where SUB_BUNDLE_TYPE_DESC not in ('Mobile','TV','Voice + TV') 
</t>
    </r>
    <r>
      <rPr>
        <b/>
        <sz val="10"/>
        <rFont val="Vodafone Rg"/>
        <family val="2"/>
      </rPr>
      <t xml:space="preserve">Group by 
	DAT_MONTH_ID,                                                  
CUS_CUSTOMER_CD,
SUB_AGREEMENT_END_DT,
CUS_CONVERGENCE_TYPE_DESC,
SUB_CONNECTION_TYPE_DESC,
SUB_BILL_TYPE_EXT_CD,
CUS_SEGMENT_EXT_CD,
COUNTY,
DLR_DEALER_ID,
CHNL_LEVEL_1,
CHNL_LEVEL_2,
CHNL_LEVEL_3,
PRICEPLAN_DESC,
SIMO_DEVICE_IND,
DEVICE_TYPE_MANUFACTURER,
TRANSACTION_TYPE,
DISCOUNT_DESC,
DISCOUNT_FLAG,
CONTRACT_TENURE,
ACT_TENURE,
ACQUISITION_BRANCH_ID,
UPGRADE_BRACH_ID,
TOWN,
CUS_CUSTOMER_SUB_TYPE_DESC,
SUB_BUNDLE_TYPE_DESC,
SUB_SERVICE_PROVIDER_DESC,
SV_HOUSEHOLD_ID,
CHNL_GROUP </t>
    </r>
  </si>
  <si>
    <t>CPA_FIXEDLINE_R_IR_CPA_PNL_DTLD_FL as FL_PNL</t>
  </si>
  <si>
    <t>Summary P&amp;L</t>
  </si>
  <si>
    <t>Transaction_type</t>
  </si>
  <si>
    <t xml:space="preserve">`CPA_FIXEDLINE_R_IR_CPA_PNL_DTLD_FL` fl_pnl  left join Aggregated_pnl 
 Left join `AVG_REVENUE_BY_PRODUCT` A 
ON Aggregated_pnl .PRICEPLAN_DESC= A.PRD_PRODUCT_DESC </t>
  </si>
  <si>
    <r>
      <rPr>
        <b/>
        <sz val="10"/>
        <color theme="1"/>
        <rFont val="Vodafone Rg"/>
        <family val="2"/>
      </rPr>
      <t>1. IF transaction_type in ("INFLOW", "RETENTION", "OUTFLOW") THEN  Inbundle_Revenue / subs_cnt</t>
    </r>
    <r>
      <rPr>
        <sz val="10"/>
        <color theme="1"/>
        <rFont val="Vodafone Rg"/>
        <family val="2"/>
      </rPr>
      <t xml:space="preserve">
where Inbundle_Revenue  from `AVG_REVENUE_BY_PRODUCT`
2.IF transaction_type = "BASE" THEN    fl_pnl.F_IN_BUNDEL_REV - fl_pnl.F_DISCOUNT_CST</t>
    </r>
  </si>
  <si>
    <t>monthly_access_fee_cpaf_q</t>
  </si>
  <si>
    <t xml:space="preserve">`CPA_FIXEDLINE_R_IR_CPA_PNL_DTLD_FL` fl_pnl  left join Aggregated_pnl 
`AVG_REVENUE_BY_PRODUCT` A 
ON Aggregated_pnl .PRICEPLAN_DESC= A.PRD_PRODUCT_DESC </t>
  </si>
  <si>
    <r>
      <t>IF transaction_type in ("INFLOW", "RETENTION", "</t>
    </r>
    <r>
      <rPr>
        <b/>
        <sz val="10"/>
        <color theme="1"/>
        <rFont val="Vodafone Rg"/>
        <family val="2"/>
      </rPr>
      <t>BASE</t>
    </r>
    <r>
      <rPr>
        <sz val="10"/>
        <color theme="1"/>
        <rFont val="Vodafone Rg"/>
        <family val="2"/>
      </rPr>
      <t>") THEN  fl_pnl.F_IN_BUNDEL_REV - fl_pnl.F_DISCOUNT_CST</t>
    </r>
  </si>
  <si>
    <t>monthly_access_fee_cb_cpaf_q</t>
  </si>
  <si>
    <r>
      <rPr>
        <b/>
        <sz val="10"/>
        <color theme="1"/>
        <rFont val="Vodafone Rg"/>
        <family val="2"/>
      </rPr>
      <t>IF transaction_type in ("INFLOW", "RETENTION", "OUTFLOW") THEN OOB_Revenue/ subs_cnt</t>
    </r>
    <r>
      <rPr>
        <sz val="10"/>
        <color theme="1"/>
        <rFont val="Vodafone Rg"/>
        <family val="2"/>
      </rPr>
      <t xml:space="preserve">
( "OOB_Revenue"  from `AVG_REVENUE_BY_PRODUCT`)
IF transaction_type = ("BASE")  THEN fl_pnl.F_OUTBUNDLE_REV from (PNL)</t>
    </r>
  </si>
  <si>
    <t>out_of_bundle_revenue_cpaf_q</t>
  </si>
  <si>
    <r>
      <t xml:space="preserve">IF transaction_type in ("INFLOW", "RETENTION", </t>
    </r>
    <r>
      <rPr>
        <sz val="10"/>
        <color rgb="FFFF0000"/>
        <rFont val="Vodafone Rg"/>
        <family val="2"/>
      </rPr>
      <t>,</t>
    </r>
    <r>
      <rPr>
        <sz val="10"/>
        <rFont val="Vodafone Rg"/>
        <family val="2"/>
      </rPr>
      <t>'</t>
    </r>
    <r>
      <rPr>
        <b/>
        <sz val="10"/>
        <rFont val="Vodafone Rg"/>
        <family val="2"/>
      </rPr>
      <t>BASE</t>
    </r>
    <r>
      <rPr>
        <sz val="10"/>
        <rFont val="Vodafone Rg"/>
        <family val="2"/>
      </rPr>
      <t>'</t>
    </r>
    <r>
      <rPr>
        <sz val="10"/>
        <color theme="1"/>
        <rFont val="Vodafone Rg"/>
        <family val="2"/>
      </rPr>
      <t>) THEN  fl_pnl.F_OUTBUNDLE_REV</t>
    </r>
  </si>
  <si>
    <t>out_of_bundle_revenue_cb_cpaf_q</t>
  </si>
  <si>
    <r>
      <rPr>
        <b/>
        <sz val="10"/>
        <color theme="1"/>
        <rFont val="Vodafone Rg"/>
        <family val="2"/>
      </rPr>
      <t>1. IF transaction_type in ("INFLOW","RETENTION", "OUTFLOW") THEN Additional_Service_Revenue/ subs_cnt</t>
    </r>
    <r>
      <rPr>
        <sz val="10"/>
        <color theme="1"/>
        <rFont val="Vodafone Rg"/>
        <family val="2"/>
      </rPr>
      <t xml:space="preserve">
Where Additional_Service_Revenue from `AVG_REVENUE_BY_PRODUCT`) 
2. IF transaction_type = "BASE" THEN fl_pnl.F_ADDL_SERVICE_REV (from PNL)</t>
    </r>
  </si>
  <si>
    <t>additional_service_revenue_cpaf_q</t>
  </si>
  <si>
    <r>
      <t>IF transaction_type IN ("INFLOW", "RETENTION",'</t>
    </r>
    <r>
      <rPr>
        <b/>
        <sz val="10"/>
        <color theme="1"/>
        <rFont val="Vodafone Rg"/>
        <family val="2"/>
      </rPr>
      <t>BASE</t>
    </r>
    <r>
      <rPr>
        <sz val="10"/>
        <color theme="1"/>
        <rFont val="Vodafone Rg"/>
        <family val="2"/>
      </rPr>
      <t xml:space="preserve">') THEN fl_pnl.F_ADDL_SERVICE_REV  (from PNL)
</t>
    </r>
  </si>
  <si>
    <t>additional_service_revenue_cb_cpaf_q</t>
  </si>
  <si>
    <r>
      <rPr>
        <b/>
        <sz val="10"/>
        <color theme="1"/>
        <rFont val="Vodafone Rg"/>
        <family val="2"/>
      </rPr>
      <t>1. IF transaction_type IN ("INFLOW", "RETENTION") THEN  Discount/subs_cnt</t>
    </r>
    <r>
      <rPr>
        <sz val="10"/>
        <color theme="1"/>
        <rFont val="Vodafone Rg"/>
        <family val="2"/>
      </rPr>
      <t xml:space="preserve">
2. IF transaction_type IN ("BASE","OUTFLOW") THEN FL_PNL. F_DISCOUNT_CST (from PNL)
where F_DISCOUNT_CST is direct field</t>
    </r>
  </si>
  <si>
    <t>discount_cpaf_q</t>
  </si>
  <si>
    <r>
      <t>IF transaction_type IN ("INFLOW", "RETENTION", "</t>
    </r>
    <r>
      <rPr>
        <b/>
        <sz val="10"/>
        <color theme="1"/>
        <rFont val="Vodafone Rg"/>
        <family val="2"/>
      </rPr>
      <t>BASE</t>
    </r>
    <r>
      <rPr>
        <sz val="10"/>
        <color theme="1"/>
        <rFont val="Vodafone Rg"/>
        <family val="2"/>
      </rPr>
      <t>") THEN FL_PNL.F_DISCOUNT_CST  (from PNL)</t>
    </r>
  </si>
  <si>
    <t>discount_cb_cpaf_q</t>
  </si>
  <si>
    <t xml:space="preserve">
The columns used here for deriving the KPI fixed_line_customer_revenue already derived above</t>
  </si>
  <si>
    <t>monthly_access_fee_cpaf_q+ out_of_bundle_revenue_cpaf_q + additional_service_revenue_cpaf_q</t>
  </si>
  <si>
    <t>fixed_line_customer_revenue_cpaf_q</t>
  </si>
  <si>
    <t xml:space="preserve">monthly_access_fee_cb_cpaf_q+ out_of_bundle_revenue_cb_cpaf_q + additional_service_revenue_cb_cpaf_q </t>
  </si>
  <si>
    <t>fixed_line_customer_revenue_cb_cpaf_q</t>
  </si>
  <si>
    <t>1. IF transaction_type in("INFLOW", "RETENTION") THEN use  ( (Inbundle_Revenue + OOB_Revenue + Additional_Service_Revenue)*0.05 *-1)/subs_cnt
2. IF(transaction_type) in  ("BASE","OUTFLOW") THEN use FL_PNL .F_NET_CREDIT_AMT*(-1)   
3. F_NET_CREDIT_AMT= Direct field from PNL</t>
  </si>
  <si>
    <t>credit_cpaf_q</t>
  </si>
  <si>
    <r>
      <t>IF transaction_type IN ("INFLOW","RETENTION", '</t>
    </r>
    <r>
      <rPr>
        <b/>
        <sz val="10"/>
        <color theme="1"/>
        <rFont val="Vodafone Rg"/>
        <family val="2"/>
      </rPr>
      <t>BASE</t>
    </r>
    <r>
      <rPr>
        <sz val="10"/>
        <color theme="1"/>
        <rFont val="Vodafone Rg"/>
        <family val="2"/>
      </rPr>
      <t>') THEN use FL_PNL .F_NET_CREDIT_AMT*(-1) 
Where  F_NET_CREDIT_AMT= Direct field</t>
    </r>
  </si>
  <si>
    <t>credit_cb_cpaf_q</t>
  </si>
  <si>
    <r>
      <t xml:space="preserve">fixed_line_customer_revenue_cpaf_q + Discount_cpaf_q + Credit_cpaf_q
</t>
    </r>
    <r>
      <rPr>
        <sz val="10"/>
        <rFont val="Vodafone Rg"/>
        <family val="2"/>
      </rPr>
      <t>If transaction type is Inflow, retention then use  channel_net_revenue_cpaf_q else if transaction type is outflow use c_channel_net_revenue_cpaf_q else if use Net_Revenue_bd_cpaf_q  for base</t>
    </r>
    <r>
      <rPr>
        <strike/>
        <sz val="10"/>
        <color rgb="FFFF0000"/>
        <rFont val="Vodafone Rg"/>
        <family val="2"/>
      </rPr>
      <t xml:space="preserve">
</t>
    </r>
  </si>
  <si>
    <t>fixed_line_customer_service_revenue_cpaf_q</t>
  </si>
  <si>
    <r>
      <t xml:space="preserve">fixed_line_customer_revenue_cb_cpaf_q + Discount_cb_cpaf_q + Credit_cb_cpaf_q
</t>
    </r>
    <r>
      <rPr>
        <sz val="10"/>
        <rFont val="Vodafone Rg"/>
        <family val="2"/>
      </rPr>
      <t>IF transaction_type IN ("INFLOW","RETENTION", 'BASE') thenNet_Revenue_bd_cpaf_q</t>
    </r>
  </si>
  <si>
    <t>fixed_line_customer_service_revenue_cb_cpaf_q</t>
  </si>
  <si>
    <t xml:space="preserve">`CPA_FIXEDLINE_R_IR_CPA_PNL_DTLD_FL` fl_pnl  left join Aggregated_pnl 
</t>
  </si>
  <si>
    <r>
      <rPr>
        <b/>
        <sz val="10"/>
        <color theme="1"/>
        <rFont val="Vodafone Rg"/>
        <family val="2"/>
      </rPr>
      <t>IF transaction_type IN ("INFLOW", "RETENTION") and SUB_SERVICE_PROVIDER_DESC='Eircom' and F_WLR_CST&gt;40  then ( (Aggregated_pnl .F_WLR_CST/2)*-1)/subs_cnt
IF transaction_type IN ("BASE") then Aggregated_pnl .F_WLR_CST *-1/subs_cnt
else -23/subs_cnt</t>
    </r>
    <r>
      <rPr>
        <sz val="10"/>
        <color theme="1"/>
        <rFont val="Vodafone Rg"/>
        <family val="2"/>
      </rPr>
      <t xml:space="preserve">
Note : Derive at Aggregated Pnl level , then distribute at subs level
</t>
    </r>
    <r>
      <rPr>
        <b/>
        <sz val="10"/>
        <color theme="1"/>
        <rFont val="Vodafone Rg"/>
        <family val="2"/>
      </rPr>
      <t xml:space="preserve">Ref : </t>
    </r>
    <r>
      <rPr>
        <sz val="10"/>
        <color theme="1"/>
        <rFont val="Vodafone Rg"/>
        <family val="2"/>
      </rPr>
      <t xml:space="preserve">CASE
    WHEN UPPER(TRANSACTION_TYPE) IN ('INFLOW', 'RETENTION') and SUB_SERVICE_PROVIDER_DESC = 'Eircom' AND F_WLR_CST &gt; 40 
      THEN F_WLR_CST / 2
      when UPPER(TRANSACTION_TYPE) IN ('BASE')  
      THEN F_WLR_CST 
    ELSE 23
</t>
    </r>
  </si>
  <si>
    <t>wholesale_line_rental_cost_cpaf_q</t>
  </si>
  <si>
    <r>
      <t xml:space="preserve">IF transaction_type IN ("INFLOW", "RETENTION") and SUB_SERVICE_PROVIDER_DESC='Eircom' and F_WLR_CST&gt;40  then ( (Aggregated_pnl .F_WLR_CST/2)*-1)/subs_cnt 
</t>
    </r>
    <r>
      <rPr>
        <b/>
        <sz val="10"/>
        <rFont val="Vodafone Rg"/>
        <family val="2"/>
      </rPr>
      <t>else -23/subs_cnt</t>
    </r>
    <r>
      <rPr>
        <sz val="10"/>
        <rFont val="Vodafone Rg"/>
        <family val="2"/>
      </rPr>
      <t xml:space="preserve">
IF transaction_type IN ("BASE") then Aggregated_pnl .F_WLR_CST *-1/subs_cnt
</t>
    </r>
    <r>
      <rPr>
        <b/>
        <sz val="10"/>
        <rFont val="Vodafone Rg"/>
        <family val="2"/>
      </rPr>
      <t>Note : This column is basically same as wholesale_line_rental_cost_cpaf_q with Closing base filter (INFLOW,RETENTION,BASE)</t>
    </r>
  </si>
  <si>
    <t>wholesale_line_rental_cost_cb_cpaf_q</t>
  </si>
  <si>
    <r>
      <t>1.IF transaction_type IN ("INFLOW", "RETENTION","OUTFLOW") then - 0.5</t>
    </r>
    <r>
      <rPr>
        <b/>
        <sz val="10"/>
        <color theme="1"/>
        <rFont val="Vodafone Rg"/>
        <family val="2"/>
      </rPr>
      <t>/subs_cnt</t>
    </r>
    <r>
      <rPr>
        <sz val="10"/>
        <color theme="1"/>
        <rFont val="Vodafone Rg"/>
        <family val="2"/>
      </rPr>
      <t xml:space="preserve">
2.IF transaction_type IN ("BASE") then (F_IC_NTL_CST+ F_IC_INTL_CST)*-1 </t>
    </r>
    <r>
      <rPr>
        <b/>
        <sz val="10"/>
        <color theme="1"/>
        <rFont val="Vodafone Rg"/>
        <family val="2"/>
      </rPr>
      <t>/subs_cnt</t>
    </r>
    <r>
      <rPr>
        <sz val="10"/>
        <color theme="1"/>
        <rFont val="Vodafone Rg"/>
        <family val="2"/>
      </rPr>
      <t xml:space="preserve">
</t>
    </r>
  </si>
  <si>
    <t>interconnect_cost_cpaf_q</t>
  </si>
  <si>
    <r>
      <t>IF transaction_type IN ("INFLOW", "RETENTION","BASE") then (F_IC_NTL_CST+ F_IC_INTL_CST)*-1</t>
    </r>
    <r>
      <rPr>
        <b/>
        <sz val="10"/>
        <color theme="1"/>
        <rFont val="Vodafone Rg"/>
        <family val="2"/>
      </rPr>
      <t xml:space="preserve"> /subs_cnt</t>
    </r>
    <r>
      <rPr>
        <sz val="10"/>
        <color theme="1"/>
        <rFont val="Vodafone Rg"/>
        <family val="2"/>
      </rPr>
      <t xml:space="preserve">
</t>
    </r>
  </si>
  <si>
    <t>interconnect_cost_cb_cpaf_q</t>
  </si>
  <si>
    <r>
      <t xml:space="preserve">
Step 1 : Take Sum(Content_Cost)*-1 as content_cost1 using group by of DAT_MONTH_ID,CUS_CUSTOMER_CD from 
                  CPA_FIXEDLINE_R_IR_CPA_DISCOUNT_FL(</t>
    </r>
    <r>
      <rPr>
        <b/>
        <sz val="10"/>
        <rFont val="Vodafone Rg"/>
        <family val="2"/>
      </rPr>
      <t>Distinct CUS_CUSTOMER_CD,DAT_MONTH_ID,ACR_CHARGE_CODE_EXT_CD from discount table</t>
    </r>
    <r>
      <rPr>
        <sz val="10"/>
        <rFont val="Vodafone Rg"/>
        <family val="2"/>
      </rPr>
      <t>) Left join CPA_Fixed_ContentCost_Excel on ACR_CHARGE_CODE_EXT_CD 
(apply this filter on CPA_Fixed_ContentCost_Excel before joining  ACR_CHARGE_CODE_EXT_CD NOT IN ('FAR_PRIMARYSTB','FER_FIBMODVOX')  ) 
Step 2 : Aggregated_pnl  left join Step 1 on DAT_MONTH_ID,CUS_CUSTOMER_CD (Mapping content_cost1 from step1)
Step 3 : Fl_pnl Left join Aggregated_pnl and distribute  content_cost1/subs_cnt or sum(Content_Cost) *-1/subs_cnt</t>
    </r>
  </si>
  <si>
    <t xml:space="preserve"> content_cost1/subs_cnt</t>
  </si>
  <si>
    <t>tv_content_cost_cpaf_q</t>
  </si>
  <si>
    <t>`CPA_FIXEDLINE_R_IR_CPA_PNL_DTLD_FL` fl_pnl</t>
  </si>
  <si>
    <t>Fields used derived above</t>
  </si>
  <si>
    <t>IF transaction_type IN ("INFLOW", "RETENTION","OUTFLOW") then (Tv_Content_Cost_cpaf_q + interconnect_cost_cpaf_q +wholesale_line_rental_cost_cpaf_q )</t>
  </si>
  <si>
    <t>total_wholesale_ic_cost_cpaf_q</t>
  </si>
  <si>
    <t>IF transaction_type IN ("INFLOW", "RETENTION","BASE") (Tv_Content_Cost_cpaf_q + interconnect_cost_cb_cpaf_q  + wholesale_line_rental_cost_cb_cpaf_q)</t>
  </si>
  <si>
    <t>total_wholesale_ic_cost_cb_cpaf_q</t>
  </si>
  <si>
    <t xml:space="preserve"> ([Total_Wholesale_Cost_cpaf_q]/Fixed_Line_Customer_Service_Revenue_cpaf_q) 
</t>
  </si>
  <si>
    <t xml:space="preserve"> monthly_wholesale_ic_cost_cpaf_q</t>
  </si>
  <si>
    <t>total_wholesale_cost_cb_cpaf_q / fixed_line_customer_service_revenue_cb_cpaf_q</t>
  </si>
  <si>
    <t xml:space="preserve"> monthly_wholesale_ic_cost_cb_cpaf_q</t>
  </si>
  <si>
    <r>
      <t xml:space="preserve">IF transaction_type IN ("INFLOW", "RETENTION" ) then  channel_net_revenue_cpaf_q + total_wholesale_ic_cost_cpaf_q
IF transaction_type IN (OUTFLOW ) then </t>
    </r>
    <r>
      <rPr>
        <b/>
        <sz val="10"/>
        <color theme="1"/>
        <rFont val="Vodafone Rg"/>
        <family val="2"/>
      </rPr>
      <t>c_channel_net_revenue_cpaf_q</t>
    </r>
    <r>
      <rPr>
        <sz val="10"/>
        <color theme="1"/>
        <rFont val="Vodafone Rg"/>
        <family val="2"/>
      </rPr>
      <t xml:space="preserve"> + total_wholesale_ic_cost_cpaf_q
IF transaction_type IN (BASE) then net_revenue_bd_cpaf_q + total_wholesale_ic_cost_cpaf_q</t>
    </r>
  </si>
  <si>
    <t>monthly_fixed_line_margin_cpaf_q</t>
  </si>
  <si>
    <t>IF transaction_type IN (BASE,"INFLOW", "RETENTION") then net_revenue_bd_cpaf_q+total_wholesale_ic_cost_cb_cpaf_q</t>
  </si>
  <si>
    <t>monthly_fixed_line_margin_cb_cpaf_q</t>
  </si>
  <si>
    <t>monthly_fixed_line_margin_cpaf_q * ifnull(if(len(trim(PRICEPLAN_DESC))&gt;0,12,0),12)</t>
  </si>
  <si>
    <t>est_margin_cpaf_q</t>
  </si>
  <si>
    <t>monthly_fixed_line_margin_cb_cpaf_q * ifnull(if(len(trim(PRICEPLAN_DESC))&gt;0,12,0),12)</t>
  </si>
  <si>
    <t>est_margin_cb_cpaf_q</t>
  </si>
  <si>
    <r>
      <t xml:space="preserve">
</t>
    </r>
    <r>
      <rPr>
        <sz val="10"/>
        <rFont val="Vodafone Rg"/>
        <family val="2"/>
      </rPr>
      <t xml:space="preserve">`CPA_FIXEDLINE_R_IR_CPA_PNL_DTLD_FL` fl_pnl  left join Aggregated_pnl </t>
    </r>
  </si>
  <si>
    <t>(F_IN_BUNDEL_REV + F_OUTBUNDLE_REV + F_ADDL_SERVICE_REV + (F_DISCOUNT_CST)*-1) / subs_snt</t>
  </si>
  <si>
    <t xml:space="preserve">total_revenue_cpaf_q </t>
  </si>
  <si>
    <t>`CPA_FIXEDLINE_R_IR_CPA_PNL_DTLD_FL` fl_pnl  left join Aggregated_pnl</t>
  </si>
  <si>
    <r>
      <t xml:space="preserve"> If TRANSACTION_TYPE in ('INFLOW' , 'RETENTION' , "BASE") then</t>
    </r>
    <r>
      <rPr>
        <strike/>
        <sz val="10"/>
        <color rgb="FFFF0000"/>
        <rFont val="Vodafone Rg"/>
        <family val="2"/>
      </rPr>
      <t xml:space="preserve"> </t>
    </r>
    <r>
      <rPr>
        <sz val="10"/>
        <color theme="1"/>
        <rFont val="Vodafone Rg"/>
        <family val="2"/>
      </rPr>
      <t xml:space="preserve">
</t>
    </r>
    <r>
      <rPr>
        <b/>
        <sz val="10"/>
        <color theme="1"/>
        <rFont val="Vodafone Rg"/>
        <family val="2"/>
      </rPr>
      <t>(F_IN_BUNDEL_REV + F_OUTBUNDLE_REV + F_ADDL_SERVICE_REV + (F_DISCOUNT_CST)*-1 )/ subs_snt</t>
    </r>
  </si>
  <si>
    <t>total_revenue_cb_cpaf_q</t>
  </si>
  <si>
    <t xml:space="preserve">`CPA_FIXEDLINE_R_IR_CPA_PNL_DTLD_FL` fl_pnl  left join Aggregated_pnl 
Left join `AVG_REVENUE_BY_PRODUCT` A 
ON Aggregated_pnl .PRICEPLAN_DESC= A.PRD_PRODUCT_DESC </t>
  </si>
  <si>
    <r>
      <t>(Inbundle_Revenue + OOB_Revenue + Additional_Service_Revenue)</t>
    </r>
    <r>
      <rPr>
        <b/>
        <sz val="10"/>
        <color theme="1"/>
        <rFont val="Vodafone Rg"/>
        <family val="2"/>
      </rPr>
      <t xml:space="preserve">/subs_cnt </t>
    </r>
  </si>
  <si>
    <t>channel_total_revenue_cpaf_q</t>
  </si>
  <si>
    <t>`CPA_FIXEDLINE_R_IR_CPA_PNL_DTLD_FL` fl_pnl  left join Aggregated_pn</t>
  </si>
  <si>
    <t xml:space="preserve">channel_total_revenue_cpaf_q*0.05 *-1 </t>
  </si>
  <si>
    <t>est_f_credit_amt _cpaf_q</t>
  </si>
  <si>
    <t>if(len(trim(PRICEPLAN_DESC))&gt;0,12,0)</t>
  </si>
  <si>
    <t>pp_tenure_cpaf_q</t>
  </si>
  <si>
    <r>
      <t xml:space="preserve">1. IF (CHNL_LEVEL_2 is 'CPW' or 'VF Retail' or 'VIS Outbound' or 'VF Online Sales') THEN 0  ELSE  F_COMMISSION_CST*-1 </t>
    </r>
    <r>
      <rPr>
        <b/>
        <sz val="10"/>
        <color theme="1"/>
        <rFont val="Vodafone Rg"/>
        <family val="2"/>
      </rPr>
      <t>/subs_cnt</t>
    </r>
    <r>
      <rPr>
        <sz val="10"/>
        <color theme="1"/>
        <rFont val="Vodafone Rg"/>
        <family val="2"/>
      </rPr>
      <t xml:space="preserve">
2.F_COMMISSION_CST is direct field</t>
    </r>
  </si>
  <si>
    <t>commission_cpaf_q</t>
  </si>
  <si>
    <r>
      <t>IF transaction_type = "Inflow' AND [Product Type] in ('BB + TV' or 'BB + Voice + TV')   THEN -150</t>
    </r>
    <r>
      <rPr>
        <b/>
        <sz val="10"/>
        <color theme="1"/>
        <rFont val="Vodafone Rg"/>
        <family val="2"/>
      </rPr>
      <t>/subs_cnt</t>
    </r>
    <r>
      <rPr>
        <sz val="10"/>
        <color theme="1"/>
        <rFont val="Vodafone Rg"/>
        <family val="2"/>
      </rPr>
      <t>,
IF(transaction_type = "Inflow" AND [Product Type] NOT IN ('BB + TV','BB + Voice + TV') THEN  -80/</t>
    </r>
    <r>
      <rPr>
        <b/>
        <sz val="10"/>
        <color theme="1"/>
        <rFont val="Vodafone Rg"/>
        <family val="2"/>
      </rPr>
      <t>subs_cnt</t>
    </r>
    <r>
      <rPr>
        <sz val="10"/>
        <color theme="1"/>
        <rFont val="Vodafone Rg"/>
        <family val="2"/>
      </rPr>
      <t>,
IFtransaction_type = "retention"  THEN  -20</t>
    </r>
    <r>
      <rPr>
        <b/>
        <sz val="10"/>
        <color theme="1"/>
        <rFont val="Vodafone Rg"/>
        <family val="2"/>
      </rPr>
      <t>/subs_cnt</t>
    </r>
    <r>
      <rPr>
        <sz val="10"/>
        <color theme="1"/>
        <rFont val="Vodafone Rg"/>
        <family val="2"/>
      </rPr>
      <t xml:space="preserve">   ELSE  F_INSTALLATION_CST*-1 /subs_cnt
</t>
    </r>
    <r>
      <rPr>
        <b/>
        <sz val="10"/>
        <color theme="1"/>
        <rFont val="Vodafone Rg"/>
        <family val="2"/>
      </rPr>
      <t xml:space="preserve">[Product Type] = if(len(trim(SUB_BUNDLE_TYPE_DESC))&gt; 0, SUB_BUNDLE_TYPE_DESC, 'Unknown' ) </t>
    </r>
  </si>
  <si>
    <t>installation_cost_cpaf_q</t>
  </si>
  <si>
    <r>
      <t xml:space="preserve"> If TRANSACTION_TYPE in ('INFLOW' , 'RETENTION' , "BASE") then
F_INSTALLATION_CST*-1/</t>
    </r>
    <r>
      <rPr>
        <b/>
        <sz val="10"/>
        <color theme="1"/>
        <rFont val="Vodafone Rg"/>
        <family val="2"/>
      </rPr>
      <t>subs_cnt</t>
    </r>
  </si>
  <si>
    <t>installation_cost_cb_cpaf_q</t>
  </si>
  <si>
    <t>installation_cost_cpaf_q + commission_cpaf_q</t>
  </si>
  <si>
    <t>total_ar_cost_cpaf_q</t>
  </si>
  <si>
    <t>If transaction type in (INFLOW,RETENTION,BASE) then 
installation_cost_cb_cpaf_q + commission_cpaf_q</t>
  </si>
  <si>
    <t>total_ar_cost_cb_cpaf_q</t>
  </si>
  <si>
    <t>Step 1 : `CPA_FIXEDLINE_R_IR_CPA_PNL_DTLD_FL`  left join stg_fixed_cost_fl on DAT_MONTH_ID &amp; CUS_CUSTOMER_CD , Get (F_MAPP_CST/ no. of subscribers per cus_customer_cd in a reporting month  )as F_MAPP_CST1. 
Note : No filter for CPA_FIXEDLINE_R_IR_CPA_PNL_DTLD_FL in STep1 : SUB_BUNDLE_TYPE_DESC not in ('Mobile','TV','Voice + TV') 
Step 2 : Aggregated_pnl Left join Step 1 on DAT_MONTH_ID &amp; CUS_CUSTOMER_CD
Step 3 : CPA_FIXEDLINE_R_IR_CPA_PNL_DTLD_FL as  fl_pnl left join Aggregated_pnl  ----   F_MAPP_CST1/subs_cnt</t>
  </si>
  <si>
    <r>
      <t xml:space="preserve">
</t>
    </r>
    <r>
      <rPr>
        <b/>
        <sz val="10"/>
        <color theme="1"/>
        <rFont val="Vodafone Rg"/>
        <family val="2"/>
      </rPr>
      <t xml:space="preserve">  F_MAPP_CST1/subs_cnt</t>
    </r>
  </si>
  <si>
    <t>missed_appointment_cpaf_q</t>
  </si>
  <si>
    <t>Cols are derived above</t>
  </si>
  <si>
    <t>total_ar_cost_cpaf_q+ missed_appointment_cpaf_q</t>
  </si>
  <si>
    <t>total_cost_cpaf_q</t>
  </si>
  <si>
    <r>
      <t xml:space="preserve">Transaction type in (INFLOW, BASE, RETENTION) then 
</t>
    </r>
    <r>
      <rPr>
        <strike/>
        <sz val="10"/>
        <color rgb="FFFF0000"/>
        <rFont val="Vodafone Rg"/>
        <family val="2"/>
      </rPr>
      <t xml:space="preserve">total_ar_cost_cpaf_q   </t>
    </r>
    <r>
      <rPr>
        <b/>
        <sz val="10"/>
        <rFont val="Vodafone Rg"/>
        <family val="2"/>
      </rPr>
      <t xml:space="preserve"> total_ar_cost_cb_cpaf_q  </t>
    </r>
    <r>
      <rPr>
        <strike/>
        <sz val="10"/>
        <color rgb="FFFF0000"/>
        <rFont val="Vodafone Rg"/>
        <family val="2"/>
      </rPr>
      <t xml:space="preserve">  </t>
    </r>
    <r>
      <rPr>
        <sz val="10"/>
        <color theme="1"/>
        <rFont val="Vodafone Rg"/>
        <family val="2"/>
      </rPr>
      <t>+ missed_appointment_cpaf_q</t>
    </r>
  </si>
  <si>
    <t>total_cost_cb_cpaf_q</t>
  </si>
  <si>
    <r>
      <rPr>
        <sz val="10"/>
        <rFont val="Vodafone Rg"/>
        <family val="2"/>
      </rPr>
      <t>If transaction type in (INFLOW,RETENTION) then Est. Margin_cpaf_q + total_cost_cpaf_q
If transaction type in (OUTFLOW ) then C_CHANNEL_NET_REVENUE_CPAF_Q + total_wholesale_ic_cost_cpaf_q+ total_cost_cpaf_q
If transaction type = "BASE" then [Est. Gross_CB Margin] = net_revenue_bd_cpaf_q +  total_wholesale_ic_cost_cpaf_q  + total_cost_cpaf_q</t>
    </r>
    <r>
      <rPr>
        <strike/>
        <sz val="10"/>
        <color rgb="FFFF0000"/>
        <rFont val="Vodafone Rg"/>
        <family val="2"/>
      </rPr>
      <t xml:space="preserve">
</t>
    </r>
  </si>
  <si>
    <t>fixed_line_gross_margin_cpaf_q</t>
  </si>
  <si>
    <t>If transaction type in (INFLOW,RETENTION,BASE) then 
net_revenue_bd_cpaf_q + total_wholesale_ic_cost_cb_cpaf_q  + total_cost_cb_cpaf_q</t>
  </si>
  <si>
    <t>fixed_line_gross_margin_cb_cpaf_q</t>
  </si>
  <si>
    <r>
      <t xml:space="preserve"> IF TRANSACTION_TYPE in ('INFLOW' , 'RETENTION') then Est. Margin_cpaf_q
</t>
    </r>
    <r>
      <rPr>
        <b/>
        <sz val="10"/>
        <color theme="1"/>
        <rFont val="Vodafone Rg"/>
        <family val="2"/>
      </rPr>
      <t>For base and outflow use fixed_line_customer_service_revenue_cpaf_q</t>
    </r>
  </si>
  <si>
    <t>fixed_line_gross_margin_per_cpaf_q</t>
  </si>
  <si>
    <r>
      <t xml:space="preserve">
</t>
    </r>
    <r>
      <rPr>
        <b/>
        <sz val="10"/>
        <rFont val="Vodafone Rg"/>
        <family val="2"/>
      </rPr>
      <t>If transaction type in (INFLOW,RETENTION,BASE) then fixed_line_customer_service_revenue_cb_cpaf_q</t>
    </r>
  </si>
  <si>
    <t>fixed_line_gross_margin_per_cb_cpaf_q</t>
  </si>
  <si>
    <r>
      <t>1.IF (DAT_MONTH_ID&gt; 202103 then (((F_DURATIO_SUM/60)*9.3)*-1)</t>
    </r>
    <r>
      <rPr>
        <b/>
        <sz val="10"/>
        <color theme="1"/>
        <rFont val="Vodafone Rg"/>
        <family val="2"/>
      </rPr>
      <t>/subs_cnt</t>
    </r>
    <r>
      <rPr>
        <sz val="10"/>
        <color theme="1"/>
        <rFont val="Vodafone Rg"/>
        <family val="2"/>
      </rPr>
      <t xml:space="preserve"> else (((F_DURATIO_SUM/60)*8.5)*-1))/</t>
    </r>
    <r>
      <rPr>
        <b/>
        <sz val="10"/>
        <color theme="1"/>
        <rFont val="Vodafone Rg"/>
        <family val="2"/>
      </rPr>
      <t xml:space="preserve">subs_cnt	</t>
    </r>
    <r>
      <rPr>
        <sz val="10"/>
        <color theme="1"/>
        <rFont val="Vodafone Rg"/>
        <family val="2"/>
      </rPr>
      <t xml:space="preserve">
</t>
    </r>
  </si>
  <si>
    <t>cost_to_service_cpaf_q</t>
  </si>
  <si>
    <r>
      <rPr>
        <b/>
        <sz val="10"/>
        <color theme="1"/>
        <rFont val="Vodafone Rg"/>
        <family val="2"/>
      </rPr>
      <t xml:space="preserve">`CPA_FIXEDLINE_R_IR_CPA_PNL_DTLD_FL` fl_pnl  left join Aggregated_pnl </t>
    </r>
    <r>
      <rPr>
        <sz val="10"/>
        <color theme="1"/>
        <rFont val="Vodafone Rg"/>
        <family val="2"/>
      </rPr>
      <t xml:space="preserve">
LEFT JOIN  STG_Inflow_Ret_Subs_F  STG_IRS
On Aggregated_pnl .DLR_DEALER_SRC_CD = STG_IRS.DLR_DEALER_SRC_CD
AND Aggregated_pnl .DAT_MONTH_ID = STG_IRS.DAT_MONTH_ID
LEFT JOIN STG_Retail_Opex STG_RO
ON STG_IRS.DLR_DEALER_SRC_CD = STG_RO.Dealer ID</t>
    </r>
  </si>
  <si>
    <r>
      <t>1. If transaction type is Inflow, retention use AvgCost*(-1)</t>
    </r>
    <r>
      <rPr>
        <b/>
        <sz val="10"/>
        <color theme="1"/>
        <rFont val="Vodafone Rg"/>
        <family val="2"/>
      </rPr>
      <t xml:space="preserve">/subs_cnt </t>
    </r>
    <r>
      <rPr>
        <sz val="10"/>
        <color theme="1"/>
        <rFont val="Vodafone Rg"/>
        <family val="2"/>
      </rPr>
      <t>else 0
2.AvgCost=  Retail_Cost/Subs	
3.Retail_Cost  is taken from  STG_Retail_Opex
4.Subs is taken from STG_Inflow_Ret_Subs_F</t>
    </r>
  </si>
  <si>
    <t>vodafone_retail_cost_cpaf_q</t>
  </si>
  <si>
    <t>cost_to_service_cpaf_q + Vodafone_Retail_Cost_cpaf_q</t>
  </si>
  <si>
    <t>total_opex_cost_cpaf_q</t>
  </si>
  <si>
    <r>
      <rPr>
        <sz val="10"/>
        <rFont val="Vodafone Rg"/>
        <family val="2"/>
      </rPr>
      <t xml:space="preserve">  fixed_line_gross_margin_cpaf_q + total_opex_cost_cpaf_q</t>
    </r>
    <r>
      <rPr>
        <sz val="10"/>
        <color theme="1"/>
        <rFont val="Vodafone Rg"/>
        <family val="2"/>
      </rPr>
      <t xml:space="preserve">
The these fields derived above.
</t>
    </r>
  </si>
  <si>
    <t>fixed_line_ebitda_cpaf_q</t>
  </si>
  <si>
    <r>
      <rPr>
        <b/>
        <sz val="10"/>
        <color theme="1"/>
        <rFont val="Vodafone Rg"/>
        <family val="2"/>
      </rPr>
      <t xml:space="preserve">If transaction type in (INFLOW,RETENTION,BASE) then </t>
    </r>
    <r>
      <rPr>
        <sz val="10"/>
        <color theme="1"/>
        <rFont val="Vodafone Rg"/>
        <family val="2"/>
      </rPr>
      <t xml:space="preserve">
fixed_line_gross_margin_cb_cpaf_q + total_opex_cost_cpaf_q
The these fields derived above</t>
    </r>
  </si>
  <si>
    <t>fixed_line_ebitda_cb_cpaf_q</t>
  </si>
  <si>
    <r>
      <t xml:space="preserve">Step 1: 
select 
CUS_CUSTOMER_CD,
DAT_MONTH_ID,
Sum(If(F_COST_AMT=0,50,F_COST_AMT)) As F_Modem_Cost
FROM vf-ie-mc2-nonlive.vfie_mc2_nonlive_ie_lake_mc2_presentation_processed_s.`CPA_FIXEDLINE_R_IR_CPA_DISCOUNT_FL`
where ACR_CHARGE_CODE_EXT_CD in ('FER_FIBMODVOX','FER_CGAMODE0000','FER_FIBMODE0000','FER_FIBMODE000B')
Group by CUS_CUSTOMER_CD,DAT_MONTH_ID
</t>
    </r>
    <r>
      <rPr>
        <strike/>
        <sz val="10"/>
        <color rgb="FFFF0000"/>
        <rFont val="Vodafone Rg"/>
        <family val="2"/>
      </rPr>
      <t xml:space="preserve">
</t>
    </r>
    <r>
      <rPr>
        <sz val="10"/>
        <color theme="1"/>
        <rFont val="Vodafone Rg"/>
        <family val="2"/>
      </rPr>
      <t xml:space="preserve">
Step 2 : Get the number of subscribers each customer have per reporting month (DAT_MONTH_ID) from CPA_FIXEDLINE_R_IR_CPA_PNL_DTLD_FL
</t>
    </r>
    <r>
      <rPr>
        <b/>
        <sz val="10"/>
        <color theme="1"/>
        <rFont val="Vodafone Rg"/>
        <family val="2"/>
      </rPr>
      <t>Step 3: Aggregated_pnl Left join step 2 based on CUS_CUSTOMER_CD,DAT_MONTH_ID Left join step1 based on CUS_CUSTOMER_CD,DAT_MONTH_ID
            Derive F_Modem_Cost / no of subscriber per cust (from step 2) "
Step 4 : fl_pnl Left join Aggregated_pnl and derive step 3 result/ subs_cnt (distributed across the subscribers)</t>
    </r>
  </si>
  <si>
    <r>
      <t xml:space="preserve">
</t>
    </r>
    <r>
      <rPr>
        <sz val="10"/>
        <rFont val="Vodafone Rg"/>
        <family val="2"/>
      </rPr>
      <t xml:space="preserve">
</t>
    </r>
    <r>
      <rPr>
        <b/>
        <sz val="10"/>
        <rFont val="Vodafone Rg"/>
        <family val="2"/>
      </rPr>
      <t>(step 3 result/ subs_cnt</t>
    </r>
    <r>
      <rPr>
        <sz val="10"/>
        <rFont val="Vodafone Rg"/>
        <family val="2"/>
      </rPr>
      <t>)*-1</t>
    </r>
  </si>
  <si>
    <t>modem_cpaf_q</t>
  </si>
  <si>
    <r>
      <t xml:space="preserve">
Step 1 : 
select  CUS_CUSTOMER_CD,DAT_MONTH_ID,Sum(If(F_COST_AMT=0,109,F_COST_AMT)) As F_STB_Cost
FROM vf-ie-mc2-nonlive.vfie_mc2_nonlive_ie_lake_mc2_presentation_processed_s.`CPA_FIXEDLINE_R_IR_CPA_DISCOUNT_FL`
where ACR_CHARGE_CODE_EXT_CD in ('FAR_PRIMARYSTB')
Group by CUS_CUSTOMER_CD,DAT_MONTH_ID
Step 2 : Get the number of subscribers each customer have per reporting month (DAT_MONTH_ID) from CPA_FIXEDLINE_R_IR_CPA_PNL_DTLD_FL
</t>
    </r>
    <r>
      <rPr>
        <b/>
        <sz val="10"/>
        <color theme="1"/>
        <rFont val="Vodafone Rg"/>
        <family val="2"/>
      </rPr>
      <t>Step 3 : Aggregated_pnl Left join step 1 based on CUS_CUSTOMER_CD,DAT_MONTH_ID Left join step2 based on CUS_CUSTOMER_CD,DAT_MONTH_ID
            Derive F_STB_Cost / no of subscriber per cust "
Step 4 : fl_pnl Left join Aggregated_pnl and derive step 3 result/ subs_cnt (distributed across the subscribers)</t>
    </r>
  </si>
  <si>
    <r>
      <t xml:space="preserve">
</t>
    </r>
    <r>
      <rPr>
        <b/>
        <sz val="10"/>
        <color theme="1"/>
        <rFont val="Vodafone Rg"/>
        <family val="2"/>
      </rPr>
      <t xml:space="preserve">
(step 3 result/ subs_cnt)*-1</t>
    </r>
  </si>
  <si>
    <t>set_top_box_cpaf_q</t>
  </si>
  <si>
    <r>
      <t xml:space="preserve">1.F_OUTSTANDING_AMT*(-1) </t>
    </r>
    <r>
      <rPr>
        <b/>
        <sz val="10"/>
        <color theme="1"/>
        <rFont val="Vodafone Rg"/>
        <family val="2"/>
      </rPr>
      <t>/subs_cnt</t>
    </r>
    <r>
      <rPr>
        <sz val="10"/>
        <color theme="1"/>
        <rFont val="Vodafone Rg"/>
        <family val="2"/>
      </rPr>
      <t xml:space="preserve">
2.F_OUTSTANDING_AMT is direct field</t>
    </r>
  </si>
  <si>
    <t>overdue_amount_cpaf_q</t>
  </si>
  <si>
    <t xml:space="preserve">`CPA_FIXEDLINE_R_IR_CPA_PNL_DTLD_FL` fl_pnl </t>
  </si>
  <si>
    <t>IF TRANSACTION_TYPE in ('INFLOW' ,'RETENTION') then if(len(trim(PRICEPLAN_DESC))&gt;0,12,0)
IF TRANSACTION_TYPE in ('BASE' ,'OUTFLOW') then 12</t>
  </si>
  <si>
    <t>est_tenure_cpaf_q</t>
  </si>
  <si>
    <t xml:space="preserve">Summary P&amp;L/ Discovery </t>
  </si>
  <si>
    <r>
      <t xml:space="preserve">
</t>
    </r>
    <r>
      <rPr>
        <b/>
        <sz val="10"/>
        <rFont val="Vodafone Rg"/>
        <family val="2"/>
      </rPr>
      <t>12</t>
    </r>
  </si>
  <si>
    <t>est_tenure_cb_cpaf_q</t>
  </si>
  <si>
    <t xml:space="preserve">case when transaction type = 'INFLOW' then monthly_access_fee_cpaf_q else 0 end </t>
  </si>
  <si>
    <t>monthly_access_fee_inflow_cpaf_q</t>
  </si>
  <si>
    <t>Summary pnl</t>
  </si>
  <si>
    <t xml:space="preserve">case when transaction type = 'OUTFLOW' then monthly_access_fee_cpaf_qelse 0 end </t>
  </si>
  <si>
    <t>monthly_access_fee_outflow_cpaf_q</t>
  </si>
  <si>
    <t>monthly_access_fee_inflow_cpaf_q - monthly_access_fee_outflow_cpaf_q</t>
  </si>
  <si>
    <t>monthly_access_fee_net_pnl_cpaf_q</t>
  </si>
  <si>
    <t xml:space="preserve">case when transaction type = 'INFLOW' then out_of_bundle_revenue_cpaf_q else 0 end </t>
  </si>
  <si>
    <t>out_of_bundle_revenue_inflow_cpaf_q</t>
  </si>
  <si>
    <t xml:space="preserve">case when transaction type = 'OUTFLOW' then out_of_bundle_revenue_cpaf_qelse 0 end </t>
  </si>
  <si>
    <t>out_of_bundle_revenue_outflow_cpaf_q</t>
  </si>
  <si>
    <t>out_of_bundle_revenue_inflow_cpaf_q - out_of_bundle_revenue_outflow_cpaf_q</t>
  </si>
  <si>
    <t>out_of_bundle_revenue_net_pnl_cpaf_q</t>
  </si>
  <si>
    <t xml:space="preserve">case when transaction type = 'INFLOW' then additional_service_revenue_cpaf_q else 0 end </t>
  </si>
  <si>
    <t>additional_service_revenue_inflow_cpaf_q</t>
  </si>
  <si>
    <t xml:space="preserve">case when transaction type = 'OUTFLOW' then additional_service_revenue_cpaf_qelse 0 end </t>
  </si>
  <si>
    <t>additional_service_revenue_outflow_cpaf_q</t>
  </si>
  <si>
    <t>additional_service_revenue_inflow_cpaf_q - additional_service_revenue_outflow_cpaf_q</t>
  </si>
  <si>
    <t>additional_service_revenue_net_pnl_cpaf_q</t>
  </si>
  <si>
    <t xml:space="preserve">case when transaction type = 'INFLOW' then fixed_line_customer_revenue_cpaf_q else 0 end </t>
  </si>
  <si>
    <t>fixed_line_customer_revenue_inflow_cpaf_q</t>
  </si>
  <si>
    <t xml:space="preserve">case when transaction type = 'OUTFLOW' then fixed_line_customer_revenue_cpaf_qelse 0 end </t>
  </si>
  <si>
    <t>fixed_line_customer_revenue_outflow_cpaf_q</t>
  </si>
  <si>
    <t>fixed_line_customer_revenue_inflow_cpaf_q - fixed_line_customer_revenue_outflow_cpaf_q</t>
  </si>
  <si>
    <t>fixed_line_customer_revenue_net_pnl_cpaf_q</t>
  </si>
  <si>
    <t xml:space="preserve">case when transaction type = 'INFLOW' then discount_cpaf_q else 0 end </t>
  </si>
  <si>
    <t>discount_inflow_cpaf_q</t>
  </si>
  <si>
    <t xml:space="preserve">case when transaction type = 'OUTFLOW' then discount_cpaf_qelse 0 end </t>
  </si>
  <si>
    <t>discount_outflow_cpaf_q</t>
  </si>
  <si>
    <t>discount_inflow_cpaf_q - discount_outflow_cpaf_q</t>
  </si>
  <si>
    <t>discount_net_pnl_cpaf_q</t>
  </si>
  <si>
    <t xml:space="preserve">case when transaction type = 'INFLOW' then credit_cpaf_q else 0 end </t>
  </si>
  <si>
    <t>credit_inflow_cpaf_q</t>
  </si>
  <si>
    <t xml:space="preserve">case when transaction type = 'OUTFLOW' then credit_cpaf_qelse 0 end </t>
  </si>
  <si>
    <t>credit_outflow_cpaf_q</t>
  </si>
  <si>
    <t>credit_inflow_cpaf_q - credit_outflow_cpaf_q</t>
  </si>
  <si>
    <t>credit_net_pnl_cpaf_q</t>
  </si>
  <si>
    <t xml:space="preserve">case when transaction type = 'INFLOW' then fixed_line_customer_service_revenue_cpaf_q else 0 end </t>
  </si>
  <si>
    <t>fixed_line_customer_service_revenue_inflow_cpaf_q</t>
  </si>
  <si>
    <t xml:space="preserve">case when transaction type = 'OUTFLOW' then fixed_line_customer_service_revenue_cpaf_qelse 0 end </t>
  </si>
  <si>
    <t>fixed_line_customer_service_revenue_outflow_cpaf_q</t>
  </si>
  <si>
    <t>fixed_line_customer_service_revenue_inflow_cpaf_q - fixed_line_customer_service_revenue_outflow_cpaf_q</t>
  </si>
  <si>
    <t>fixed_line_customer_service_revenue_net_pnl_cpaf_q</t>
  </si>
  <si>
    <t xml:space="preserve">case when transaction type = 'INFLOW' then wholesale_line_rental_cost_cpaf_q else 0 end </t>
  </si>
  <si>
    <t>wholesale_line_rental_cost_inflow_cpaf_q</t>
  </si>
  <si>
    <t xml:space="preserve">case when transaction type = 'OUTFLOW' then wholesale_line_rental_cost_cpaf_qelse 0 end </t>
  </si>
  <si>
    <t>wholesale_line_rental_cost_outflow_cpaf_q</t>
  </si>
  <si>
    <t>wholesale_line_rental_cost_inflow_cpaf_q - wholesale_line_rental_cost_outflow_cpaf_q</t>
  </si>
  <si>
    <t>wholesale_line_rental_cost_net_pnl_cpaf_q</t>
  </si>
  <si>
    <t xml:space="preserve">case when transaction type = 'INFLOW' then interconnect_cost_cpaf_q else 0 end </t>
  </si>
  <si>
    <t>interconnect_cost_inflow_cpaf_q</t>
  </si>
  <si>
    <t xml:space="preserve">case when transaction type = 'OUTFLOW' then interconnect_cost_cpaf_qelse 0 end </t>
  </si>
  <si>
    <t>interconnect_cost_outflow_cpaf_q</t>
  </si>
  <si>
    <t>interconnect_cost_inflow_cpaf_q - interconnect_cost_outflow_cpaf_q</t>
  </si>
  <si>
    <t>interconnect_cost_net_pnl_cpaf_q</t>
  </si>
  <si>
    <t xml:space="preserve">case when transaction type = 'INFLOW' then tv_content_cost_cpaf_q else 0 end </t>
  </si>
  <si>
    <t>tv_content_cost_inflow_cpaf_q</t>
  </si>
  <si>
    <t xml:space="preserve">case when transaction type = 'OUTFLOW' then tv_content_cost_cpaf_qelse 0 end </t>
  </si>
  <si>
    <t>tv_content_cost_outflow_cpaf_q</t>
  </si>
  <si>
    <t>tv_content_cost_inflow_cpaf_q - tv_content_cost_outflow_cpaf_q</t>
  </si>
  <si>
    <t>tv_content_cost_net_pnl_cpaf_q</t>
  </si>
  <si>
    <t xml:space="preserve">case when transaction type = 'INFLOW' then  monthly_wholesale_ic_cost_cpaf_q else 0 end </t>
  </si>
  <si>
    <t xml:space="preserve"> monthly_wholesale_ic_cost_inflow_cpaf_q</t>
  </si>
  <si>
    <t xml:space="preserve">case when transaction type = 'OUTFLOW' then   monthly_wholesale_ic_cost_cpaf_q else 0 end </t>
  </si>
  <si>
    <t xml:space="preserve"> monthly_wholesale_ic_cost_outflow_cpaf_q</t>
  </si>
  <si>
    <t xml:space="preserve"> monthly_wholesale_ic_cost_inflow_cpaf_q -  monthly_wholesale_ic_cost_outflow_cpaf_q</t>
  </si>
  <si>
    <t xml:space="preserve"> monthly_wholesale_ic_cost_net_pnl_cpaf_q</t>
  </si>
  <si>
    <t xml:space="preserve">case when transaction type = 'INFLOW' then monthly_fixed_line_margin_cpaf_q else 0 end </t>
  </si>
  <si>
    <t>monthly_fixed_line_margin_inflow_cpaf_q</t>
  </si>
  <si>
    <t xml:space="preserve">case when transaction type = 'OUTFLOW' then monthly_fixed_line_margin_cpaf_qelse 0 end </t>
  </si>
  <si>
    <t>monthly_fixed_line_margin_outflow_cpaf_q</t>
  </si>
  <si>
    <t>monthly_fixed_line_margin_inflow_cpaf_q - monthly_fixed_line_margin_outflow_cpaf_q</t>
  </si>
  <si>
    <t>monthly_fixed_line_margin_net_pnl_cpaf_q</t>
  </si>
  <si>
    <t xml:space="preserve">case when transaction type = 'INFLOW' then est._margin_cpaf_q else 0 end </t>
  </si>
  <si>
    <t>est._margin_inflow_cpaf_q</t>
  </si>
  <si>
    <t xml:space="preserve">case when transaction type = 'OUTFLOW' then est._margin_cpaf_qelse 0 end </t>
  </si>
  <si>
    <t>est._margin_outflow_cpaf_q</t>
  </si>
  <si>
    <t>est._margin_inflow_cpaf_q - est._margin_outflow_cpaf_q</t>
  </si>
  <si>
    <t>est._margin_net_pnl_cpaf_q</t>
  </si>
  <si>
    <t xml:space="preserve">case when transaction type = 'INFLOW' then commission_cpaf_q else 0 end </t>
  </si>
  <si>
    <t>commission_inflow_cpaf_q</t>
  </si>
  <si>
    <t xml:space="preserve">case when transaction type = 'OUTFLOW' then commission_cpaf_qelse 0 end </t>
  </si>
  <si>
    <t>commission_outflow_cpaf_q</t>
  </si>
  <si>
    <t>commission_inflow_cpaf_q - commission_outflow_cpaf_q</t>
  </si>
  <si>
    <t>commission_net_pnl_cpaf_q</t>
  </si>
  <si>
    <t xml:space="preserve">case when transaction type = 'INFLOW' then installation_cost_cpaf_q else 0 end </t>
  </si>
  <si>
    <t>installation_cost_inflow_cpaf_q</t>
  </si>
  <si>
    <t xml:space="preserve">case when transaction type = 'OUTFLOW' then installation_cost_cpaf_qelse 0 end </t>
  </si>
  <si>
    <t>installation_cost_outflow_cpaf_q</t>
  </si>
  <si>
    <t>installation_cost_inflow_cpaf_q - installation_cost_outflow_cpaf_q</t>
  </si>
  <si>
    <t>installation_cost_net_pnl_cpaf_q</t>
  </si>
  <si>
    <t xml:space="preserve">case when transaction type = 'INFLOW' then total_ar_cost_cpaf_q else 0 end </t>
  </si>
  <si>
    <t>total_ar_cost_inflow
_cpaf_q</t>
  </si>
  <si>
    <t xml:space="preserve">case when transaction type = 'OUTFLOW' then total_ar_cost_cpaf_qelse 0 end </t>
  </si>
  <si>
    <t>total_ar_cost_outflow
_cpaf_q</t>
  </si>
  <si>
    <t>total_ar_cost_inflow_cpaf_q - total_ar_cost_outflow_cpaf_q</t>
  </si>
  <si>
    <t>total_ar_cost_net_pnl_cpaf_q</t>
  </si>
  <si>
    <t xml:space="preserve">case when transaction type = 'INFLOW' then missed_appointment_cpaf_q else 0 end </t>
  </si>
  <si>
    <t>missed_appointment_inflow_cpaf_q</t>
  </si>
  <si>
    <t xml:space="preserve">case when transaction type = 'OUTFLOW' then missed_appointment_cpaf_qelse 0 end </t>
  </si>
  <si>
    <t>missed_appointment_outflow_cpaf_q</t>
  </si>
  <si>
    <t>missed_appointment_inflow_cpaf_q - missed_appointment_outflow_cpaf_q</t>
  </si>
  <si>
    <t>missed_appointment_net_pnl_cpaf_q</t>
  </si>
  <si>
    <t xml:space="preserve">case when transaction type = 'INFLOW' then total_cost_cpaf_q else 0 end </t>
  </si>
  <si>
    <t>total_cost_inflow_cpaf_q</t>
  </si>
  <si>
    <t xml:space="preserve">case when transaction type = 'OUTFLOW' then total_cost_cpaf_qelse 0 end </t>
  </si>
  <si>
    <t>total_cost_outflow_cpaf_q</t>
  </si>
  <si>
    <t>total_cost_inflow_cpaf_q - total_cost_outflow_cpaf_q</t>
  </si>
  <si>
    <t>total_cost_net_pnl_cpaf_q</t>
  </si>
  <si>
    <t xml:space="preserve">case when transaction type = 'INFLOW' then fixed_line_gross_margin_cpaf_q else 0 end </t>
  </si>
  <si>
    <t>fixed_line_gross_margin_inflow_cpaf_q</t>
  </si>
  <si>
    <t xml:space="preserve">case when transaction type = 'OUTFLOW' then fixed_line_gross_margin_cpaf_qelse 0 end </t>
  </si>
  <si>
    <t>fixed_line_gross_margin_outflow_cpaf_q</t>
  </si>
  <si>
    <t>fixed_line_gross_margin_inflow
_cpaf_q - fixed_line_gross_margin_outflow
_cpaf_q</t>
  </si>
  <si>
    <t>fixed_line_gross_margin_net_pnl
_cpaf_q</t>
  </si>
  <si>
    <t xml:space="preserve">case when transaction type = 'INFLOW' then cost_to_service_cpaf_q else 0 end </t>
  </si>
  <si>
    <t>cost_to_service_inflow_cpaf_q</t>
  </si>
  <si>
    <t xml:space="preserve">case when transaction type = 'OUTFLOW' then cost_to_service_cpaf_qelse 0 end </t>
  </si>
  <si>
    <t>cost_to_service_outflow_cpaf_q</t>
  </si>
  <si>
    <t>cost_to_service_inflow_cpaf_q - cost_to_service_outflow_cpaf_q</t>
  </si>
  <si>
    <t>cost_to_service_net_pnl_cpaf_q</t>
  </si>
  <si>
    <t xml:space="preserve">case when transaction type = 'INFLOW' then vodafone_retail_cost_cpaf_q else 0 end </t>
  </si>
  <si>
    <t>vodafone_retail_cost_inflow_cpaf_q</t>
  </si>
  <si>
    <t xml:space="preserve">case when transaction type = 'OUTFLOW' then vodafone_retail_cost_cpaf_qelse 0 end </t>
  </si>
  <si>
    <t>vodafone_retail_cost_outflow_cpaf_q</t>
  </si>
  <si>
    <t>vodafone_retail_cost_inflow_cpaf_q - vodafone_retail_cost_outflow_cpaf_q</t>
  </si>
  <si>
    <t>vodafone_retail_cost_net_pnl_cpaf_q</t>
  </si>
  <si>
    <t xml:space="preserve">case when transaction type = 'INFLOW' then total_opex_cost_cpaf_q else 0 end </t>
  </si>
  <si>
    <t>total_opex_cost_inflow_cpaf_q</t>
  </si>
  <si>
    <t xml:space="preserve">case when transaction type = 'OUTFLOW' then total_opex_cost_cpaf_qelse 0 end </t>
  </si>
  <si>
    <t>total_opex_cost_outflow_cpaf_q</t>
  </si>
  <si>
    <t>total_opex_cost_inflow_cpaf_q - total_opex_cost_outflow_cpaf_q</t>
  </si>
  <si>
    <t>total_opex_cost_net_pnl_cpaf_q</t>
  </si>
  <si>
    <t xml:space="preserve">case when transaction type = 'INFLOW' then fixed_line_ebitda_cpaf_q else 0 end </t>
  </si>
  <si>
    <t>fixed_line_ebitda_inflow_cpaf_q</t>
  </si>
  <si>
    <t xml:space="preserve">case when transaction type = 'OUTFLOW' then fixed_line_ebitda_cpaf_qelse 0 end </t>
  </si>
  <si>
    <t>fixed_line_ebitda_outflow_cpaf_q</t>
  </si>
  <si>
    <t>fixed_line_ebitda_inflow_cpaf_q - fixed_line_ebitda_outflow_cpaf_q</t>
  </si>
  <si>
    <t>fixed_line_ebitda_net_pnl_cpaf_q</t>
  </si>
  <si>
    <t xml:space="preserve">case when transaction type = 'INFLOW' then modem_cpaf_q else 0 end </t>
  </si>
  <si>
    <t>modem_inflow_cpaf_q</t>
  </si>
  <si>
    <t xml:space="preserve">case when transaction type = 'OUTFLOW' then modem_cpaf_qelse 0 end </t>
  </si>
  <si>
    <t>modem_outflow_cpaf_q</t>
  </si>
  <si>
    <t>modem_inflow_cpaf_q - modem_outflow_cpaf_q</t>
  </si>
  <si>
    <t>modem_net_pnl_cpaf_q</t>
  </si>
  <si>
    <t xml:space="preserve">case when transaction type = 'INFLOW' then set_top_box_cpaf_q else 0 end </t>
  </si>
  <si>
    <t>set_top_box_inflow_cpaf_q</t>
  </si>
  <si>
    <t xml:space="preserve">case when transaction type = 'OUTFLOW' then set_top_box_cpaf_qelse 0 end </t>
  </si>
  <si>
    <t>set_top_box_outflow_cpaf_q</t>
  </si>
  <si>
    <t>set_top_box_inflow_cpaf_q - set_top_box_outflow_cpaf_q</t>
  </si>
  <si>
    <t>set_top_box_net_pnl_cpaf_q</t>
  </si>
  <si>
    <t xml:space="preserve">case when transaction type = 'INFLOW' then overdue_amount_cpaf_q else 0 end </t>
  </si>
  <si>
    <t>overdue_amount_inflow_cpaf_q</t>
  </si>
  <si>
    <t xml:space="preserve">case when transaction type = 'OUTFLOW' then overdue_amount_cpaf_qelse 0 end </t>
  </si>
  <si>
    <t>overdue_amount_outflow_cpaf_q</t>
  </si>
  <si>
    <t>overdue_amount_inflow_cpaf_q - overdue_amount_outflow_cpaf_q</t>
  </si>
  <si>
    <t>overdue_amount_net_pnl_cpaf_q</t>
  </si>
  <si>
    <t xml:space="preserve">case when transaction type = 'INFLOW' then est_tenure_cpaf_q
 else 0 end </t>
  </si>
  <si>
    <t>est_tenure_inflow
_cpaf_q</t>
  </si>
  <si>
    <t xml:space="preserve">case when transaction type = 'OUTFLOW' then est_tenure_cpaf_qelse 0 end </t>
  </si>
  <si>
    <t>est_tenure_outflow_cpaf_q</t>
  </si>
  <si>
    <t>est_tenure_inflow_cpaf_q - est_tenure_outflow_cpaf_q</t>
  </si>
  <si>
    <t>est_tenure_net_pnl_cpaf_q</t>
  </si>
  <si>
    <r>
      <t>case when transaction type = 'INFLOW' then</t>
    </r>
    <r>
      <rPr>
        <strike/>
        <sz val="10"/>
        <color rgb="FFFF0000"/>
        <rFont val="Vodafone Rg"/>
        <family val="2"/>
      </rPr>
      <t xml:space="preserve"> </t>
    </r>
    <r>
      <rPr>
        <sz val="10"/>
        <rFont val="Vodafone Rg"/>
        <family val="2"/>
      </rPr>
      <t xml:space="preserve"> </t>
    </r>
    <r>
      <rPr>
        <b/>
        <sz val="10"/>
        <rFont val="Vodafone Rg"/>
        <family val="2"/>
      </rPr>
      <t>customer_cnt_cpaf_q</t>
    </r>
    <r>
      <rPr>
        <sz val="10"/>
        <rFont val="Vodafone Rg"/>
        <family val="2"/>
      </rPr>
      <t xml:space="preserve">  else 0 end </t>
    </r>
  </si>
  <si>
    <t>customer_volume_inflow_cpaf_q</t>
  </si>
  <si>
    <r>
      <t xml:space="preserve">case when transaction type = 'OUTFLOW' then   </t>
    </r>
    <r>
      <rPr>
        <b/>
        <sz val="10"/>
        <rFont val="Vodafone Rg"/>
        <family val="2"/>
      </rPr>
      <t>customer_cnt_cpaf_q</t>
    </r>
    <r>
      <rPr>
        <sz val="10"/>
        <rFont val="Vodafone Rg"/>
        <family val="2"/>
      </rPr>
      <t xml:space="preserve">  else 0 end </t>
    </r>
  </si>
  <si>
    <t>customer_volume_outflow_cpaf_q</t>
  </si>
  <si>
    <t>customer_volume_inflow_cpaf_q - customer_volume_outflow_cpaf_q</t>
  </si>
  <si>
    <t>customer_volume_net_pnl_cpaf_q</t>
  </si>
  <si>
    <t xml:space="preserve">`CPA_FIXEDLINE_R_IR_CPA_PNL_DTLD_FL`fl_pnl  Left join aggregated_pnl 
Left join `AVG_REVENUE_BY_PRODUCT` A 
ON Aggregated.PRICEPLAN_DESC= A.PRD_PRODUCT_DESC 
</t>
  </si>
  <si>
    <t xml:space="preserve">
channel_total_revenue_cpaf_q + DISCOUNT/subs_cnt + (channel_total_revenue_cpaf_q*0.05 *-1) 
DISCOUNT is from `AVG_REVENUE_BY_PRODUCT`</t>
  </si>
  <si>
    <t xml:space="preserve"> channel_net_revenue_cpaf_q</t>
  </si>
  <si>
    <t xml:space="preserve">Discovery </t>
  </si>
  <si>
    <t xml:space="preserve">`CPA_FIXEDLINE_R_IR_CPA_PNL_DTLD_FL`  Left join aggregated_pnl 
</t>
  </si>
  <si>
    <t>channel_total_revenue_cpaf_q + F_DISCOUNT_CST/subs_cnt + ((F_NET_CREDIT_AMT*-1) /subs_cnt)</t>
  </si>
  <si>
    <t>c_channel_net_revenue_cpaf_q</t>
  </si>
  <si>
    <t xml:space="preserve">`CPA_FIXEDLINE_R_IR_CPA_PNL_DTLD_FL`fl_pnl </t>
  </si>
  <si>
    <r>
      <t xml:space="preserve"> IF TRANSACTION_TYPE in ('INFLOW' , 'RETENTION') then  channel_net_revenue_cpaf_q * ifnull(pp_tenure_cpaf_q,12)
 IF TRANSACTION_TYPE in ('OUTFLOW' , 'BASE')  then  </t>
    </r>
    <r>
      <rPr>
        <strike/>
        <sz val="10"/>
        <color rgb="FFFF0000"/>
        <rFont val="Vodafone Rg"/>
        <family val="2"/>
      </rPr>
      <t xml:space="preserve">
</t>
    </r>
    <r>
      <rPr>
        <sz val="10"/>
        <rFont val="Vodafone Rg"/>
        <family val="2"/>
      </rPr>
      <t xml:space="preserve">     fixed_line_customer_service_revenue_cpaf_q</t>
    </r>
  </si>
  <si>
    <t>est_life_time_val_cpaf_q</t>
  </si>
  <si>
    <r>
      <t xml:space="preserve"> If TRANSACTION_TYPE in ('INFLOW' , 'RETENTION' , "BASE") then</t>
    </r>
    <r>
      <rPr>
        <strike/>
        <sz val="10"/>
        <color rgb="FFFF0000"/>
        <rFont val="Vodafone Rg"/>
        <family val="2"/>
      </rPr>
      <t xml:space="preserve"> </t>
    </r>
    <r>
      <rPr>
        <sz val="10"/>
        <color theme="1"/>
        <rFont val="Vodafone Rg"/>
        <family val="2"/>
      </rPr>
      <t xml:space="preserve">
  fixed_line_customer_service_revenue_cb_cpaf_q</t>
    </r>
  </si>
  <si>
    <t>est_life_time_val_cb_cpaf_q</t>
  </si>
  <si>
    <t>`CPA_FIXEDLINE_R_IR_CPA_PNL_DTLD_FL`fl_pnl</t>
  </si>
  <si>
    <r>
      <t xml:space="preserve"> If transaction type is Inflow, retention then use pp_tenure_cpaf_q else  use </t>
    </r>
    <r>
      <rPr>
        <strike/>
        <sz val="10"/>
        <color rgb="FFFF0000"/>
        <rFont val="Calibri"/>
        <family val="2"/>
        <scheme val="minor"/>
      </rPr>
      <t>Contract_Tenure</t>
    </r>
    <r>
      <rPr>
        <sz val="10"/>
        <color theme="1"/>
        <rFont val="Calibri"/>
        <family val="2"/>
        <scheme val="minor"/>
      </rPr>
      <t xml:space="preserve"> 12</t>
    </r>
  </si>
  <si>
    <t>est_tenure_discovery_cpaf_q</t>
  </si>
  <si>
    <r>
      <t xml:space="preserve">
</t>
    </r>
    <r>
      <rPr>
        <sz val="10"/>
        <rFont val="Vodafone Rg"/>
        <family val="2"/>
      </rPr>
      <t>negative_margin_ind_cpaf_q</t>
    </r>
  </si>
  <si>
    <t>consistent margin</t>
  </si>
  <si>
    <t xml:space="preserve">
consistent_negative_margin_ind_cpaf_q</t>
  </si>
  <si>
    <t xml:space="preserve">
consistent_negative_margin_months_cpaf_q</t>
  </si>
  <si>
    <t xml:space="preserve">`CPA_FIXEDLINE_R_IR_CPA_PNL_DTLD_FL`fl_pnl  Left join aggregated_pnl 
Left join `AVG_REVENUE_BY_PRODUCT` A 
ON Aggregated_pnl.PRICEPLAN_DESC= A.PRD_PRODUCT_DESC 
</t>
  </si>
  <si>
    <r>
      <rPr>
        <sz val="10"/>
        <rFont val="Vodafone Rg"/>
        <family val="2"/>
      </rPr>
      <t xml:space="preserve">
</t>
    </r>
    <r>
      <rPr>
        <b/>
        <sz val="10"/>
        <rFont val="Vodafone Rg"/>
        <family val="2"/>
      </rPr>
      <t>[CHANNEL Total Wholesale Cost] = IC_Nat_Cost/subs_cnt + IC_INT_COST/SUbs_cnt + wholesale_line_rental_cost_cpaf_q</t>
    </r>
  </si>
  <si>
    <t xml:space="preserve"> F_WLR_CST_cpaf_q</t>
  </si>
  <si>
    <t>Channel Prof page</t>
  </si>
  <si>
    <r>
      <t xml:space="preserve"> If transaction type is INFLOW, RETENTION , BASE then</t>
    </r>
    <r>
      <rPr>
        <sz val="10"/>
        <color rgb="FFFF0000"/>
        <rFont val="Vodafone Rg"/>
        <family val="2"/>
      </rPr>
      <t xml:space="preserve">
</t>
    </r>
    <r>
      <rPr>
        <b/>
        <sz val="10"/>
        <rFont val="Vodafone Rg"/>
        <family val="2"/>
      </rPr>
      <t>[CHANNEL Total Wholesale Cost] = IC_Nat_Cost/subs_cnt + IC_INT_COST/SUbs_cnt + wholesale_line_rental_cost_cb_cpaf_q</t>
    </r>
  </si>
  <si>
    <t>F_WLR_CST_CB_cpaf_q</t>
  </si>
  <si>
    <t>fixed_line_customer_service_revenue_cpaf_q * Ifnull(PP_tenure_cpaf_q,12)</t>
  </si>
  <si>
    <t>cust_life_time_value_cpaf_q</t>
  </si>
  <si>
    <t>fixed_line_customer_service_revenue_cb_cpaf_q * Ifnull(PP_tenure_cpaf_q,12)</t>
  </si>
  <si>
    <t>cust_life_time_value_cb_cpaf_q</t>
  </si>
  <si>
    <r>
      <t xml:space="preserve">S_IC_NAT_CST </t>
    </r>
    <r>
      <rPr>
        <b/>
        <sz val="10"/>
        <color theme="1"/>
        <rFont val="Vodafone Rg"/>
        <family val="2"/>
      </rPr>
      <t>/subs_cnt</t>
    </r>
    <r>
      <rPr>
        <sz val="10"/>
        <color theme="1"/>
        <rFont val="Vodafone Rg"/>
        <family val="2"/>
      </rPr>
      <t>+ S_IC_INT_CST</t>
    </r>
    <r>
      <rPr>
        <b/>
        <sz val="10"/>
        <color theme="1"/>
        <rFont val="Vodafone Rg"/>
        <family val="2"/>
      </rPr>
      <t xml:space="preserve"> /subs_cnt</t>
    </r>
    <r>
      <rPr>
        <sz val="10"/>
        <color theme="1"/>
        <rFont val="Vodafone Rg"/>
        <family val="2"/>
      </rPr>
      <t>+ wholesale_line_rental_cost_cpaf_q
2.S_IC_NAT_CST ="IC Nat Cost" ,a direct field from avg_revenue_by_product table
3.S_IC_INT_CST = "IC Int Cost" ,a direct field from avg_revenue_by_product table</t>
    </r>
  </si>
  <si>
    <t>channel_total_wholesale_cost_cpaf_q</t>
  </si>
  <si>
    <r>
      <t xml:space="preserve">S_IC_NAT_CST </t>
    </r>
    <r>
      <rPr>
        <b/>
        <sz val="10"/>
        <color theme="1"/>
        <rFont val="Vodafone Rg"/>
        <family val="2"/>
      </rPr>
      <t>/subs_cnt</t>
    </r>
    <r>
      <rPr>
        <sz val="10"/>
        <color theme="1"/>
        <rFont val="Vodafone Rg"/>
        <family val="2"/>
      </rPr>
      <t xml:space="preserve">+ S_IC_INT_CST </t>
    </r>
    <r>
      <rPr>
        <b/>
        <sz val="10"/>
        <color theme="1"/>
        <rFont val="Vodafone Rg"/>
        <family val="2"/>
      </rPr>
      <t>/subs_cnt</t>
    </r>
    <r>
      <rPr>
        <sz val="10"/>
        <color theme="1"/>
        <rFont val="Vodafone Rg"/>
        <family val="2"/>
      </rPr>
      <t>+ wholesale_line_rental_cost_cb_cpaf_q
2.S_IC_NAT_CST ="IC Nat Cost" ,a direct field from avg_revenue_by_product table
3.S_IC_INT_CST = "IC Int Cost" ,a direct field from avg_revenue_by_product table</t>
    </r>
  </si>
  <si>
    <t>channel_total_wholesale_cost_cb_cpaf_q</t>
  </si>
  <si>
    <r>
      <t xml:space="preserve">
</t>
    </r>
    <r>
      <rPr>
        <b/>
        <sz val="10"/>
        <rFont val="Vodafone Rg"/>
        <family val="2"/>
      </rPr>
      <t xml:space="preserve">Overall_Est_Margin + installation_cost_cpaf_q + missed_appointment_cpaf_q + modem_cpaf_q + set_top_box_cpaf_q
   Overall_Est_Margin : [Channel Monthly Margin] * ifnull(pp_tenure_cpaf_q,12)
  [Channel Monthly Margin] : =  CHANNEL_NET_REVENUE_CPAF_Q + Channel_Monthly_Cost_cpaf_q </t>
    </r>
  </si>
  <si>
    <t>est_gross_margin_cpaf_q</t>
  </si>
  <si>
    <r>
      <t xml:space="preserve"> If transaction type is INFLOW, RETENTION , BASE 
</t>
    </r>
    <r>
      <rPr>
        <sz val="10"/>
        <color rgb="FFFF0000"/>
        <rFont val="Vodafone Rg"/>
        <family val="2"/>
      </rPr>
      <t xml:space="preserve">
</t>
    </r>
    <r>
      <rPr>
        <b/>
        <sz val="10"/>
        <rFont val="Vodafone Rg"/>
        <family val="2"/>
      </rPr>
      <t xml:space="preserve">Overall_Est_Margin + installation_cost_cpaf_q + missed_appointment_cpaf_q + modem_cpaf_q + set_top_box_cpaf_q
   Overall_Est_Margin : [Channel Monthly Margin] * ifnull(pp_tenure_cpaf_q,12)
  [Channel Monthly Margin] : =  CHANNEL_NET_REVENUE_CPAF_Q + Channel_Monthly_Cost_cpaf_q </t>
    </r>
  </si>
  <si>
    <t>est_gross_margin_cb_cpaf_q</t>
  </si>
  <si>
    <t>`CPA_FIXEDLINE_R_IR_CPA_PNL_DTLD_FL`fl_pnl Left join aggregated_pnl
Left join avg_revenue_by_product</t>
  </si>
  <si>
    <t xml:space="preserve">Discount </t>
  </si>
  <si>
    <t>Discount /subs_cnt</t>
  </si>
  <si>
    <t>discount_cp_cpaf_q</t>
  </si>
  <si>
    <t>channel_total_revenue_cpaf_q * 0.05 *-1</t>
  </si>
  <si>
    <t>credit_cp_cpaf_q</t>
  </si>
  <si>
    <t>channel_total_revenue_cpaf_q + discount_cp_cpaf_q +credit_cp_cpaf_q</t>
  </si>
  <si>
    <t>fixed_line_customer_service_revenue_cp_cpaf_q</t>
  </si>
  <si>
    <t>fixed_line_customer_service_revenue_cp_cpaf_q * ifnull(PP_tenure_cpaf_q,12)</t>
  </si>
  <si>
    <t>customer_life_time_value_cpaf_q</t>
  </si>
  <si>
    <t>`CPA_FIXEDLINE_R_IR_CPA_PNL_DTLD_FL`fl_pnl Left join aggregated_pnl</t>
  </si>
  <si>
    <r>
      <t xml:space="preserve">
interconnect_cost_cpaf_q +wholesale_line_rental_cost_cpaf_q + cost_to_service_cpaf_q + C_F_CHARGE_AMT </t>
    </r>
    <r>
      <rPr>
        <b/>
        <sz val="10"/>
        <color theme="1"/>
        <rFont val="Vodafone Rg"/>
        <family val="2"/>
      </rPr>
      <t>/subs_cnt</t>
    </r>
    <r>
      <rPr>
        <sz val="10"/>
        <color theme="1"/>
        <rFont val="Vodafone Rg"/>
        <family val="2"/>
      </rPr>
      <t xml:space="preserve">
C_F_CHARGE_AMT = if aggregated_pnl.SUB_BUNDLE_TYPE_DESC in ('BB + TV','BB + Voice + TV', 'TV', 'Voice + TV') then  -15 </t>
    </r>
  </si>
  <si>
    <t>monthly_cost_cpaf_q</t>
  </si>
  <si>
    <r>
      <t>IF TRANSACTION_TYPE in ('INFLOW','RETENTION','BASE')
 interconnect_cost_cb_cpaf_q+ wholesale_line_rental_cost_cb_cpaf_q + cost_to_service_cpaf_q +</t>
    </r>
    <r>
      <rPr>
        <b/>
        <sz val="10"/>
        <color theme="1"/>
        <rFont val="Vodafone Rg"/>
        <family val="2"/>
      </rPr>
      <t xml:space="preserve"> C_F_CHARGE_AMT /subs_cnt</t>
    </r>
    <r>
      <rPr>
        <sz val="10"/>
        <color theme="1"/>
        <rFont val="Vodafone Rg"/>
        <family val="2"/>
      </rPr>
      <t xml:space="preserve">
 C_F_CHARGE_AMT = if aggregated_pnl.SUB_BUNDLE_TYPE_DESC in ('BB + TV','BB + Voice + TV', 'TV', 'Voice + TV') then -15 </t>
    </r>
  </si>
  <si>
    <t>monthly_cost_cb_cpaf_q</t>
  </si>
  <si>
    <t xml:space="preserve">
fixed_line_customer_service_revenue_cp_cpaf_q + monthly_cost_cpaf_q</t>
  </si>
  <si>
    <t>monthly_margin_cpaf_q</t>
  </si>
  <si>
    <t>IF TRANSACTION_TYPE in ('INFLOW','RETENTION','BASE') then 
fixed_line_customer_service_revenue_cp_cpaf_q + monthly_cost_cb_cpaf_q</t>
  </si>
  <si>
    <t>monthly_margin_cb_cpaf_q</t>
  </si>
  <si>
    <t>CPA_FIXEDLINE_R_IR_CPA_PNL_DTLD_FL fl_pnl left join aggreagted_pnl
Left join stg_fixed_digital_cost  on aggreagted_pnl.DAT_MONTH_ID ,  aggreagted_pnl. CHNL_LEVEL_2 and stg_fixed_digital_cost.DAT_MONTH_ID and CHNL_LEVEL_2</t>
  </si>
  <si>
    <t>aggregated_pnl.DigitalCost1</t>
  </si>
  <si>
    <r>
      <t>If Transaction type is inflow or Retention use  (</t>
    </r>
    <r>
      <rPr>
        <b/>
        <sz val="10"/>
        <color theme="1"/>
        <rFont val="Vodafone Rg"/>
        <family val="2"/>
      </rPr>
      <t>aggregated_pnl</t>
    </r>
    <r>
      <rPr>
        <sz val="10"/>
        <color theme="1"/>
        <rFont val="Vodafone Rg"/>
        <family val="2"/>
      </rPr>
      <t xml:space="preserve">.DigitalCost1 *-1) </t>
    </r>
    <r>
      <rPr>
        <b/>
        <sz val="10"/>
        <color theme="1"/>
        <rFont val="Vodafone Rg"/>
        <family val="2"/>
      </rPr>
      <t xml:space="preserve">/subs_cnt </t>
    </r>
    <r>
      <rPr>
        <sz val="10"/>
        <color theme="1"/>
        <rFont val="Vodafone Rg"/>
        <family val="2"/>
      </rPr>
      <t xml:space="preserve">  else 0</t>
    </r>
  </si>
  <si>
    <t>digital_care_cost_cpaf_q</t>
  </si>
  <si>
    <t>commission_cpaf_q + total_opex_cost_cpaf_q + digital_care_cost_cpaf_q</t>
  </si>
  <si>
    <t>total_cost_cp_cpaf_q</t>
  </si>
  <si>
    <r>
      <t xml:space="preserve"> </t>
    </r>
    <r>
      <rPr>
        <b/>
        <sz val="10"/>
        <color theme="1"/>
        <rFont val="Vodafone Rg"/>
        <family val="2"/>
      </rPr>
      <t xml:space="preserve">est_gross_margin_cpaf_q </t>
    </r>
    <r>
      <rPr>
        <sz val="10"/>
        <color theme="1"/>
        <rFont val="Vodafone Rg"/>
        <family val="2"/>
      </rPr>
      <t>+ total_cost_cp_cpaf_q</t>
    </r>
  </si>
  <si>
    <t>est_net_margin_cpaf_q</t>
  </si>
  <si>
    <r>
      <t xml:space="preserve">IF TRANSACTION_TYPE in ('INFLOW','RETENTION','BASE') then  </t>
    </r>
    <r>
      <rPr>
        <b/>
        <sz val="10"/>
        <color theme="1"/>
        <rFont val="Vodafone Rg"/>
        <family val="2"/>
      </rPr>
      <t xml:space="preserve">est_gross_margin_cb_cpaf_q </t>
    </r>
    <r>
      <rPr>
        <sz val="10"/>
        <color theme="1"/>
        <rFont val="Vodafone Rg"/>
        <family val="2"/>
      </rPr>
      <t>+ total_cost_cp_cpaf_q</t>
    </r>
  </si>
  <si>
    <t>est_net_margin_cb_cpaf_q</t>
  </si>
  <si>
    <r>
      <t>1.if CHNL_LEVEL_2 in ( 'VF Retail' , 'CPW' ,'King','T2M','TMPS','Kelco','C&amp;C','TPS','Western Cellular','KPC' , 'Not Available') use Inbundle_Revenue</t>
    </r>
    <r>
      <rPr>
        <b/>
        <sz val="10"/>
        <color theme="1"/>
        <rFont val="Vodafone Rg"/>
        <family val="2"/>
      </rPr>
      <t>/subs_cnt</t>
    </r>
    <r>
      <rPr>
        <sz val="10"/>
        <color theme="1"/>
        <rFont val="Vodafone Rg"/>
        <family val="2"/>
      </rPr>
      <t xml:space="preserve">   else 0 
 from Inbundle_Revenue avg revenue by product table
</t>
    </r>
  </si>
  <si>
    <t>monthly_access_fee_store_cpaf_q</t>
  </si>
  <si>
    <t>Store Prof. page</t>
  </si>
  <si>
    <r>
      <t>1.if CHNL_LEVEL_2 in ( 'VF Retail' , 'CPW' ,'King','T2M','TMPS','Kelco','C&amp;C','TPS','Western Cellular','KPC' , 'Not Available') use OOB_Revenue</t>
    </r>
    <r>
      <rPr>
        <b/>
        <sz val="10"/>
        <color theme="1"/>
        <rFont val="Vodafone Rg"/>
        <family val="2"/>
      </rPr>
      <t>/subs_cnt</t>
    </r>
    <r>
      <rPr>
        <sz val="10"/>
        <color theme="1"/>
        <rFont val="Vodafone Rg"/>
        <family val="2"/>
      </rPr>
      <t xml:space="preserve"> else 0 
  Oob from avg revenue by product table 
</t>
    </r>
  </si>
  <si>
    <t>out_of_bundle_revenue_store_cpaf_q</t>
  </si>
  <si>
    <r>
      <t>1.if CHNL_LEVEL_2 in ( 'VF Retail' , 'CPW' ,'King','T2M','TMPS','Kelco','C&amp;C','TPS','Western Cellular','KPC' , 'Not Available') use Additional_Service_Revenue</t>
    </r>
    <r>
      <rPr>
        <b/>
        <sz val="10"/>
        <color theme="1"/>
        <rFont val="Vodafone Rg"/>
        <family val="2"/>
      </rPr>
      <t xml:space="preserve">/subs_cnt else 0
</t>
    </r>
    <r>
      <rPr>
        <sz val="10"/>
        <color theme="1"/>
        <rFont val="Vodafone Rg"/>
        <family val="2"/>
      </rPr>
      <t xml:space="preserve"> from avg revenue by product table 
</t>
    </r>
  </si>
  <si>
    <t>additional_service_revenue_store_cpaf_q</t>
  </si>
  <si>
    <r>
      <t xml:space="preserve">1.if CHNL_LEVEL_2 in ( 'VF Retail' , 'CPW' ,'King','T2M','TMPS','Kelco','C&amp;C','TPS','Western Cellular','KPC' , 'Not Available') use  (Inbundle_Revenue + OOB_Revenue + Additional_Service_Revenue) </t>
    </r>
    <r>
      <rPr>
        <b/>
        <sz val="10"/>
        <color theme="1"/>
        <rFont val="Vodafone Rg"/>
        <family val="2"/>
      </rPr>
      <t>/subs_cnt</t>
    </r>
    <r>
      <rPr>
        <sz val="10"/>
        <color theme="1"/>
        <rFont val="Vodafone Rg"/>
        <family val="2"/>
      </rPr>
      <t xml:space="preserve">
</t>
    </r>
  </si>
  <si>
    <t>fixed_line_customer_revenue_store_cpaf_q</t>
  </si>
  <si>
    <r>
      <t>1.if CHNL_LEVEL_2 in ( 'VF Retail' , 'CPW' ,'King','T2M','TMPS','Kelco','C&amp;C','TPS','Western Cellular','KPC' , 'Not Available') use discount</t>
    </r>
    <r>
      <rPr>
        <b/>
        <sz val="10"/>
        <color theme="1"/>
        <rFont val="Vodafone Rg"/>
        <family val="2"/>
      </rPr>
      <t>/subs_cnt</t>
    </r>
    <r>
      <rPr>
        <sz val="10"/>
        <color theme="1"/>
        <rFont val="Vodafone Rg"/>
        <family val="2"/>
      </rPr>
      <t xml:space="preserve">  else 0 
 discount from avg revenue by product table 
</t>
    </r>
  </si>
  <si>
    <t>discount_store_cpaf_q</t>
  </si>
  <si>
    <t xml:space="preserve">1.if CHNL_LEVEL_2 in ( 'VF Retail' , 'CPW' ,'King','T2M','TMPS','Kelco','C&amp;C','TPS','Western Cellular','KPC' , 'Not Available') use fixed_line_customer_revenue_store_cpaf_q *0.05*-1 else 0
</t>
  </si>
  <si>
    <t>credit_store_cpaf_q</t>
  </si>
  <si>
    <t xml:space="preserve">1.if CHNL_LEVEL_2 in ( 'VF Retail' , 'CPW' ,'King','T2M','TMPS','Kelco','C&amp;C','TPS','Western Cellular','KPC' , 'Not Available') use  channel_net_revenue_cpaf_q   else 0
</t>
  </si>
  <si>
    <t>fixed_line_customer_service_revenue_store_cpaf_q</t>
  </si>
  <si>
    <t xml:space="preserve">1.if CHNL_LEVEL_2 in ( 'VF Retail' , 'CPW' ,'King','T2M','TMPS','Kelco','C&amp;C','TPS','Western Cellular','KPC' , 'Not Available') use channel_net_revenue_cpaf_q * ifnull(PP_tenure_cpaf_q ,12)   else 0
</t>
  </si>
  <si>
    <t>customer_life_time_value_store_cpaf_q</t>
  </si>
  <si>
    <t xml:space="preserve">    IF TRANSACTION_TYPE in ('INFLOW','RETENTION','OUTFLOW') and 
if CHNL_LEVEL_2 in ( 'VF Retail' , 'CPW' ,'King','T2M','TMPS','Kelco','C&amp;C','TPS','Western Cellular','KPC' , 'Not Available') use interconnect_cost_cpaf_q   else 0
</t>
  </si>
  <si>
    <t>interconnect_cost_store_cpaf_q</t>
  </si>
  <si>
    <t xml:space="preserve">  IF TRANSACTION_TYPE in ('INFLOW','RETENTION','BASE') then if CHNL_LEVEL_2 in ( 'VF Retail' , 'CPW' ,'King','T2M','TMPS','Kelco','C&amp;C','TPS','Western Cellular','KPC' , 'Not Available') use interconnect_cost_cb_cpaf_q   else 0</t>
  </si>
  <si>
    <t>interconnect_cost_cb_store_cpaf_q</t>
  </si>
  <si>
    <t xml:space="preserve">    IF TRANSACTION_TYPE in ('INFLOW','RETENTION','OUTFLOW') and 
if CHNL_LEVEL_2 in ( 'VF Retail' , 'CPW' ,'King','T2M','TMPS','Kelco','C&amp;C','TPS','Western Cellular','KPC' , 'Not Available') use wholesale_line_rental_cost_cpaf_q  else 0
</t>
  </si>
  <si>
    <t>wholesale_line_rental_cost_store_cpaf_q</t>
  </si>
  <si>
    <r>
      <t xml:space="preserve">    IF TRANSACTION_TYPE in ('INFLOW','RETENTION',</t>
    </r>
    <r>
      <rPr>
        <strike/>
        <sz val="10"/>
        <color rgb="FFFF0000"/>
        <rFont val="Vodafone Rg"/>
        <family val="2"/>
      </rPr>
      <t xml:space="preserve"> </t>
    </r>
    <r>
      <rPr>
        <b/>
        <sz val="10"/>
        <rFont val="Vodafone Rg"/>
        <family val="2"/>
      </rPr>
      <t>'BASE'</t>
    </r>
    <r>
      <rPr>
        <sz val="10"/>
        <color theme="1"/>
        <rFont val="Vodafone Rg"/>
        <family val="2"/>
      </rPr>
      <t xml:space="preserve">) and 
if CHNL_LEVEL_2 in ( 'VF Retail' , 'CPW' ,'King','T2M','TMPS','Kelco','C&amp;C','TPS','Western Cellular','KPC' , 'Not Available') use wholesale_line_rental_cost_cb_cpaf_q   else 0
</t>
    </r>
  </si>
  <si>
    <t>wholesale_line_rental_cost_cb_store_cpaf_q</t>
  </si>
  <si>
    <t xml:space="preserve">`CPA_FIXEDLINE_R_IR_CPA_PNL_DTLD_FL` fl_pnl  left join Aggregated_pnl </t>
  </si>
  <si>
    <r>
      <t>1.if CHNL_LEVEL_2 in ( 'VF Retail' , 'CPW' ,'King','T2M','TMPS','Kelco','C&amp;C','TPS','Western Cellular','KPC' , 'Not Available') and   when</t>
    </r>
    <r>
      <rPr>
        <b/>
        <sz val="10"/>
        <color theme="1"/>
        <rFont val="Vodafone Rg"/>
        <family val="2"/>
      </rPr>
      <t xml:space="preserve"> aggregated_pnl.</t>
    </r>
    <r>
      <rPr>
        <sz val="10"/>
        <color theme="1"/>
        <rFont val="Vodafone Rg"/>
        <family val="2"/>
      </rPr>
      <t>SUB_BUNDLE_TYPE_DESC in ('BB + TV','BB + Voice + TV', 'TV', 'Voice + TV') then</t>
    </r>
    <r>
      <rPr>
        <b/>
        <sz val="10"/>
        <color theme="1"/>
        <rFont val="Vodafone Rg"/>
        <family val="2"/>
      </rPr>
      <t xml:space="preserve"> 
-15/subs_cnt</t>
    </r>
    <r>
      <rPr>
        <sz val="10"/>
        <color theme="1"/>
        <rFont val="Vodafone Rg"/>
        <family val="2"/>
      </rPr>
      <t xml:space="preserve"> else 0  
</t>
    </r>
  </si>
  <si>
    <t>tv_content_cost_store_cpaf_q</t>
  </si>
  <si>
    <t xml:space="preserve">1.if CHNL_LEVEL_2 in ( 'VF Retail' , 'CPW' ,'King','T2M','TMPS','Kelco','C&amp;C','TPS','Western Cellular','KPC' , 'Not Available') use cost_to_service_cpaf_q else 0  
</t>
  </si>
  <si>
    <t>cost_to_service_store_cpaf_q</t>
  </si>
  <si>
    <r>
      <t xml:space="preserve">IF TRANSACTION_TYPE in ('INFLOW','RETENTION','OUTFLOW') then  interconnect_cost_cpaf_q  + wholesale_line_rental_cost_cpaf_q+ 
(when </t>
    </r>
    <r>
      <rPr>
        <b/>
        <sz val="10"/>
        <color theme="1"/>
        <rFont val="Vodafone Rg"/>
        <family val="2"/>
      </rPr>
      <t>Aggregated_pnl.SUB_BUNDLE_TYPE_DESC</t>
    </r>
    <r>
      <rPr>
        <sz val="10"/>
        <color theme="1"/>
        <rFont val="Vodafone Rg"/>
        <family val="2"/>
      </rPr>
      <t xml:space="preserve"> in ('BB + TV','BB + Voice + TV', 'TV', 'Voice + TV')then -15 else 0)</t>
    </r>
    <r>
      <rPr>
        <b/>
        <sz val="10"/>
        <color theme="1"/>
        <rFont val="Vodafone Rg"/>
        <family val="2"/>
      </rPr>
      <t xml:space="preserve"> /subs_cnt </t>
    </r>
    <r>
      <rPr>
        <sz val="10"/>
        <color theme="1"/>
        <rFont val="Vodafone Rg"/>
        <family val="2"/>
      </rPr>
      <t xml:space="preserve"> +cost_to_service_cpaf_q else 0  </t>
    </r>
  </si>
  <si>
    <t>channel_monthly_cost_cpaf_q</t>
  </si>
  <si>
    <r>
      <t xml:space="preserve">IF TRANSACTION_TYPE in ('INFLOW','RETENTION','BASE') then   interconnect_cost_cpaf_q  + wholesale_line_rental_cost_cpaf_q+ 
(when Aggregated_pnl.SUB_BUNDLE_TYPE_DESC in ('BB + TV','BB + Voice + TV', 'TV', 'Voice + TV')then -15 else 0) </t>
    </r>
    <r>
      <rPr>
        <b/>
        <sz val="10"/>
        <color theme="1"/>
        <rFont val="Vodafone Rg"/>
        <family val="2"/>
      </rPr>
      <t>/subs_cnt</t>
    </r>
    <r>
      <rPr>
        <sz val="10"/>
        <color theme="1"/>
        <rFont val="Vodafone Rg"/>
        <family val="2"/>
      </rPr>
      <t xml:space="preserve">  +cost_to_service_cpaf_q else 0  </t>
    </r>
  </si>
  <si>
    <t>channel_monthly_cost_cb_cpaf_q</t>
  </si>
  <si>
    <t xml:space="preserve">    IF TRANSACTION_TYPE in ('INFLOW','RETENTION','OUTFLOW') and if CHNL_LEVEL_2 in ( 'VF Retail' , 'CPW' ,'King','T2M','TMPS','Kelco','C&amp;C','TPS','Western Cellular','KPC' , 'Not Available') use channel_monthly_cost_cpaf_q else 0  
</t>
  </si>
  <si>
    <t>monthly_cost_store_cpaf_q</t>
  </si>
  <si>
    <t xml:space="preserve">    IF TRANSACTION_TYPE in ('INFLOW','RETENTION','BASE') and if CHNL_LEVEL_2 in ( 'VF Retail' , 'CPW' ,'King','T2M','TMPS','Kelco','C&amp;C','TPS','Western Cellular','KPC' , 'Not Available') usechannel_monthly_cost_cb_cpaf_q else 0  
</t>
  </si>
  <si>
    <t>monthly_cost_store_cb_cpaf_q</t>
  </si>
  <si>
    <t xml:space="preserve">    IF TRANSACTION_TYPE in ('INFLOW','RETENTION','OUTFLOW') and if CHNL_LEVEL_2 in ( 'VF Retail' , 'CPW' ,'King','T2M','TMPS','Kelco','C&amp;C','TPS','Western Cellular','KPC' , 'Not Available') then use channel_net_revenue_cpaf_q + channel_monthly_cost_cpaf_q else 0</t>
  </si>
  <si>
    <t>monthly_margin_store_cpaf_q</t>
  </si>
  <si>
    <t>IF TRANSACTION_TYPE in ('INFLOW','RETENTION','BASE') and if CHNL_LEVEL_2 in ( 'VF Retail' , 'CPW' ,'King','T2M','TMPS','Kelco','C&amp;C','TPS','Western Cellular','KPC' , 'Not Available')  then use channel_net_revenue_cpaf_q + channel_monthly_cost_cb_cpaf_q else 0</t>
  </si>
  <si>
    <t>monthly_margin_cb_store_cpaf_q</t>
  </si>
  <si>
    <t>if CHNL_LEVEL_2 in ( 'VF Retail' , 'CPW' ,'King','T2M','TMPS','Kelco','C&amp;C','TPS','Western Cellular','KPC' , 'Not Available') then pp_tenure_cpaf_q</t>
  </si>
  <si>
    <t>est_tenure_store_cpaf_q</t>
  </si>
  <si>
    <t xml:space="preserve"> IF TRANSACTION_TYPE in ('INFLOW','RETENTION','OUTFLOW') and if CHNL_LEVEL_2 in ( 'VF Retail' , 'CPW' ,'King','T2M','TMPS','Kelco','C&amp;C','TPS','Western Cellular','KPC' , 'Not Available') then use (channel_net_revenue_cpaf_q + channel_monthly_cost_cpaf_q) * ifnull(PP_tenure_cpaf_q,12) else 0</t>
  </si>
  <si>
    <t>overall_estimated_margin_store_cpaf_q</t>
  </si>
  <si>
    <t>IF TRANSACTION_TYPE in ('INFLOW','RETENTION','BASE') and if CHNL_LEVEL_2 in ( 'VF Retail' , 'CPW' ,'King','T2M','TMPS','Kelco','C&amp;C','TPS','Western Cellular','KPC' , 'Not Available')  then use (channel_net_revenue_cpaf_q + channel_monthly_cost_cb_cpaf_q) * ifnull(PP_tenure_cpaf_q,12) else 0</t>
  </si>
  <si>
    <t>overall_estimated_margin_cb_store_cpaf_q</t>
  </si>
  <si>
    <t xml:space="preserve"> IF TRANSACTION_TYPE in ('INFLOW','RETENTION','OUTFLOW') and if CHNL_LEVEL_2 in ( 'VF Retail' , 'CPW' ,'King','T2M','TMPS','Kelco','C&amp;C','TPS','Western Cellular','KPC' , 'Not Available') then installation_cost_cpaf_q</t>
  </si>
  <si>
    <t>installation_cost_store_cpaf_q</t>
  </si>
  <si>
    <t xml:space="preserve"> IF TRANSACTION_TYPE in ('INFLOW','RETENTION','BASE') and if CHNL_LEVEL_2 in ( 'VF Retail' , 'CPW' ,'King','T2M','TMPS','Kelco','C&amp;C','TPS','Western Cellular','KPC' , 'Not Available') then installation_cost_cb_cpaf_q</t>
  </si>
  <si>
    <t>installation_cost_cb_store_cpaf_q</t>
  </si>
  <si>
    <t>if CHNL_LEVEL_2 in ( 'VF Retail' , 'CPW' ,'King','T2M','TMPS','Kelco','C&amp;C','TPS','Western Cellular','KPC' , 'Not Available') then missed_appointment_cpaf_q</t>
  </si>
  <si>
    <t>missed_appointment_store_cpaf_q</t>
  </si>
  <si>
    <t xml:space="preserve"> IF TRANSACTION_TYPE in ('INFLOW','RETENTION','OUTFLOW') and if CHNL_LEVEL_2 in ( 'VF Retail' , 'CPW' ,'King','T2M','TMPS','Kelco','C&amp;C','TPS','Western Cellular','KPC' , 'Not Available') then est_gross_margin_cpaf_q</t>
  </si>
  <si>
    <t>est._gross_margin_store_cpaf_q</t>
  </si>
  <si>
    <t xml:space="preserve"> IF TRANSACTION_TYPE in ('INFLOW','RETENTION','BASE') and if CHNL_LEVEL_2 in ( 'VF Retail' , 'CPW' ,'King','T2M','TMPS','Kelco','C&amp;C','TPS','Western Cellular','KPC' , 'Not Available') then est_gross_margin_cb_cpaf_q</t>
  </si>
  <si>
    <t>est._gross_margin_cb_store_cpaf_q</t>
  </si>
  <si>
    <t>if CHNL_LEVEL_2 in ( 'VF Retail' , 'CPW' ,'King','T2M','TMPS','Kelco','C&amp;C','TPS','Western Cellular','KPC' , 'Not Available') then commission_cpaf_q</t>
  </si>
  <si>
    <t>commission_store_cpaf_q</t>
  </si>
  <si>
    <t>if CHNL_LEVEL_2 in ( 'VF Retail' , 'CPW' ,'King','T2M','TMPS','Kelco','C&amp;C','TPS','Western Cellular','KPC' , 'Not Available') then total_opex_cost_cpaf_q</t>
  </si>
  <si>
    <t>opex_cost_store_cpaf_q</t>
  </si>
  <si>
    <t>if CHNL_LEVEL_2 in ( 'VF Retail' , 'CPW' ,'King','T2M','TMPS','Kelco','C&amp;C','TPS','Western Cellular','KPC' , 'Not Available') then total_cost_cpaf_q</t>
  </si>
  <si>
    <t>total_cost_store_cpaf_q</t>
  </si>
  <si>
    <t xml:space="preserve"> IF TRANSACTION_TYPE in ('INFLOW','RETENTION','OUTFLOW') and if CHNL_LEVEL_2 in ( 'VF Retail' , 'CPW' ,'King','T2M','TMPS','Kelco','C&amp;C','TPS','Western Cellular','KPC' , 'Not Available') then est_net_margin_cpaf_q else 0</t>
  </si>
  <si>
    <t>est_net_margin_store_cpaf_q</t>
  </si>
  <si>
    <t xml:space="preserve"> IF TRANSACTION_TYPE in ('INFLOW','RETENTION','BASE') and if CHNL_LEVEL_2 in ( 'VF Retail' , 'CPW' ,'King','T2M','TMPS','Kelco','C&amp;C','TPS','Western Cellular','KPC' , 'Not Available') then est_net_margin_cb_cpaf_q</t>
  </si>
  <si>
    <t>est_net_margin_cb_store_cpaf_q</t>
  </si>
  <si>
    <t>customer_volume_store_cpaf_q</t>
  </si>
  <si>
    <t>wholesale_and_ic_cost_disc_cpaf_q</t>
  </si>
  <si>
    <t>Price Plan Prof/Discovery</t>
  </si>
  <si>
    <t>wholesale_and_ic_cost_cb_disc_cpaf_q</t>
  </si>
  <si>
    <t xml:space="preserve">CPA_FIXEDLINE_R_IR_CPA_PNL_DTLD_FL fl_pnl  left join CPA_FIXEDLINE_R_IR_CPA_DISCOUNT_FL` 
on DAT_MONTH_ID
,CUS_CUSTOMER_CD,SUB_SUBSCRIPTION_CD ,SUB_BILL_TYPE_EXT_CD.
Before Joining discount table derive the below dataset. 
Take the sum(F_CHARGE_AMT) using combination of  DAT_MONTH_ID,CUS_CUSTOMER_CD,SUB_SUBSCRIPTION_CD ,SUB_BILL_TYPE_EXT_CD. from CPA_FIXEDLINE_R_IR_CPA_DISCOUNT_FL  table with above condition Where  UPPER (SUB_BUNDLE_TYPE_DESC) NOT IN ('MOBILE', 'TV',  'VOICE + TV')    AND (ACR_CHARGE_CODE_DESC Like '%Discount%' or  ACR_CHARGE_CODE_DESC Like '%Disc%')
    AND F_CHARGE_AMT&lt;0.
Query for reference: 
( select DAT_MONTH_ID, CUS_CUSTOMER_CD,SUB_SUBSCRIPTION_CD, SUB_BILL_TYPE_EXT_CD,sum(F_CHARGE_AMT) as F_CHARGE_AMT from  vf-ie-mc2-nonlive.  vfie_mc2_nonlive_ie_lake_mc2_presentation_processed_s.CPA_FIXEDLINE_R_IR_CPA_DISCOUNT_FL Where 
 UPPER (SUB_BUNDLE_TYPE_DESC) NOT IN ('MOBILE', 'TV',  'VOICE + TV')   
 AND (ACR_CHARGE_CODE_DESC Like '%Discount%' or  ACR_CHARGE_CODE_DESC Like '%Disc%')
    AND F_CHARGE_AMT&lt;0  group by 1,2,3,4 )
</t>
  </si>
  <si>
    <t>If CUS_CUSTOMER_CD appearing mutiple times in a reporting month from Discount table ,populate 1 in only one record rest will be 0.
If only one record for the customer_cd then 1.</t>
  </si>
  <si>
    <t>discount_customer_cnt_cpaf_q</t>
  </si>
  <si>
    <t>discount_an_cpaf_q</t>
  </si>
  <si>
    <t xml:space="preserve">CPA_FIXEDLINE_R_IR_CPA_PNL_DTLD_FL left join CPA_FIXEDLINE_R_IR_CPA_DISCOUNT_FL` 
on DAT_MONTH_ID
,CUS_CUSTOMER_CD,SUB_SUBSCRIPTION_CD ,SUB_BILL_TYPE_EXT_CD.
Before Joining discount table derive the below dataset. 
Take the sum(F_CHARGE_AMT) using combination of  DAT_MONTH_ID,CUS_CUSTOMER_CD,SUB_SUBSCRIPTION_CD ,SUB_BILL_TYPE_EXT_CD. from CPA_FIXEDLINE_R_IR_CPA_DISCOUNT_FL  table with above condition Where  UPPER (SUB_BUNDLE_TYPE_DESC) NOT IN ('MOBILE', 'TV',  'VOICE + TV')    AND (ACR_CHARGE_CODE_DESC Like '%Discount%' or  ACR_CHARGE_CODE_DESC Like '%Disc%')
    AND F_CHARGE_AMT&lt;0.
Query for reference: 
( select DAT_MONTH_ID, CUS_CUSTOMER_CD,SUB_SUBSCRIPTION_CD, SUB_BILL_TYPE_EXT_CD,sum(F_CHARGE_AMT) as F_CHARGE_AMT from  vf-ie-mc2-nonlive.  vfie_mc2_nonlive_ie_lake_mc2_presentation_processed_s.CPA_FIXEDLINE_R_IR_CPA_DISCOUNT_FL Where 
 UPPER (SUB_BUNDLE_TYPE_DESC) NOT IN ('MOBILE', 'TV',  'VOICE + TV')   
 AND (ACR_CHARGE_CODE_DESC Like '%Discount%' or  ACR_CHARGE_CODE_DESC Like '%Disc%')
    AND F_CHARGE_AMT&lt;0  group by 1,2,3,4 )
</t>
  </si>
  <si>
    <r>
      <t>F_CHARGE_AMT /</t>
    </r>
    <r>
      <rPr>
        <strike/>
        <sz val="9"/>
        <color rgb="FFFF0000"/>
        <rFont val="Vodafone Rg"/>
        <family val="2"/>
      </rPr>
      <t xml:space="preserve"> </t>
    </r>
    <r>
      <rPr>
        <sz val="9"/>
        <color theme="1"/>
        <rFont val="Vodafone Rg"/>
        <family val="2"/>
      </rPr>
      <t xml:space="preserve">  fixed_line_customer_revenue_cpaf_q</t>
    </r>
  </si>
  <si>
    <t>discount_revenue_Impact_cpaf_q</t>
  </si>
  <si>
    <r>
      <t>F_CHARGE_AMT /</t>
    </r>
    <r>
      <rPr>
        <sz val="9"/>
        <color rgb="FFFF0000"/>
        <rFont val="Vodafone Rg"/>
        <family val="2"/>
      </rPr>
      <t xml:space="preserve"> </t>
    </r>
    <r>
      <rPr>
        <sz val="9"/>
        <rFont val="Vodafone Rg"/>
        <family val="2"/>
      </rPr>
      <t>fixed_line_customer_revenue_cb_cpaf_q</t>
    </r>
  </si>
  <si>
    <t>discount_revenue_Impact_cb_cpaf_q</t>
  </si>
  <si>
    <t>CPA_FIXEDLINE_R_IR_CPA_PNL_DTLD_FL  fl_pnl  left join aggregated_pnl</t>
  </si>
  <si>
    <r>
      <t>(F_IN_BUNDEL_REV + F_OUTBUNDLE_REV + F_ADDL_SERVICE_REV  +( F_DISCOUNT_CST*-1))</t>
    </r>
    <r>
      <rPr>
        <b/>
        <sz val="10"/>
        <rFont val="Vodafone Rg"/>
        <family val="2"/>
      </rPr>
      <t xml:space="preserve"> /subs_cnt</t>
    </r>
  </si>
  <si>
    <t xml:space="preserve">total_revenue_bd_cpaf_q </t>
  </si>
  <si>
    <t>Bad debt</t>
  </si>
  <si>
    <t>CPA_FIXEDLINE_R_IR_CPA_PNL_DTLD_FL   fl_pnl  left join aggregated_pnl</t>
  </si>
  <si>
    <t>net_revenue_bd_cpaf_q</t>
  </si>
  <si>
    <r>
      <t xml:space="preserve">CPA_FIXEDLINE_R_IR_CPA_PNL_DTLD_FL  fl_pnl  </t>
    </r>
    <r>
      <rPr>
        <strike/>
        <sz val="10"/>
        <color rgb="FFFF0000"/>
        <rFont val="Vodafone Rg"/>
        <family val="2"/>
      </rPr>
      <t xml:space="preserve"> left join aggregated_pnl</t>
    </r>
  </si>
  <si>
    <t>customer_cnt_cpaf_q</t>
  </si>
  <si>
    <r>
      <t xml:space="preserve">CPA_FIXEDLINE_R_IR_CPA_PNL_DTLD_FL  fl_pnl   </t>
    </r>
    <r>
      <rPr>
        <strike/>
        <sz val="10"/>
        <color rgb="FFFF0000"/>
        <rFont val="Vodafone Rg"/>
        <family val="2"/>
      </rPr>
      <t>left join aggregated_pnl</t>
    </r>
  </si>
  <si>
    <t>customer_cnt_cb_cpaf_q</t>
  </si>
  <si>
    <t>If sub_subscription_cd appearing mutiple times in a reporting month from Discount table ,populate 1 in only one record rest will be 0.
If only one record for the sub_subscription_cd then 1.</t>
  </si>
  <si>
    <t>discount_subscriber_cnt_cpaf_q</t>
  </si>
  <si>
    <t xml:space="preserve">CPA_FIXEDLINE_R_IR_CPA_PNL_DTLD_FL fl_pnl </t>
  </si>
  <si>
    <t>fixed_line_customer_revenue_cpaf_q + discount_cpaf_q + credit_cpaf_q + F_INCOMING_REV + total_wholesale_ic_cost_cpaf_q + missed_appointment_cpaf_q + total ar cost cpaf q</t>
  </si>
  <si>
    <t>gross_margin_band_dim_cpaf_q</t>
  </si>
  <si>
    <r>
      <t xml:space="preserve">CPA_FIXEDLINE_R_IR_CPA_PNL_DTLD_FL  fl_pnl  </t>
    </r>
    <r>
      <rPr>
        <strike/>
        <sz val="10"/>
        <color rgb="FFFF0000"/>
        <rFont val="Vodafone Rg"/>
        <family val="2"/>
      </rPr>
      <t xml:space="preserve"> </t>
    </r>
  </si>
  <si>
    <t xml:space="preserve"> populate 1 only for one combination of DAT_MONTH_ID , CUS_CUSTOMER_CD ,  TRANSACTION TYPE ,PRICEPLAN_RATE. </t>
  </si>
  <si>
    <t>customer_cnt_pr_cpaf_q</t>
  </si>
  <si>
    <t xml:space="preserve">CPA_FIXEDLINE_R_IR_CPA_PNL_DTLD_FL  fl_pnl   </t>
  </si>
  <si>
    <t>customer_cnt_pr_cb_cpaf_q</t>
  </si>
  <si>
    <t xml:space="preserve">CPA_FIXEDLINE_R_IR_CPA_PNL_DTLD_FL  fl_pnl </t>
  </si>
  <si>
    <t xml:space="preserve"> populate 1 only for one combination of DAT_MONTH_ID , CUS_CUSTOMER_CD ,  TRANSACTION TYPE ,COUNTY. </t>
  </si>
  <si>
    <t>customer_cnt_c_cpaf_q</t>
  </si>
  <si>
    <t>customer_cnt_c_cb_cpaf_q</t>
  </si>
  <si>
    <t xml:space="preserve"> populate 1 only for one combination of DAT_MONTH_ID , CUS_CUSTOMER_CD , TRANSACTION TYPE ,CHNL_LEVEL_3. </t>
  </si>
  <si>
    <t>customer_cnt_chnl_cpaf_q</t>
  </si>
  <si>
    <t>customer_cnt_chnl_cb_cpaf_q</t>
  </si>
  <si>
    <t>CPA PP Qlik Logics stage table</t>
  </si>
  <si>
    <t>STG_Inflow_Ret_Subs_PP</t>
  </si>
  <si>
    <t xml:space="preserve">Step 1:
Select  
DAT_MONTH_ID,
DLR_DEALER_SRC_CD,
Count(SUB_SUBSCRIPTION_CD) as Subs
from 
vfie_mc2_nonlive_ie_lake_mc2_presentation_processed_s.CPA_PREPAID_R_IR_CPA_PNL_DTLD_PP`
Where
TRANSACTION_TYPE in ('INFLOW','RETENTION')
and DLR_DEALER_SRC_CD ='RVF01'
GROUP BY DAT_MONTH_ID,
  DLR_DEALER_SRC_CD
</t>
  </si>
  <si>
    <t>stg_inflow_ret_subs_pp</t>
  </si>
  <si>
    <t>CPA Prepaid</t>
  </si>
  <si>
    <t>subs</t>
  </si>
  <si>
    <t>stg_cpa_prepaid_q_usl</t>
  </si>
  <si>
    <t>vfie_mc2_nonlive_ie_lake_mc2_presentation_processed_s.CPA_PREPAID_R_IR_CPA_PNL_DTLD_PP`</t>
  </si>
  <si>
    <t>CUSTOMER_ID</t>
  </si>
  <si>
    <t>SUBSCRIBER ID</t>
  </si>
  <si>
    <t>Summary PNL</t>
  </si>
  <si>
    <t xml:space="preserve">F_OB_NTL_VOICE_REV + F_OB_INTL_VOICE_REV + F_OB_DATA_REV+ F_OB_NTL_SMS_REV+F_OB_INTL_SMS_REV
</t>
  </si>
  <si>
    <t>usage_revenue_cpap_q</t>
  </si>
  <si>
    <t xml:space="preserve">F_ROAMING_SMS_REV+F_ROAMING_DATA_REV+F_ROAMING_VOICE_REV
</t>
  </si>
  <si>
    <t>roaming_revenue_cpap_q</t>
  </si>
  <si>
    <t xml:space="preserve">F_OPENING_BALANCE_AMT+ (F_TOPUP_CONTRIBUTORY_AMT ) + (usage_revenue_cpaf_q*-1) + f_tup_drawdown_amt *(-1)+ F_TOPUP_NONCONTRIBUTORY_AMT + F_CLOSING_BALANCE_AMT*(-1)  
</t>
  </si>
  <si>
    <t>other_revenue_cpap_q</t>
  </si>
  <si>
    <t>usage_revenue_cpap_q + roaming_revenue_cpap_q +  f_tup_drawdown_amt + other_revenue_cpap_q
These columns are derived above</t>
  </si>
  <si>
    <t>prepay_customer_revenue_cpap_q</t>
  </si>
  <si>
    <t xml:space="preserve">prepay_customer_revenue_cpaf_q  + F_TOPUP_NONCONTRIBUTORY_AMT*(-1)
</t>
  </si>
  <si>
    <t>prepay_customer_revenue_c_cpap_q</t>
  </si>
  <si>
    <t>prepay_customer_revenue_c_cpaf_q +F_INCOMING_REV 
These columns are derived above</t>
  </si>
  <si>
    <t>prepay_service_revenue_cpap_q</t>
  </si>
  <si>
    <t xml:space="preserve"> (F_ROAMING_VOICE_CST*-1 + F_ROAMING_DATA_CST*-1 + F_ROAMING_SMS_CST*-1) + (F_IC_NTL_CST + F_IC_INTL_CST)*-1 + (F_CONTENT_CST)*-1 </t>
  </si>
  <si>
    <t>total_direct_cost_cpap_q</t>
  </si>
  <si>
    <t>prepay_service_revenue_cpap_q + total_direct_cost_cpap_q</t>
  </si>
  <si>
    <t>direct_margin_cpap_q</t>
  </si>
  <si>
    <t>ifnull(direct_margin_cpap_q/ prepay_service_revenue_cpap_q , direct_margin_cpap_q/100)</t>
  </si>
  <si>
    <t>airtime_margin_cpap_q</t>
  </si>
  <si>
    <t xml:space="preserve">1. if transaction type is 'INFLOW','RETENTION', then use   F_SUBSIDY*(-1)
 else if transaction type is outflow,base  use   F_AMORT_SUBSIDY*(-1)	
  F_SUBSIDY	, F_AMORT_SUBSIDY  =  direct fields									</t>
  </si>
  <si>
    <t>subsidy_cpap_q</t>
  </si>
  <si>
    <t xml:space="preserve">if transaction type is 'INFLOW','RETENTION' , 'BASE'
then use   F_AMORT_SUBSIDY*(-1)	
									</t>
  </si>
  <si>
    <t>subsidy_cb_cpap_q</t>
  </si>
  <si>
    <t xml:space="preserve">1.If CHNL_LEVEL_2  in ('CPW' or 'VF Retail' or 'VIS Outbound' or 'VF Online Sales') then  0,
else
 if transaction type is 'INFLOW','RETENTION', then use F_COMMISSION_CST
else 
    F_AMORT_COMMISSION_CST*(-1)
</t>
  </si>
  <si>
    <t>commission_cpap_q</t>
  </si>
  <si>
    <t>subsidy_cpap_q + commission_cpap_q</t>
  </si>
  <si>
    <t>total_indirect_cost_cpap_q</t>
  </si>
  <si>
    <t>total_indirect_cb_cost_cpap_q</t>
  </si>
  <si>
    <t xml:space="preserve">[Gross Margin]= prepay_service_revenue_cpap_q + total_direct_cost_cpap_q + total_indirect_cost_cpap_q
These columns are derived above
</t>
  </si>
  <si>
    <t>gross_margin_cpap_q</t>
  </si>
  <si>
    <t xml:space="preserve">[Gross Margin]= prepay_service_revenue_cpap_q + total_direct_cost_cpap_q + total_indirect_cost_cb_cpap_q
These columns are derived above
</t>
  </si>
  <si>
    <t>gross_margin_cb_cpap_q</t>
  </si>
  <si>
    <t>ifnull(gross_margin_cpap_q/prepay_service_revenue_cpap_q, gross_margin_cpap_q/100)</t>
  </si>
  <si>
    <t>gross_margin_per_cpap_q</t>
  </si>
  <si>
    <t>ifnull(gross_margin_cb_cpap_q/prepay_service_revenue_cpap_q, gross_margin_cb_cpap_q/100)</t>
  </si>
  <si>
    <t>gross_margin_per_cb_cpap_q</t>
  </si>
  <si>
    <t xml:space="preserve"> vfie_mc2_nonlive_ie_lake_mc2_presentation_processed_s.CPA_PREPAID_R_IR_CPA_PNL_DTLD_PP` p
LEFT JOIN 
stg_inflow_ret_subs_pp   as stg_irs
On P.DLR_DEALER_SRC_CD = STG_IRS.DLR_DEALER_SRC_CD
AND P.DAT_MONTH_ID = STG_IRS.DAT_MONTH_ID
LEFT JOIN STG_Retail_Opex as STG_RO 
ON STG_IRS.DLR_DEALER_SRC_CD = SRG_RO.Dealer ID</t>
  </si>
  <si>
    <t xml:space="preserve"> 1.if transaction type is 'INFLOW','RETENTION', then use (AvgCost)*(-1) 
else 0
where
2.AvgCost = Retail_Cost/Subs
--- Reatil_cost from STG_Retail_Opex  table and subs from stg_inflow_ret_subs_pp table</t>
  </si>
  <si>
    <t>vodafone_retail_cost_cpap_q</t>
  </si>
  <si>
    <t xml:space="preserve">1.((F_USED_DATA/1024)*.35)*-1   
where 
F_USED_DATA = direct field
</t>
  </si>
  <si>
    <t>cost_to_carry_cpap_q</t>
  </si>
  <si>
    <t>1.if(DAT_MONTH_ID&gt; 202103 then ((F_DURATIO_SUM/60)*9.3)*-1 else ((F_DURATIO_SUM/60)*8.5)*-1)		
where F_DURATIO_SUM = direct field</t>
  </si>
  <si>
    <t>cost_to_service_cpap_q</t>
  </si>
  <si>
    <t>cost_to_carry_cpap_q + cost_to_service_cpap_q</t>
  </si>
  <si>
    <t>total_opex_cost_cpap_q</t>
  </si>
  <si>
    <t xml:space="preserve">[EBITDA] = prepay_service_revenue_cpap_q + total_direct_cost_cpap_q + total_indirect_cost_cpap_q + cost_to_carry_cpap_q + cost_to_service_cpap_q
</t>
  </si>
  <si>
    <t>ebitda_cpap_q</t>
  </si>
  <si>
    <t xml:space="preserve">[EBITDA] = prepay_service_revenue_cpap_q + total_direct_cost_cpap_q + total_indirect_cost_cb_cpap_q + cost_to_carry_cpap_q + cost_to_service_cpap_q
</t>
  </si>
  <si>
    <t>ebitda_cb_cpap_q</t>
  </si>
  <si>
    <t>ifnull(ebitda_cpap_q/prepay_service_revenue_cpap_q ,ebitda_cpap_q/100)</t>
  </si>
  <si>
    <t>ebitda_per_cpap_q</t>
  </si>
  <si>
    <t>ifnull(ebitda_cb_cpap_q/prepay_service_revenue_cpap_q ,ebitda_cb_cpap_q/100)</t>
  </si>
  <si>
    <t>ebitda_per_cb_cpap_q</t>
  </si>
  <si>
    <t>F_TOPUP_CONTRIBUTORY_AMT*-1 
where
F_TOPUP_CONTRIBUTORY_AMT = direct field</t>
  </si>
  <si>
    <t>top_up_contributory_amount_cpap_q</t>
  </si>
  <si>
    <t xml:space="preserve"> if(F_ACTIVE=1 and Transaction_type in (INFLOW, RETENTION , BASE ) and LAST_EVENT_DT&gt;=DAT_MONTH_ID) then 1 else 0 </t>
  </si>
  <si>
    <t>active_sub_subscription_cd_cpap_q</t>
  </si>
  <si>
    <t xml:space="preserve">IF TRANSACTION_TYPE in ('INFLOW' , 'BASE','RETENTION') and gross_margin_cb_cpap_q &lt; 0 then 1 else 0
</t>
  </si>
  <si>
    <t>negative_margin_ind_cpap_q</t>
  </si>
  <si>
    <t xml:space="preserve">IF TRANSACTION_TYPE in ('INFLOW' , 'BASE','RETENTION') and gross_margin_cb_cpap_q &lt; 0 for consecutively 2 months then 1 else 0. (Est_Gross_Margin_CB &lt; 0 in the current month as well as  previous reporting mnth)
</t>
  </si>
  <si>
    <t>consistent_negative_margin_ind_cpap_q</t>
  </si>
  <si>
    <t xml:space="preserve">IF TRANSACTION_TYPE in ('INFLOW' , 'BASE','RETENTION') and gross_margin_cb_cpap_q &lt; 0 
then check for the number of months having gross_margin_cb_cpap_q &lt; 0 consistently from current reporting month.(Backward months)
If No. of months 1 then "1 Month"
                 2 then  "2 Months"  
  between  3 and 5 then  "3-5 Months"
                &gt;=6 then "&gt;=6 Months" </t>
  </si>
  <si>
    <t>consistent_negative_margin_months_cpap_q</t>
  </si>
  <si>
    <t>If transaction_type='INFLOW' then 1 else 0</t>
  </si>
  <si>
    <t>customers_inflow_cpap_q</t>
  </si>
  <si>
    <t>If transaction_type='OUTFLOW' then 1 else 0</t>
  </si>
  <si>
    <t>customers_outflow_cpap_q</t>
  </si>
  <si>
    <t>customers_inflow_cpap_q - customers_outflow_cpap_q</t>
  </si>
  <si>
    <t>customers_net_pnl_cpap_q</t>
  </si>
  <si>
    <t>If transaction_type='INFLOW' then usage_revenue_cpap_q else 0</t>
  </si>
  <si>
    <t>usage_revenue_inflow_cpap_q</t>
  </si>
  <si>
    <t>If transaction_type='OUTFLOW' then usage_revenue_cpap_q else 0</t>
  </si>
  <si>
    <t>usage_revenue_outflow_cpap_q</t>
  </si>
  <si>
    <t>usage_revenue_inflow_cpap_q - usage_revenue_outflow_cpap_q</t>
  </si>
  <si>
    <t>usage_revenue_net_pnl_cpap_q</t>
  </si>
  <si>
    <t>If transaction_type='INFLOW' then roaming_revenue_cpap_q else 0</t>
  </si>
  <si>
    <t>roaming_revenue_inflow_cpap_q</t>
  </si>
  <si>
    <t>If transaction_type='OUTFLOW' then roaming_revenue_cpap_q else 0</t>
  </si>
  <si>
    <t>roaming_revenue_outflow_cpap_q</t>
  </si>
  <si>
    <t>roaming_revenue_inflow_cpap_q - roaming_revenue_outflow_cpap_q</t>
  </si>
  <si>
    <t>roaming_revenue_net_pnl_cpap_q</t>
  </si>
  <si>
    <t>If transaction_type='INFLOW' then F_TUP_DRAWDOWN_AMT else 0</t>
  </si>
  <si>
    <t>topup_offer_drawdown_inflow_cpap_q</t>
  </si>
  <si>
    <t>If transaction_type='OUTFLOW' then F_TUP_DRAWDOWN_AMT else 0</t>
  </si>
  <si>
    <t>topup_offer_drawdown_outflow_cpap_q</t>
  </si>
  <si>
    <t>topup_offer_drawdown_inflow_cpap_q - topup_offer_drawdown_outflow_cpap_q</t>
  </si>
  <si>
    <t>topup_offer_drawdown_net_pnl_cpap_q</t>
  </si>
  <si>
    <t>If transaction_type='INFLOW' then other_revenue_cpap_q else 0</t>
  </si>
  <si>
    <t>other_revenue_inflow_cpap_q</t>
  </si>
  <si>
    <t>If transaction_type='OUTFLOW' then other_revenue_cpap_q else 0</t>
  </si>
  <si>
    <t>other_revenue_outflow_cpap_q</t>
  </si>
  <si>
    <t>other_revenue_inflow_cpap_q - other_revenue_outflow_cpap_q</t>
  </si>
  <si>
    <t>other_revenue_net_pnl_cpap_q</t>
  </si>
  <si>
    <t>If transaction_type='INFLOW' then prepay_customer_revenue_cpap_q else 0</t>
  </si>
  <si>
    <t>prepay_customer_revenue_inflow_cpap_q</t>
  </si>
  <si>
    <t>If transaction_type='OUTFLOW' then prepay_customer_revenue_cpap_q else 0</t>
  </si>
  <si>
    <t>prepay_customer_revenue_outflow_cpap_q</t>
  </si>
  <si>
    <t>prepay_customer_revenue_inflow_cpap_q - prepay_customer_revenue_outflow_cpap_q</t>
  </si>
  <si>
    <t>prepay_customer_revenue_net_pnl_cpap_q</t>
  </si>
  <si>
    <t>If transaction_type='INFLOW' then F_TOPUP_NONCONTRIBUTORY_AMT*(-1) else 0</t>
  </si>
  <si>
    <t>non-contributory_credit_inflow_cpap_q</t>
  </si>
  <si>
    <t>If transaction_type='OUTFLOW' then F_TOPUP_NONCONTRIBUTORY_AMT*(-1) else 0</t>
  </si>
  <si>
    <t>non-contributory_credit_outflow_cpap_q</t>
  </si>
  <si>
    <t>non_contributary_credit_inflow_cpap_q - non_contributary_credit_outflow_cpap_q</t>
  </si>
  <si>
    <t>non_contributary_credit_net_pnl_cpap_q</t>
  </si>
  <si>
    <t>If transaction_type='INFLOW' then prepay_customer_revenue_c_cpap_q else 0</t>
  </si>
  <si>
    <t>prepay_customer_revenue_c_inflow_cpap_q</t>
  </si>
  <si>
    <t>If transaction_type='OUTFLOW' then prepay_customer_revenue_c_cpap_q else 0</t>
  </si>
  <si>
    <t>prepay_customer_revenue_c_outflow_cpap_q</t>
  </si>
  <si>
    <t>prepay_customer_revenue_c_inflow_cpap_q - prepay_customer_revenue_c_outflow_cpap_q</t>
  </si>
  <si>
    <t>prepay_customer_revenue_c_net_pnl_cpap_q</t>
  </si>
  <si>
    <t>If transaction_type='INFLOW' then F_INCOMING_REV else 0</t>
  </si>
  <si>
    <t>incoming_revenue_inflow_cpap_q</t>
  </si>
  <si>
    <t>If transaction_type='OUTFLOW' then F_INCOMING_REV else 0</t>
  </si>
  <si>
    <t>incoming_revenue_outflow_cpap_q</t>
  </si>
  <si>
    <t>incoming_revenue_inflow_cpap_q - incoming_revenue_outflow_cpap_q</t>
  </si>
  <si>
    <t>incoming_revenue_net_pnl_cpap_q</t>
  </si>
  <si>
    <t>If transaction_type='INFLOW' then prepay_service_revenue_cpap_q else 0</t>
  </si>
  <si>
    <t>prepay_service_revenue_inflow_cpap_q</t>
  </si>
  <si>
    <t>If transaction_type='OUTFLOW' then prepay_service_revenue_cpap_q else 0</t>
  </si>
  <si>
    <t>prepay_service_revenue_outflow_cpap_q</t>
  </si>
  <si>
    <t>prepay_service_inflow_cpap_q - prepay_service_outflow_cpap_q</t>
  </si>
  <si>
    <t>prepay_service_net_pnl_cpap_q</t>
  </si>
  <si>
    <t>If transaction_type='INFLOW' then F_IC_NTL_CST*(-1) else 0</t>
  </si>
  <si>
    <t>interconnect_national_cost_inflow_cpap_q</t>
  </si>
  <si>
    <t>If transaction_type='OUTFLOW' then F_IC_NTL_CST*(-1) else 0</t>
  </si>
  <si>
    <t>interconnect_national_cost_outflow_cpap_q</t>
  </si>
  <si>
    <t>interconnect_national_cost_inflow_cpap_q - interconnect_national_cost_outflow_cpap_q</t>
  </si>
  <si>
    <t>interconnect_national_cost_net_pnl_cpap_q</t>
  </si>
  <si>
    <t>If transaction_type='INFLOW' then F_IC_INTL_CST*(-1) else 0</t>
  </si>
  <si>
    <t>interconnect_international_cost_inflow_cpap_q</t>
  </si>
  <si>
    <t>If transaction_type='OUTFLOW' then F_IC_INTL_CST*(-1) else 0</t>
  </si>
  <si>
    <t>interconnect_international_cost_outflow_cpap_q</t>
  </si>
  <si>
    <t>interconnect_international_cost_inflow_cpap_q - interconnect_international_cost_outflow_cpap_q</t>
  </si>
  <si>
    <t>interconnect_international_cost_net_pnl_cpap_q</t>
  </si>
  <si>
    <t>If transaction_type='INFLOW' then F_ROAMING_VOICE_CST*(-1) else 0</t>
  </si>
  <si>
    <t>roaming_voice_cost_inflow_cpap_q</t>
  </si>
  <si>
    <t>If transaction_type='OUTFLOW' then F_ROAMING_VOICE_CST*(-1) else 0</t>
  </si>
  <si>
    <t>roaming_voice_cost_outflow_cpap_q</t>
  </si>
  <si>
    <t>roaming_voice_cost_inflow_cpap_q - roaming_voice_cost_outflow_cpap_q</t>
  </si>
  <si>
    <t>roaming_voice_cost_net_pnl_cpap_q</t>
  </si>
  <si>
    <t>If transaction_type='INFLOW' then F_ROAMING_DATA_CST*(-1) else 0</t>
  </si>
  <si>
    <t>roaming_data_cost_inflow_cpap_q</t>
  </si>
  <si>
    <t>If transaction_type='OUTFLOW' thenF_ROAMING_DATA_CST*(-1) else 0</t>
  </si>
  <si>
    <t>roaming_data_outflow_cpap_q</t>
  </si>
  <si>
    <t>roaming_data_cost_inflow_cpap_q - roaming_data_cost_outflow_cpap_q</t>
  </si>
  <si>
    <t>roaming_data_cost_net_pnl_cpap_q</t>
  </si>
  <si>
    <t>If transaction_type='INFLOW' then F_ROAMING_SMS_CST*(-1) else 0</t>
  </si>
  <si>
    <t>roaming_sms_cost_inflow_cpap_q</t>
  </si>
  <si>
    <t>If transaction_type='OUTFLOW' then F_ROAMING_SMS_CST*(-1) else 0</t>
  </si>
  <si>
    <t>roaming_sms_cost_outflow_cpap_q</t>
  </si>
  <si>
    <t>roaming_sms_cost_inflow_cpap_q - roaming_sms_cost_outflow_cpap_q</t>
  </si>
  <si>
    <t>roaming_sms_cost_net_pnl_cpap_q</t>
  </si>
  <si>
    <t>If transaction_type='INFLOW' then total_direct_cost_cpap_q else 0</t>
  </si>
  <si>
    <t>total_direct_cost_inflow_cpap_q</t>
  </si>
  <si>
    <t>If transaction_type='OUTFLOW' then total_direct_cost_cpap_q else 0</t>
  </si>
  <si>
    <t>total_direct_cost_outflow_cpap_q</t>
  </si>
  <si>
    <t>total_direct_cost_inflow_cpap_q - total_direct_cost_outflow_cpap_q</t>
  </si>
  <si>
    <t>total_direct_cost_net_pnl_cpap_q</t>
  </si>
  <si>
    <t>If transaction_type='INFLOW' then airtime_margin_cpap_q else 0</t>
  </si>
  <si>
    <t>airtime_margin_inflow_cpap_q</t>
  </si>
  <si>
    <t>If transaction_type='OUTFLOW' then airtime_margin_cpap_q else 0</t>
  </si>
  <si>
    <t>airtime_margin_outflow_cpap_q</t>
  </si>
  <si>
    <t>airtime_margin_inflow_cpap_q - airtime_margin_outflow_cpap_q</t>
  </si>
  <si>
    <t>airtime_margin_net_pnl_cpap_q</t>
  </si>
  <si>
    <t>If transaction_type='INFLOW' then subsidy_cpap_q else 0</t>
  </si>
  <si>
    <t>subsidy_inflow_cpap_q</t>
  </si>
  <si>
    <t>If transaction_type='OUTFLOW' then subsidy_cpap_q else 0</t>
  </si>
  <si>
    <t>subsidy_outflow_cpap_q</t>
  </si>
  <si>
    <t>subsidy_inflow_cpap_q - subsidy_outflow_cpap_q</t>
  </si>
  <si>
    <t>subsidy_net_pnl_cpap_q</t>
  </si>
  <si>
    <t>If transaction_type='INFLOW' then commision_cpap_q else 0</t>
  </si>
  <si>
    <t>commision_inflow_cpap_q</t>
  </si>
  <si>
    <t>If transaction_type='OUTFLOW' then commision_cpap_q else 0</t>
  </si>
  <si>
    <t>commision_outflow_cpap_q</t>
  </si>
  <si>
    <t>commision_inflow_cpap_q - commision_outflow_cpap_q</t>
  </si>
  <si>
    <t>commision_net_pnl_cpap_q</t>
  </si>
  <si>
    <t>If transaction_type='INFLOW' then total_indirect_cost_cpap_q else 0</t>
  </si>
  <si>
    <t>total_indirect_cost_inflow_cpap_q</t>
  </si>
  <si>
    <t>If transaction_type='OUTFLOW' then total_indirect_cost_cpap_q else 0</t>
  </si>
  <si>
    <t>total_indirect_cost_outflow_cpap_q</t>
  </si>
  <si>
    <t>total_indirect_cost_inflow_cpap_q - total_indirect_cost_outflow_cpap_q</t>
  </si>
  <si>
    <t>total_indirect_cost_net_pnl_cpap_q</t>
  </si>
  <si>
    <t>If transaction_type='INFLOW' then gross_margin_cpap_q else 0</t>
  </si>
  <si>
    <t>gross_margin_inflow_cpap_q</t>
  </si>
  <si>
    <t>If transaction_type='OUTFLOW' then gross_margin_cpap_q else 0</t>
  </si>
  <si>
    <t>gross_margin_outflow_cpap_q</t>
  </si>
  <si>
    <t>gross_margin_inflow_cpap_q - gross_margin_outflow_cpap_q</t>
  </si>
  <si>
    <t>gross_margin_net_pnl_cpap_q</t>
  </si>
  <si>
    <t>If transaction_type='INFLOW' then vodafone_retail_cost_cpap_q else 0</t>
  </si>
  <si>
    <t>vodafone_retail_cost_inflow_cpap_q</t>
  </si>
  <si>
    <t>If transaction_type='OUTFLOW' then vodafone_retail_cost_cpap_q else 0</t>
  </si>
  <si>
    <t>vodafone_retail_cost_outflow_cpap_q</t>
  </si>
  <si>
    <t>vodafone_retail_cost_inflow_cpap_q - vodafone_retail_cost_outflow_cpap_q</t>
  </si>
  <si>
    <t>vodafone_retail_cost_net_pnl_cpap_q</t>
  </si>
  <si>
    <t>If transaction_type='INFLOW' then cost_to_carry_cpap_q else 0</t>
  </si>
  <si>
    <t>cost_to_carry_inflow_cpap_q</t>
  </si>
  <si>
    <t>If transaction_type='OUTFLOW' then cost_to_carry_cpap_q else 0</t>
  </si>
  <si>
    <t>cost_to_carry_outflow_cpap_q</t>
  </si>
  <si>
    <t>cost_to_carry_inflow_cpap_q - cost_to_carry_outflow_cpap_q</t>
  </si>
  <si>
    <t>cost_to_carry_net_pnl_cpap_q</t>
  </si>
  <si>
    <t>If transaction_type='INFLOW' then cost_to_service_cpap_q else 0</t>
  </si>
  <si>
    <t>cost_to_service_inflow_cpap_q</t>
  </si>
  <si>
    <t>If transaction_type='OUTFLOW' then cost_to_service_cpap_q else 0</t>
  </si>
  <si>
    <t>cost_to_service_outflow_cpap_q</t>
  </si>
  <si>
    <t>cost_to_service_inflow_cpap_q - cost_to_service_outflow_cpap_q</t>
  </si>
  <si>
    <t>cost_to_service_net_pnl_cpap_q</t>
  </si>
  <si>
    <t>If transaction_type='INFLOW' then total_opex_cost_cpap_q else 0</t>
  </si>
  <si>
    <t>total_opex_cost_inflow_cpap_q</t>
  </si>
  <si>
    <t>If transaction_type='OUTFLOW' then total_opex_cost_cpap_q else 0</t>
  </si>
  <si>
    <t>total_opex_cost_outflow_cpap_q</t>
  </si>
  <si>
    <t>total_opex_cost_inflow_cpap_q - total_opex_cost_outflow_cpap_q</t>
  </si>
  <si>
    <t>total_opex_cost_net_pnl_cpap_q</t>
  </si>
  <si>
    <t>If transaction_type='INFLOW' then ebitda_cpap_q else 0</t>
  </si>
  <si>
    <t>ebitda_inflow_cpap_q</t>
  </si>
  <si>
    <t>If transaction_type='OUTFLOW' then ebitda_cpap_q else 0</t>
  </si>
  <si>
    <t>ebitda_outflow_cpap_q</t>
  </si>
  <si>
    <t>ebitda_inflow_cpap_q - ebitda_outflow_cpap_q</t>
  </si>
  <si>
    <t>ebitda_net_pnl_cpap_q</t>
  </si>
  <si>
    <t>If transaction_type='INFLOW' then top_up_contributory_amount_cpap_q else 0</t>
  </si>
  <si>
    <t>top_up_contributory_amount_inflow_cpap_q</t>
  </si>
  <si>
    <t>If transaction_type='OUTFLOW' then top_up_contributory_amount_cpap_q else 0</t>
  </si>
  <si>
    <t>top_up_contributory_amount_outflow_cpap_q</t>
  </si>
  <si>
    <t>top_up_contributary_amount_inflow_cpap_q - top_up_contributary_amount_outflow_cpap_q</t>
  </si>
  <si>
    <t>top_up_contributary_amount_net_pnl_cpap_q</t>
  </si>
  <si>
    <t>If transaction_type='INFLOW' then F_ONCEOFF_REV_AMT else 0</t>
  </si>
  <si>
    <t>pega_charges_inflow_cpap_q</t>
  </si>
  <si>
    <t>If transaction_type='OUTFLOW' then F_ONCEOFF_REV_AMT else 0</t>
  </si>
  <si>
    <t>pega_charges_outflow_cpap_q</t>
  </si>
  <si>
    <t>pega_charges_inflow_cpap_q - pega_charges_outflow_cpap_q</t>
  </si>
  <si>
    <t>pega_charges_net_pnl_cpap_q</t>
  </si>
  <si>
    <t>If transaction_type='INFLOW' then F_OPENING_BALANCE_AMT  else 0</t>
  </si>
  <si>
    <t>opening_balance_amount_inflow_cpap_q</t>
  </si>
  <si>
    <t>If transaction_type='OUTFLOW' then F_OPENING_BALANCE_AMT  else 0</t>
  </si>
  <si>
    <t>opening_balance_amount_outflow_cpap_q</t>
  </si>
  <si>
    <t>opening_balance_amount_inflow_cpap_q - opening_balance_amount_outflow_cpap_q</t>
  </si>
  <si>
    <t>opening_balance_amount_net_pnl_cpap_q</t>
  </si>
  <si>
    <t>If transaction_type='INFLOW' then F_CLOSING_BALANCE_AMT else 0</t>
  </si>
  <si>
    <t>closing_balance_amount_inflow_cpap_q</t>
  </si>
  <si>
    <t>If transaction_type='OUTFLOW' then F_CLOSING_BALANCE_AMT else 0</t>
  </si>
  <si>
    <t>closing_balance_amount_outflow_cpap_q</t>
  </si>
  <si>
    <t>closing_balance_amount_inflow_cpap_q - closing_balance_amount_outflow_cpap_q</t>
  </si>
  <si>
    <t>closing_balance_amount_net_pnl_cpap_q</t>
  </si>
  <si>
    <t>CPA_PREPAID_R_IR_CPA_PNL_DTLD_PP Left join Legacydata on [Price Plan] from LegacyData file and PRICEPLAN_DESC   from PNL Table.
Use Trim and Upper while joining</t>
  </si>
  <si>
    <t>Tenure</t>
  </si>
  <si>
    <t>tenure_cpap_q</t>
  </si>
  <si>
    <t>Top Up Mobile Prepay PnL</t>
  </si>
  <si>
    <t xml:space="preserve">if(PRICEPLAN_DESC='Smart' or 'RED 30 Day' then 12 else CONTRACT_TENURE)	</t>
  </si>
  <si>
    <t>tenure_disc_cpap_q</t>
  </si>
  <si>
    <t>Discovery</t>
  </si>
  <si>
    <t xml:space="preserve">F_USED_DATA/1024		</t>
  </si>
  <si>
    <t>national_data_cpap_q</t>
  </si>
  <si>
    <t>F_USED_DURATION/60</t>
  </si>
  <si>
    <t>national_voice_cpap_q</t>
  </si>
  <si>
    <t>F_USED_ROAMING_DATA/1024</t>
  </si>
  <si>
    <t>roaming_data_cpap_q</t>
  </si>
  <si>
    <t>F_USED_ROAMING_VOICE/60</t>
  </si>
  <si>
    <t>roaming_voice_cpap_q</t>
  </si>
  <si>
    <t>Analytics Base Table</t>
  </si>
  <si>
    <t>Step 1&gt; Perform union of CPA_MOBILE_R_IR_CPA_SUBS_AA, CPA_MOBILE_R_IR_CPA_EXPLAIN_AA and EXPLAIN_AA_AIRTIME and obtain distinct of DAT_MONTH_ID, CUS_CUSTOMER_CD and SUB_SUBSCRIPTION_CD for reporting month.
Step 2&gt; Perform RECURRENT_AA_AIRTIME left join XXXXXX based on DAT_MONTH_ID and SUB_SUBSCRIPTION_CD and obtain distinct of DAT_MONTH_ID, CUS_CUSTOMER_CD and SUB_SUBSCRIPTION_CD for reporting month.
Step 3&gt; Obtain distinct of DAT_MONTH_ID, CUS_CUSTOMER_CD and SUB_SUBSCRIPTION_CD from XXX for the reporting month for all the CUS_CUSTOMER_CD in CPA_MOBILE_R_IR_CPA_CUS_AA for reporting month.
Step 4&gt; Obtain distinct of DAT_MONTH_ID, CUS_CUSTOMER_CD and SUB_SUBSCRIPTION_CD from Step 1, 2 and 3 for the reporting month. Consider this as AA_Base table.</t>
  </si>
  <si>
    <t>CPA MOB</t>
  </si>
  <si>
    <t>CPA_MOBILE_R_IR_CPA_RECURRENT_AA_AIRTIME
AA_Base</t>
  </si>
  <si>
    <t>AA_Base left join CPA_MOBILE_R_IR_CPA_RECURRENT_AA_AIRTIME
based on DAT_MONTH_ID and  SUB_SUBSCRIPTION_CD and obtain source column</t>
  </si>
  <si>
    <t>AA_Base left join CPA_MOBILE_R_IR_CPA_CUS_AA based on DAT_MONTH_ID and  CUS_CUSTOMER_CD and obtain distinct value of source column and populate same as target column</t>
  </si>
  <si>
    <t>STG_REVENUE</t>
  </si>
  <si>
    <r>
      <rPr>
        <b/>
        <sz val="10"/>
        <color theme="1"/>
        <rFont val="Vodafone Rg"/>
        <family val="2"/>
      </rPr>
      <t>Step 1 :</t>
    </r>
    <r>
      <rPr>
        <sz val="10"/>
        <color theme="1"/>
        <rFont val="Vodafone Rg"/>
        <family val="2"/>
      </rPr>
      <t xml:space="preserve">
(
    select DAT_MONTH_ID,     case when upper(TRANSACTION_TYPE) = 'INFLOW'               then ACQUISITION_BRANCH_ID 
                  when upper(TRANSACTION_TYPE) in ('RETENTION', 'BASE') then UPGRADE_BRACH_ID 
             end as dealer
    ,        case when CUS_CONVERGENCE_TYPE_DESC = 'Mobile Only' and SUB_BILL_TYPE_EXT_CD = 'PRE'  then 'Mobile Pre'
                  when CUS_CONVERGENCE_TYPE_DESC = 'Mobile Only' and SUB_BILL_TYPE_EXT_CD = 'POST' then 'Mobile Post'
                  when CUS_CONVERGENCE_TYPE_DESC in ('Converged','Fixed Only')                     then 'Fixed Only'
                  else CUS_CONVERGENCE_TYPE_DESC
             end as convergence
    ,        count(SUB_SUBSCRIPTION_CD) as SUBS1
    from     stg_subscriber_cpa_union_usl
    where    upper(TRANSACTION_TYPE) in ('INFLOW','RETENTION') 
    group by 1,2,3    
)</t>
    </r>
  </si>
  <si>
    <t>FROM Above Query</t>
  </si>
  <si>
    <t>stg_revenue_usl</t>
  </si>
  <si>
    <t>Channel Profitabilty</t>
  </si>
  <si>
    <t>dealer</t>
  </si>
  <si>
    <t>convergence</t>
  </si>
  <si>
    <t>SUBS1</t>
  </si>
  <si>
    <t>subs1</t>
  </si>
  <si>
    <t>STG_DEALER_OPEX</t>
  </si>
  <si>
    <r>
      <rPr>
        <b/>
        <sz val="10"/>
        <color theme="1"/>
        <rFont val="Vodafone Rg"/>
        <family val="2"/>
      </rPr>
      <t>Step 1 :</t>
    </r>
    <r>
      <rPr>
        <sz val="10"/>
        <color theme="1"/>
        <rFont val="Vodafone Rg"/>
        <family val="2"/>
      </rPr>
      <t xml:space="preserve">
(
    select     db.*
    ,          ro.*
    from       vf-ie-mc2-nonlive.vfie_mc2_nonlive_ie_lake_mc2_presentation_processed_s.retail_opex_rc  ro
    inner join vf-ie-mc2-nonlive.vfie_mc2_nonlive_ie_lake_mc2_presentation_processed_s.dealer_branch_rc  db 
	on (cast(ro.store_id as string) = db.DLR_BRANCH_ORPOS_CD)
)</t>
    </r>
  </si>
  <si>
    <t>dlr_branch_id</t>
  </si>
  <si>
    <t>stg_dealer_opex_usl</t>
  </si>
  <si>
    <t>dlr_branch_orpos_cd</t>
  </si>
  <si>
    <t>dlr_branch_name</t>
  </si>
  <si>
    <t>adr_postal_address_line_1</t>
  </si>
  <si>
    <t>adr_postal_address_line_2</t>
  </si>
  <si>
    <t>adr_postal_address_line_3</t>
  </si>
  <si>
    <t>adr_postal_address_line_4</t>
  </si>
  <si>
    <t>adr_postal_town</t>
  </si>
  <si>
    <t>store_name</t>
  </si>
  <si>
    <t>dealer_id</t>
  </si>
  <si>
    <t>store_id</t>
  </si>
  <si>
    <t>property</t>
  </si>
  <si>
    <t>contract_number</t>
  </si>
  <si>
    <t>monthly_charge</t>
  </si>
  <si>
    <t>payroll</t>
  </si>
  <si>
    <t>other_overheads</t>
  </si>
  <si>
    <t>electricity_and_maintenance</t>
  </si>
  <si>
    <t>monthly_charge_fixed</t>
  </si>
  <si>
    <t>monthly_charge_postpay</t>
  </si>
  <si>
    <t>monthly_charge_prepay</t>
  </si>
  <si>
    <t>payroll_fixed</t>
  </si>
  <si>
    <t>payroll_postpay</t>
  </si>
  <si>
    <t>payroll_prepay</t>
  </si>
  <si>
    <t>other_fixed</t>
  </si>
  <si>
    <t>other_postpay</t>
  </si>
  <si>
    <t>other_prepay</t>
  </si>
  <si>
    <t>STG_DEALER_OPEX_REVENUE</t>
  </si>
  <si>
    <r>
      <rPr>
        <b/>
        <sz val="10"/>
        <color theme="1"/>
        <rFont val="Vodafone Rg"/>
        <family val="2"/>
      </rPr>
      <t>Step 1 :</t>
    </r>
    <r>
      <rPr>
        <sz val="10"/>
        <color theme="1"/>
        <rFont val="Vodafone Rg"/>
        <family val="2"/>
      </rPr>
      <t xml:space="preserve">
(
  select    chg.*
  ,         rev.* 
  from      stg_dealer_opex_usl as chg
  left join stg_revenue_usl as rev on (rev.dealer = cast(chg.dlr_branch_id as string))
)</t>
    </r>
  </si>
  <si>
    <t xml:space="preserve">All columns </t>
  </si>
  <si>
    <t>Keep source data type</t>
  </si>
  <si>
    <t>stg_dealer_opex_revenue_usl</t>
  </si>
  <si>
    <t xml:space="preserve">all columns </t>
  </si>
  <si>
    <t>stg_cltv_aa_usl</t>
  </si>
  <si>
    <r>
      <rPr>
        <b/>
        <sz val="10"/>
        <color theme="1"/>
        <rFont val="Vodafone Rg"/>
        <family val="2"/>
      </rPr>
      <t>Step 1</t>
    </r>
    <r>
      <rPr>
        <sz val="10"/>
        <color theme="1"/>
        <rFont val="Vodafone Rg"/>
        <family val="2"/>
      </rPr>
      <t xml:space="preserve">
(select  REPORTING_MONTH_CD, CHNL_LEVEL_3, TRANSACTION_TYPE, SUB_BUNDLE_TYPE_DESC, CUS_CUSTOMER_SUB_TYPE_DESC, SUB_BILL_TYPE_EXT_CD, avg(CLT) as INFLOW_CLT,avg(CLTV) as INFLOW_CLTV,avg(ARPU) as ARPU,avg(CLTV_TOTAL) as CLTV_TOTAL,avg(TOTAL) as TOTAL from `vf-ie-mc2-nonlive.vfie_mc2_nonlive_ie_lake_mc2_presentation_processed_s.CPA_IE_CLTV_AA` group by 1,2,3,4,5,6)</t>
    </r>
  </si>
  <si>
    <t>REPORTING_MONTH_CD</t>
  </si>
  <si>
    <t>Channel Profitabilty/CPA Mobile</t>
  </si>
  <si>
    <t>cus_customer_sub_type_desc</t>
  </si>
  <si>
    <t>INFLOW_CLT</t>
  </si>
  <si>
    <t>inflow_clt</t>
  </si>
  <si>
    <t>INFLOW_CLTV</t>
  </si>
  <si>
    <t>inflow_cltv</t>
  </si>
  <si>
    <t>ARPU</t>
  </si>
  <si>
    <t>arpu</t>
  </si>
  <si>
    <t>CLTV_TOTAL</t>
  </si>
  <si>
    <t>inflow_cltv_total</t>
  </si>
  <si>
    <t>TOTAL</t>
  </si>
  <si>
    <t>total</t>
  </si>
  <si>
    <t>stg_chnl_store_prof_usl</t>
  </si>
  <si>
    <t xml:space="preserve">f_subscriber_base_semantic_m_usl T
LEFT JOIN
stg_subscriber_cpa_union_usl T1
ON f.SUB_SUBSCRIPTION_CD = T1.SUB_SUBSCRIPTION_CD
AND T.CUS_CUSTOMER_CD= T1.CUS_CUSTOMER_CD
AND T.rpt_dt = T1.REPORTING_DATE
AND T.sub_bill_type_ext_cd=T1.sub_bill_type_ext_cd
</t>
  </si>
  <si>
    <t>T.rpt_dt</t>
  </si>
  <si>
    <t>T.sub_bill_type_ext_cd</t>
  </si>
  <si>
    <t>f_subscriber_base_semantic_m_usl f
LEFT JOIN vf-ie-mc2-nonlive.vfie_mc2_nonlive_ie_lake_mc2_presentation_processed_s.dealer_branch_RC db
on (if(f.transaction_type = 'INFLOW'    and upper(f.chnl_level_2) not in ('VIS OUTBOUND', 'VSSI', 'VIS CARE', 'VF ONLINE SALES'), f.acquisition_branch_id
    ,if(f.transaction_type = 'RETENTION' and upper(f.chnl_level_2) not in ('VIS OUTBOUND', 'VSSI', 'VIS CARE', 'VF ONLINE SALES'), f.upgrade_brach_id, '-1')) = cast(db.dlr_branch_id as string))
LEFT JOIN vf-ie-mc2-nonlive.vfie_mc2_nonlive_ie_lake_mc2_presentation_processed_s.Legacy_data_RC ld
on (upper(f.priceplan_desc) = upper(ld.price_plan))
LEFT JOIN
stg_subscriber_cpa_union_usl T1
ON f.SUB_SUBSCRIPTION_CD = T1.SUB_SUBSCRIPTION_CD
AND T.CUS_CUSTOMER_CD= T1.CUS_CUSTOMER_CD
AND T.rpt_dt = T1.REPORTING_DATE
AND f.sub_bill_type_ext_cd=T1.sub_bill_type_ext_cd</t>
  </si>
  <si>
    <t>,case when T1.CHNL_LEVEL_2 in ('VIS Care','VIS Outbound','VSSI','VF Online Sales') then 'ZZFilteredByChannel'
when cast(db.dlr_branch_id as string) = '-1' then 'Unknown'
when length(coalesce(db.STORE_NAME,'')) = 0 then 'ZZFilteredByLength'
else db.STORE_NAME
end as STORE_NAME</t>
  </si>
  <si>
    <t>STORE_NAME</t>
  </si>
  <si>
    <t xml:space="preserve">f_subscriber_base_semantic_m_usl f
LEFT JOIN vf-ie-mc2-nonlive.vfie_mc2_nonlive_ie_lake_mc2_presentation_processed_s.dealer_branch_RC db
on (if(f.transaction_type = 'INFLOW'    and upper(f.chnl_level_2) not in ('VIS OUTBOUND', 'VSSI', 'VIS CARE', 'VF ONLINE SALES'), f.acquisition_branch_id
    ,if(f.transaction_type = 'RETENTION' and upper(f.chnl_level_2) not in ('VIS OUTBOUND', 'VSSI', 'VIS CARE', 'VF ONLINE SALES'), f.upgrade_brach_id, '-1')) = cast(db.dlr_branch_id as string))
LEFT JOIN vf-ie-mc2-nonlive.vfie_mc2_nonlive_ie_lake_mc2_presentation_processed_s.Legacy_data_RC ld
on (upper(f.priceplan_desc) = upper(ld.price_plan))
</t>
  </si>
  <si>
    <t>ld.Tenure</t>
  </si>
  <si>
    <t>TENURE</t>
  </si>
  <si>
    <t>ld.Est_Tenure</t>
  </si>
  <si>
    <t>EST_TENURE</t>
  </si>
  <si>
    <t>f_subscriber_base_semantic_m_usl T
LEFT JOIN
stg_subscriber_cpa_union_usl T1
ON f.SUB_SUBSCRIPTION_CD = T1.SUB_SUBSCRIPTION_CD
AND T.CUS_CUSTOMER_CD= T1.CUS_CUSTOMER_CD
AND T.rpt_dt = T1.REPORTING_DATE
AND T.sub_bill_type_ext_cd=T1.sub_bill_type_ext_cd</t>
  </si>
  <si>
    <t>T1.F_ADDL_SERVICE_REV</t>
  </si>
  <si>
    <t>Present in Fact, no need to bring again</t>
  </si>
  <si>
    <t>T1.F_DISCOUNT_CST</t>
  </si>
  <si>
    <t>T1.F_IN_BUNDEL_REV</t>
  </si>
  <si>
    <t>T1.F_OUTBUNDLE_REV</t>
  </si>
  <si>
    <t>T1.F_VAS_REV</t>
  </si>
  <si>
    <t>T1.F_INCOMING_REV</t>
  </si>
  <si>
    <t>T1.CHNL_LEVEL_2</t>
  </si>
  <si>
    <t xml:space="preserve"> if(T1.CHNL_LEVEL_2 in ('VIS Care','VIS Outbound','VSSI','VF Online Sales'), 6.0 * -1, 0.0)</t>
  </si>
  <si>
    <t>LOG_DEBT_SALE_CST</t>
  </si>
  <si>
    <t>T1.F_USED_DATA</t>
  </si>
  <si>
    <t>(((T1.F_USED_DATA / 1024) * 0.35) * -1) as F_USED_DATA_CALC</t>
  </si>
  <si>
    <t>F_USED_DATA_CALC</t>
  </si>
  <si>
    <t>T1.f.F_DURATIO_SUM</t>
  </si>
  <si>
    <t>T1.F_DURATIO_SUM</t>
  </si>
  <si>
    <t>(((T1.F_DURATIO_SUM / 60) * 8.5) * -1) as F_DURATIO_SUM_CALC</t>
  </si>
  <si>
    <t>F_DURATIO_SUM_CALC</t>
  </si>
  <si>
    <r>
      <t xml:space="preserve">STEP 1 :
For each customer obtain F_TRANSACTION_NET_AMT for reporting month from  
(CPA_MOBILE_IR_CPA_BAD_DEBT , CPA_FIXEDLINE_R_IR_CPA_BAD_DEBT_FL , CPA_PREPAID_R_IR_CPA_BAD_DEBT_PP)
based on Query given in IE_F_CUSTOMER_BASE_SEMANTIC_M_STM_USL Transformation layer Stage 1 sheet.
</t>
    </r>
    <r>
      <rPr>
        <b/>
        <sz val="10"/>
        <rFont val="Vodafone Rg"/>
        <family val="2"/>
      </rPr>
      <t>Due to data inconsistency in source table there might get duplicate customer for same month, this needs to be fixed using the Example 3 mentioned in Examples sheet of IE_F_CUSTOMER_BASE_SEMANTIC_M_STM_USL.</t>
    </r>
    <r>
      <rPr>
        <sz val="10"/>
        <rFont val="Vodafone Rg"/>
        <family val="2"/>
      </rPr>
      <t xml:space="preserve">
WITH CPA_BAD_DEBT
 AS
(SELECT * FROM CPA_MOBILE_IR_CPA_BAD_DEBT
UNION
SELECT * EXCEPT(SUB_BUNDLE_TYPE_DESC) FROM CPA_FIXEDLINE_R_IR_CPA_BAD_DEBT_FL
UNION 
SELECT * FROM CPA_PREPAID_R_IR_CPA_BAD_DEBT_PP)
 select distinct t1.* from t as t1
left join t as t2 on t1.dat_month_id=t2.dat_month_id and t1.cus_customer_cd=t2.cus_customer_cd and  t2.CUS_CONVERGENCE_TYPE_DESC is not null
where case when  t2.CUS_CONVERGENCE_TYPE_DESC is not null and  t1.CUS_CONVERGENCE_TYPE_DESC is  null then 0 else 1 end=1"
Step 2 :  f_subscriber_base_semantic_m_usl left join step1 based on reporting_month and cus_customer_cd
Step 3 : Then obtain no of subscribers (count(sub_subscription_cd)) per cus_customer_cd from f_subscriber_base_semantic_m_usl
Step 4 :  Populate F_BAD_DEBT column as step 2/Step 3
 </t>
    </r>
  </si>
  <si>
    <t>T1.F_BAD_DEBT</t>
  </si>
  <si>
    <t>(T1.F_BAD_DEBT          * -1) as F_BAD_DEBT</t>
  </si>
  <si>
    <t>F_BAD_DEBT</t>
  </si>
  <si>
    <t>T1.F_IC_INTL_CST</t>
  </si>
  <si>
    <t>(T1.F_IC_INTL_CST       * -1) as F_IC_INTL_CST</t>
  </si>
  <si>
    <t>T1.F_IC_NTL_CST</t>
  </si>
  <si>
    <t>(T1.F_IC_NTL_CST        * -1) as F_IC_NTL_CST</t>
  </si>
  <si>
    <t>T1.F_ROAMING_DATA_CST</t>
  </si>
  <si>
    <t>(T1.F_ROAMING_DATA_CST  * -1) as F_ROAMING_DATA_CST</t>
  </si>
  <si>
    <t>T1.F_ROAMING_SMS_CST</t>
  </si>
  <si>
    <t>(T1.F_ROAMING_SMS_CST   * -1) as F_ROAMING_SMS_CST</t>
  </si>
  <si>
    <t>T1.F_ROAMING_VOICE_CST</t>
  </si>
  <si>
    <t>(T1.F_ROAMING_VOICE_CST * -1) as F_ROAMING_VOICE_CST</t>
  </si>
  <si>
    <t>T1.F_NET_CREDIT_AMT</t>
  </si>
  <si>
    <t>(T1.F_NET_CREDIT_AMT    * -1) as F_NET_CREDIT_AMT</t>
  </si>
  <si>
    <t>F_NET_CREDIT_AMT</t>
  </si>
  <si>
    <t>T1.F_INSURANCE_REV</t>
  </si>
  <si>
    <t>(T1.F_INSURANCE_REV     * -1) as F_INSURANCE_REV</t>
  </si>
  <si>
    <t xml:space="preserve"> case when T1.DAT_MONTH_ID     &gt;= parse_date('%Y-%m-%d','2020-04-01')
                 then (T1.F_INSURANCE_REV  * 0.69 * -1)
                 else (T1.F_INSURANCE_REV  * 0.91 * -1)
            end as F_INSURANCE_CST</t>
  </si>
  <si>
    <t>T1.F_CONTENT_REV</t>
  </si>
  <si>
    <t xml:space="preserve">((T1.F_CONTENT_REV *0.4 ) - 1) </t>
  </si>
  <si>
    <t>F_CONTENT_CST_Q</t>
  </si>
  <si>
    <t>STG_subscriber_ibro_prof_report_semantic_AM</t>
  </si>
  <si>
    <t>RPT_DT</t>
  </si>
  <si>
    <t>stg_subscriber_ibro_prof_report_semantic_am_usl</t>
  </si>
  <si>
    <t>rpt_month</t>
  </si>
  <si>
    <t>ALL</t>
  </si>
  <si>
    <t>"AM"</t>
  </si>
  <si>
    <t>rpt_type</t>
  </si>
  <si>
    <t>REPORTING TYPE</t>
  </si>
  <si>
    <t>DW_CUST_ID</t>
  </si>
  <si>
    <t>DW_UNIQ_CUST_ID</t>
  </si>
  <si>
    <t>DW_UNIQUE_CUSTOMER_ID</t>
  </si>
  <si>
    <t>DW_SUBS_ID</t>
  </si>
  <si>
    <t>DW_UNIQ_SUBS_ID</t>
  </si>
  <si>
    <t>DW UNIQUE SUBSCRIBER ID</t>
  </si>
  <si>
    <t>FK of dimesion tables</t>
  </si>
  <si>
    <t>f_subscriber_base_semantic_m_usl T
LEFT JOIN
stg_subscriber_cpa_union_usl T1
ON T.SUB_SUBSCRIPTION_CD = T1.SUB_SUBSCRIPTION_CD
AND T.CUS_CUSTOMER_CD= T1.CUS_CUSTOMER_CD
AND T.RPT_MONTH = T1.REPORTING_DATE
and T.sub_bill_type_ext_cd=T1.sub_bill_type_ext_cd</t>
  </si>
  <si>
    <t>Channel Profitabilty/ALL CPA's</t>
  </si>
  <si>
    <t>T1.F_AMORT_COMMISSION_CST</t>
  </si>
  <si>
    <t>f_amort_commission_cst</t>
  </si>
  <si>
    <t xml:space="preserve">CHNL_LEVEL_2,
PRICEPLAN_DESC
</t>
  </si>
  <si>
    <t>IF(T1.CHNL_LEVEL_2 NOT IN ('Billing QA','VF Retail','VIS Outbound','VF Online Sales'), IF(T1.PRICEPLAN_DESC='RED 30 Day',F_COMMISSION_CST, IF(UPPER(T1.TRANSACTION_TYPE) IN ('INFLOW','RETENTION') AND T1.SIMO_DEVICE_IND='S', T1.F_COMMISSION_CST/12, IF(UPPER(T1.TRANSACTION_TYPE) IN ('INFLOW','RETENTION') AND T1.SIMO_DEVICE_IND='D', T1.F_COMMISSION_CST/24, IF(UPPER(T1.TRANSACTION_TYPE)='BASE',T1.F_AMORT_COMMISSION_CST,T1.F_COMMISSION_CST/24)))),0) AS T1.F_AMORT_COMMISSION_CST_CALC</t>
  </si>
  <si>
    <t>f_amort_commission_cst_calc</t>
  </si>
  <si>
    <t>ALL CPA's</t>
  </si>
  <si>
    <t>F_AMORT_INSTALLATION_AMT</t>
  </si>
  <si>
    <t>f_amort_installation_amt</t>
  </si>
  <si>
    <t>f_amort_subsidy</t>
  </si>
  <si>
    <t>F_SUBSIDY,
F_AMORT_SUBSIDY,
TRANSACTION_TYPE</t>
  </si>
  <si>
    <t>IF(UPPER(T1.TRANSACTION_TYPE) IN ('INFLOW','RETENTION'),T1.F_SUBSIDY/24,T1.F_AMORT_SUBSIDY) AS F_AMORT_SUBSIDY_CALC</t>
  </si>
  <si>
    <t>f_amort_subsidy_calc</t>
  </si>
  <si>
    <t>f_subscriber_base_semantic_m_usl T
LEFT JOIN
stg_subscriber_cpa_union_usl T1
ON T.SUB_SUBSCRIPTION_CD = T1.SUB_SUBSCRIPTION_CD
AND T.CUS_CUSTOMER_CD= T1.CUS_CUSTOMER_CD
AND T.RPT_MONTH = T1.REPORTING_DATE
AND T.sub_bill_type_ext_cd=T1.sub_bill_type_ext_cd
LEFT JOIN 
stg_chnl_store_prof_usl T2
ON T1.SUB_SUBSCRIPTION_CD = T2.SUB_SUBSCRIPTION_CD
AND T1.CUS_CUSTOMER_CD= T2.CUS_CUSTOMER_CD
AND T1.RPT_MONTH = T2.DAT_MONTH_ID
AND  T1.sub_bill_type_ext_cd=T2.sub_bill_type_ext_cd</t>
  </si>
  <si>
    <t>T2.F_BAD_DEBT</t>
  </si>
  <si>
    <t>f_bad_debt</t>
  </si>
  <si>
    <t>F_CLOSING_BALANCE_AMT</t>
  </si>
  <si>
    <t>f_closing_balance_amt</t>
  </si>
  <si>
    <t>f_commission_cst</t>
  </si>
  <si>
    <t>f_content_cst</t>
  </si>
  <si>
    <t>F_CONTENT_CST,
F_CONTENT_REV</t>
  </si>
  <si>
    <t>CASE WHEN T1.F_CONTENT_CST &lt;&gt; 0 THEN T1.F_CONTENT_CST ELSE (T1.F_CONTENT_REV*0.4)*-1 END AS F_CONTENT_CST_CALC</t>
  </si>
  <si>
    <t>f_content_cst_calc</t>
  </si>
  <si>
    <t>f_content_rev</t>
  </si>
  <si>
    <t>F_DEVICE_REV</t>
  </si>
  <si>
    <t>f_device_rev</t>
  </si>
  <si>
    <t>f_discount_cst</t>
  </si>
  <si>
    <t>f_duratio_sum</t>
  </si>
  <si>
    <t>F_GROSS_CREDIT_AMT</t>
  </si>
  <si>
    <t>f_ic_intl_cst</t>
  </si>
  <si>
    <t>f_ic_ntl_cst</t>
  </si>
  <si>
    <t>f_in_bundel_rev</t>
  </si>
  <si>
    <t>F_IN_BUNDEL_REV,
F_INSURANCE_REV,
F_DISCOUNT_CST</t>
  </si>
  <si>
    <t>CASE WHEN ABS(T1.F_IN_BUNDEL_REV) &gt; 0 THEN T1.F_IN_BUNDEL_REV ELSE (T1.F_INSURANCE_REV*-1) + (T1.F_DISCOUNT_CST*-1) END AS F_IN_BUNDEL_REV_CALC</t>
  </si>
  <si>
    <t>f_in_bundel_rev_calc</t>
  </si>
  <si>
    <t>f_incoming_rev</t>
  </si>
  <si>
    <t>F_INF_CHRG_IND</t>
  </si>
  <si>
    <t>f_inf_chrg_ind</t>
  </si>
  <si>
    <t>F_INSTALLATION_CST</t>
  </si>
  <si>
    <t>f_installation_cst</t>
  </si>
  <si>
    <t>f_insurance_rev</t>
  </si>
  <si>
    <t>F_INSURANCE_REV,
DAT_MONTH_ID</t>
  </si>
  <si>
    <r>
      <t>CASE</t>
    </r>
    <r>
      <rPr>
        <sz val="10"/>
        <rFont val="Roboto Mono"/>
        <family val="3"/>
      </rPr>
      <t xml:space="preserve"> WHEN DAT_MONTH_ID &gt;= PARSE_DATE('%Y%m%d','20210401') THEN (F_INSURANCE_REV*0.69)*-1 ELSE (F_INSURANCE_REV*0.91)*-1 END AS F_INSURANCE_REV_CALC</t>
    </r>
  </si>
  <si>
    <t>f_insurance_rev_calc</t>
  </si>
  <si>
    <t>F_MMS_COST</t>
  </si>
  <si>
    <t>f_mms_cost</t>
  </si>
  <si>
    <t>F_MMS_REV</t>
  </si>
  <si>
    <t>f_mms_rev</t>
  </si>
  <si>
    <t>F_NUM_DAYS_ROAMING</t>
  </si>
  <si>
    <t>f_num_days_roaming</t>
  </si>
  <si>
    <t>f_onceoff_rev_amt</t>
  </si>
  <si>
    <t>F_ONE_OFF_DISC</t>
  </si>
  <si>
    <t>f_one_off_disc</t>
  </si>
  <si>
    <t>F_OPENING_BALANCE_AMT</t>
  </si>
  <si>
    <t>f_opening_balance_amt</t>
  </si>
  <si>
    <t>f_outbundle_rev</t>
  </si>
  <si>
    <t>F_OUTBUNDLE_REV,
F_CONTENT_REV,
F_VAS_REV</t>
  </si>
  <si>
    <r>
      <t>CASE</t>
    </r>
    <r>
      <rPr>
        <sz val="10"/>
        <rFont val="Roboto Mono"/>
        <family val="3"/>
      </rPr>
      <t xml:space="preserve"> WHEN ABS(F_OUTBUNDLE_REV) &gt; 0 THEN F_OUTBUNDLE_REV ELSE (F_CONTENT_REV) + (F_VAS_REV) END AS F_OUTBUNDLE_REV_CALC</t>
    </r>
  </si>
  <si>
    <t>f_outbundle_rev_calc</t>
  </si>
  <si>
    <t>f_outstanding_amt</t>
  </si>
  <si>
    <t>F_PREPAID_TO_POSTPAID_MIGRATE</t>
  </si>
  <si>
    <t>f_prepaid_to_postpaid_migrate</t>
  </si>
  <si>
    <t>F_RECUR_DISC</t>
  </si>
  <si>
    <t>f_recur_disc</t>
  </si>
  <si>
    <t>f_roaming_data_cst</t>
  </si>
  <si>
    <t>f_roaming_sms_cst</t>
  </si>
  <si>
    <t>f_roaming_voice_cst</t>
  </si>
  <si>
    <t>f_subsidy</t>
  </si>
  <si>
    <t>F_TOPUP_CONTRIBUTORY_AMT</t>
  </si>
  <si>
    <t>f_topup_contributory_amt</t>
  </si>
  <si>
    <t>F_TOPUP_NONCONTRIBUTORY_AMT</t>
  </si>
  <si>
    <t>f_topup_noncontributory_amt</t>
  </si>
  <si>
    <t>F_TUP_DEFERRED_AMT</t>
  </si>
  <si>
    <t>f_tup_deferred_amt</t>
  </si>
  <si>
    <t>F_TUP_DRAWDOWN_AMT</t>
  </si>
  <si>
    <t>f_tup_drawdown_amt</t>
  </si>
  <si>
    <t>F_TUP_RECOGNISED_AMT</t>
  </si>
  <si>
    <t>f_tup_recognised_amt</t>
  </si>
  <si>
    <t>f_used_data</t>
  </si>
  <si>
    <t>F_USED_DURATION</t>
  </si>
  <si>
    <t>f_used_duration</t>
  </si>
  <si>
    <t>F_USED_ROAMING_DATA</t>
  </si>
  <si>
    <t>f_used_roaming_data</t>
  </si>
  <si>
    <t>F_USED_ROAMING_SMS</t>
  </si>
  <si>
    <t>f_used_roaming_sms</t>
  </si>
  <si>
    <t>F_USED_ROAMING_VOICE</t>
  </si>
  <si>
    <t>f_used_roaming_voice</t>
  </si>
  <si>
    <t>F_USED_SMS</t>
  </si>
  <si>
    <t>f_used_sms</t>
  </si>
  <si>
    <t>f_vas_rev</t>
  </si>
  <si>
    <t>F_WLR_CST</t>
  </si>
  <si>
    <t>f_wlr_cst</t>
  </si>
  <si>
    <t>T1.LU_SERVICE_MATRIX_GROUP_ID</t>
  </si>
  <si>
    <t>lu_service_matrix_group_id</t>
  </si>
  <si>
    <t xml:space="preserve">f_subscriber_base_semantic_m_usl T
LEFT JOIN
stg_subscriber_cpa_union_usl T1
ON T.SUB_SUBSCRIPTION_CD = T1.SUB_SUBSCRIPTION_CD
AND T.CUS_CUSTOMER_CD= T1.CUS_CUSTOMER_CD
AND T.RPT_MONTH = T1.REPORTING_DATE
and T.sub_bill_type_ext_cd=T1.sub_bill_type_ext_cd
Left JOIN (
  select
        Price_Plan,
        ifnull (Charge_in_Euro, 0) as Charge_in_Euro     --please handle the null or blank values using a proper function
  from CPA_priceplan_rates) BB     
on UPPER (TRIM (T1.PRICEPLAN_DESC)) = UPPER (TRIM (BB.Price_Plan))	</t>
  </si>
  <si>
    <t xml:space="preserve">PRICEPLAN_DESC,
PRICE_PLAN,
Charge_in_Euro,
</t>
  </si>
  <si>
    <t>case
            when (UPPER (TRIM (T1.PRICEPLAN_DESC)) = UPPER (TRIM (BB.PRICE_PLAN))) and BB.Charge_in_Euro &lt;&gt; 0
                  then concat ('€ ', BB.Charge_in_Euro, ' - ', T1.PRICEPLAN_DESC) 
            when BB.PRICE_PLAN is null or BB.Charge_in_Euro = 0
                  then T1.PRICEPLAN_DESC
            else T1.PRICEPLAN_DESC
      end</t>
  </si>
  <si>
    <t>priceplan_rate</t>
  </si>
  <si>
    <t>T.PRICEPLAN_DESC_PREV</t>
  </si>
  <si>
    <t>priceplan_desc_before</t>
  </si>
  <si>
    <t>f_subscriber_base_semantic_m_usl T
LEFT JOIN
stg_subscriber_cpa_union_usl T1
ON T.SUB_SUBSCRIPTION_CD = T1.SUB_SUBSCRIPTION_CD
AND T.CUS_CUSTOMER_CD= T1.CUS_CUSTOMER_CD
AND T.RPT_MONTH = T1.REPORTING_DATE
and T.sub_bill_type_ext_cd=T1.sub_bill_type_ext_cd
LEFT JOIN
    `vf-ie-mc2-nonlive.vfie_mc2_nonlive_ie_lake_mc2_presentation_processed_s.IC_D_PRODUCT_CATALOGUE_IE` pd
  ON
    UPPER(T1.PRICEPLAN_DESC)=UPPER(pd.PRICEPLAN_DESC)</t>
  </si>
  <si>
    <t>F_IN_BUNDEL_REV
CHARGE_EXCLUD_VAT</t>
  </si>
  <si>
    <t xml:space="preserve">WHEN T1.CPA_SOURCE= 'MOBILE POST'  THEN
Join with D_PRODUCT_CATALOGUE_IE based on PRICEPLAN_DESC and  populate CHARGE_EXCLUD_VAT	. If value obtained is NULL then populate 35
WHEN T1.CPA_SOURCE= 'FIXED' THEN
Join with D_PRODUCT_CATALOGUE_IE based on PRICEPLAN_DESC and  populate CHARGE_EXCLUD_VAT	. If value obtained is NULL then populate 38
WHEN T1.CPA_SOURCE= 'MOBILE PRE' THEN
F_TUP_DRAWDOWN_AMT + (F_OPENING_BALANCE_AMT+ F_TOPUP_CONTRIBUTORY_AMT + (F_OB_NTL_VOICE_REV + F_OB_INTL_VOICE_REV + F_OB_DATA_REV + F_OB_NTL_SMS_REV + F_OB_INTL_SMS_REV)*-1 +
(F_TUP_DRAWDOWN_AMT*-1) +
F_TOPUP_NONCONTRIBUTORY_AMT + (F_CLOSING_BALANCE_AMT*-1)  ). if the obtained value is null then populate 16
</t>
  </si>
  <si>
    <t>inbundle_revenue</t>
  </si>
  <si>
    <t>f_subscriber_base_semantic_m_usl T
LEFT JOIN
stg_subscriber_cpa_union_usl T1
ON T.SUB_SUBSCRIPTION_CD = T1.SUB_SUBSCRIPTION_CD
AND T.CUS_CUSTOMER_CD= T1.CUS_CUSTOMER_CD
AND T.RPT_MONTH = T1.REPORTING_DATE
and T.sub_bill_type_ext_cd=T1.sub_bill_type_ext_cd
LEFT JOIN F_KPI_ENGINE_EST_TGT_IE
ON convert it to date format (REPORTING_MONTH_CD),SUB_SUBSCRIPTION_CD
LEFT JOIN F_KPI_ENGINE_EST_TGT_IE_FL
ON convert it to date format (REPORTING_MONTH_CD),SUB_SUBSCRIPTION_CD
LEFT JOIN F_KPI_ENGINE_EST_TGT_IE_PP
ON convert it to date format (REPORTING_MONTH_CD),SUB_SUBSCRIPTION_CD</t>
  </si>
  <si>
    <t>F_OUTBUNDLE_REV,F_CONTENT_REV , F_VAS_REV,F_OB_NTL_VOICE_REV , F_OB_INTL_VOICE_REV , F_OB_DATA_REV , F_OB_NTL_SMS_REV , F_OB_INTL_SMS_REV</t>
  </si>
  <si>
    <t>"WHEN T1.CPA_SOURCE= 'MOBILE POST'  THEN
(join   F_KPI_ENGINE_EST_TGT_IE table with DAT_MONT_ID, CUS_CUSTOMER_ID,SUB_SUBSCRIPTION_CD and pull EST_AFTER_OUTBUNDLE_REVENUE)+T1.F_VAS_REV+ T1.F_CONTENT_REV
UNION  
WHEN T1.CPA_SOURCE= 'FIXED' THEN
F_KPI_ENGINE_EST_TGT_IE_FL.EST_AFTER_OUTBUNDLE_REVENUE
UNOIN  
WHEN T1.CPA_SOURCE= 'MOBILE PRE' THEN
F_KPI_ENGINE_EST_TGT_IE_PP.
(EST_AFTER_OB_NTL_VOICE_REV + EST_AFTER_OB_INTL_VOICE_REV + EST_AFTER_OB_DATA_REV + EST_AFTER_OB_NTL_SMS_REV + EST_AFTER_OB_INTL_SMS_REV) +
(EST_AFTER_ROAMING_SMS_REV + EST_AFTER_ROAMING_DATA_REV + EST_AFTER_ROAMING_VOICE_REV)"</t>
  </si>
  <si>
    <t>outbundle_revenue</t>
  </si>
  <si>
    <t>INBUNDLE_REVENUE,
OUTBUNDLE_REVENUE,
F_INSURANCE_REV</t>
  </si>
  <si>
    <t>INBUNDLE_REVENUE+OUTBUNDLE_REVENUE+T1.F_INSURANCE_REV
Note : INBUNDLE_REVENUE &amp; OUTBUNDLE_REVENUE are derived above</t>
  </si>
  <si>
    <t>total_revenue</t>
  </si>
  <si>
    <t>f_r_insurance_rev</t>
  </si>
  <si>
    <t>INBUNDLE_REVENUE 
F_DISCOUNT_CST 
OUTBUNDLE_REVENUE
F_INSURANCE_REV
F_NET_CREDIT_AMT</t>
  </si>
  <si>
    <t>((INBUNDLE_REVENUE  + OUTBUNDLE_REVENUE - ABS(F_DISCOUNT_CST )+ ABS(F_INSURANCE_REV)- ABS(F_NET_CREDIT_AMT))
Note : INBUNDLE_REVENUE &amp; OUTBUNDLE_REVENUE are derived above</t>
  </si>
  <si>
    <t>total_revenue_q</t>
  </si>
  <si>
    <t>(INBUNDLE_REVENUE + (F_DISCOUNT_CST * -1)) 
Note : INBUNDLE_REVENUE  are derived above</t>
  </si>
  <si>
    <t>inbundle_revenue_q</t>
  </si>
  <si>
    <t>f_subscriber_base_semantic_m_usl T
LEFT JOIN
stg_subscriber_cpa_union_usl T1
ON T.SUB_SUBSCRIPTION_CD = T1.SUB_SUBSCRIPTION_CD
AND T.CUS_CUSTOMER_CD= T1.CUS_CUSTOMER_CD
AND T.RPT_MONTH = T1.REPORTING_DATE</t>
  </si>
  <si>
    <t xml:space="preserve">f_subscriber_base_semantic_m_usl T
LEFT JOIN
stg_subscriber_cpa_union_usl T1
ON T.SUB_SUBSCRIPTION_CD = T1.SUB_SUBSCRIPTION_CD
AND T.CUS_CUSTOMER_CD= T1.CUS_CUSTOMER_CD
AND T.RPT_MONTH = T1.REPORTING_DATE
and T.sub_bill_type_ext_cd=T1.sub_bill_type_ext_cd
LEFT JOIN stg_cltv_aa_usl CLT
ON  T1.REPORTING_MONTH_CD=CLT.REPORTING_MONTH_CD
and upper(T1.CHNL_LEVEL_3)= upper(CLT.CHNL_LEVEL_3)
and upper(T1.TRANSACTION_TYPE) = upper(CLT.TRANSACTION_TYPE)
and upper(T1.SUB_BUNDLE_TYPE_DESC_Q)= upper(CLT.SUB_BUNDLE_TYPE_DESC)
and upper(T1.CUS_CUSTOMER_SUB_TYPE_DESC_Q) = upper(CLT.CUS_CUSTOMER_SUB_TYPE_DESC)
and upper(T1.SUB_BILL_TYPE_EXT_CD)  = upper(CLT.SUB_BILL_TYPE_EXT_CD)
</t>
  </si>
  <si>
    <t>Derived (INSTALLATION_COST and MISSED_APPOINTMENTS are derived later(Row No 290, 291), so populate them first and use it for this logic)</t>
  </si>
  <si>
    <t>"((T1.F_INCOMING_REV*CLT.INFLOW_CLT)+(((T1.F_ROAMING_VOICE_CST* CLT.INFLOW_CLT*(-1))+(T1.F_ROAMING_SMS_CST* CLT.INFLOW_CLT*(-1))+(T1.F_ROAMING_DATA_CST* CLT.INFLOW_CLT*(-1)))
              +(case when T1.TRANSACTION_TYPE = 'INFLOW' and T1.CUS_CONVERGENCE_TYPE_DESC1 = 'Mobile Post' then (-2.5)* CLT.INFLOW_CLT
                     when T1.TRANSACTION_TYPE = 'INFLOW' and T1.CUS_CONVERGENCE_TYPE_DESC1 = 'Mobile Pre'  then (-1.8)* CLT.INFLOW_CLT
                     when T1.TRANSACTION_TYPE = 'INFLOW' and T1.CUS_CONVERGENCE_TYPE_DESC1 = 'Fixed Only'  then (-0.4)* CLT.INFLOW_CLT
                     else (T1.F_IC_NTL_CST* CLT.INFLOW_CLT*(-1))+(T1.F_IC_INTL_CST* CLT.INFLOW_CLT*(-1)) end))
                          +(((case when T1.CUS_CONVERGENCE_TYPE_DESC1 = 'Fixed Only' then 25* CLT.INFLOW_CLT*(-1) else (T1.F_WLR_CST* CLT.INFLOW_CLT*(-1)) end)
                            +(case when T1.CUS_CONVERGENCE_TYPE_DESC1 = 'Fixed Only' then (case when T1.TRANSACTION_TYPE = 'INFLOW'    then (case when T1.SUB_BUNDLE_TYPE_DESC in ('BB + TV','BB + Voice + TV') then -150 else -80 end) 
                                                                                  else (case when T1.TRANSACTION_TYPE = 'RETENTION' then -20 
                                                                                  else (case when T1.TRANSACTION_TYPE = 'BASE'      then -5 else 0 end) end) end)
                                   else T1.INSTALLATION_COST*(-1)
                             end)+(T1.MISSED_APPOINTMENTS*(-1))))
              +(case when                       T1.CUS_CONVERGENCE_TYPE_DESC1 = 'Fixed Only'  then (case when T1.SUB_BUNDLE_TYPE_DESC in ('BB + TV','BB + Voice + TV') then (13* CLT.INFLOW_CLT*-1)   else (T1.F_CONTENT_CST* CLT.INFLOW_CLT*-1) end)
                     else (case when            T1.CUS_CONVERGENCE_TYPE_DESC1 = 'Mobile Post' then (case when T1.TRANSACTION_TYPE = 'INFLOW'                           then (0.18* CLT.INFLOW_CLT*-1) else (((T1.F_CONTENT_REV*0.4)* CLT.INFLOW_CLT)*-1) end)
                                else (case when T1.CUS_CONVERGENCE_TYPE_DESC1 = 'Mobile Pre'  then (case when T1.TRANSACTION_TYPE = 'INFLOW'                           then (0.1* CLT.INFLOW_CLT*-1)  else (((T1.F_CONTENT_REV*0.4)* CLT.INFLOW_CLT)*-1) end) else 0 end) end) end)) as CHNLP_DIRECT_CST</t>
  </si>
  <si>
    <t>chnlp_direct_cst</t>
  </si>
  <si>
    <r>
      <t xml:space="preserve">(((INBUNDLE_REVENUE*CLT.INFLOW_CLT)+((OUTBUNDLE_REVENUE*CLT.INFLOW_CLT)-ABS(T1.F_DISCOUNT_CST*CLT.INFLOW_CLT))+(T1.F_INSURANCE_REV*CLT.INFLOW_CLT)- (ABS(F_NET_CREDIT_AMT)*CLT.INFLOW_CLT))
</t>
    </r>
    <r>
      <rPr>
        <strike/>
        <sz val="10"/>
        <color rgb="FFFF0000"/>
        <rFont val="Vodafone Rg"/>
        <family val="2"/>
      </rPr>
      <t xml:space="preserve">(((INBUNDLE_REVENUE*CLT.INFLOW_CLT)-ABS(T1.F_DISCOUNT_CST*CLT.INFLOW_CLT))+(OUTBUNDLE_REVENUE*CLT.INFLOW_CLT)+(T1.F_INSURANCE_REV*CLT.INFLOW_CLT)- (ABS(F_NET_CREDIT_AMT)*CLT.INFLOW_CLT))
</t>
    </r>
    <r>
      <rPr>
        <sz val="10"/>
        <rFont val="Vodafone Rg"/>
        <family val="2"/>
      </rPr>
      <t xml:space="preserve">Note : INBUNDLE_REVENUE and OUTBUNDLE_REVENUE are derived above
</t>
    </r>
    <r>
      <rPr>
        <vertAlign val="superscript"/>
        <sz val="10"/>
        <color rgb="FFFF0000"/>
        <rFont val="Vodafone Rg"/>
        <family val="2"/>
      </rPr>
      <t xml:space="preserve">
</t>
    </r>
  </si>
  <si>
    <t>chnlp_total_revenue</t>
  </si>
  <si>
    <t>(a1.F_SUBSIDY * (-1))</t>
  </si>
  <si>
    <t>chnlp_equipment_subsidy</t>
  </si>
  <si>
    <t>chnlp_opex_digital</t>
  </si>
  <si>
    <t>T1.F_COMMISSION_CST * (-1)</t>
  </si>
  <si>
    <t>chnlp_commissions</t>
  </si>
  <si>
    <t>f_subscriber_base_semantic_m_usl T
LEFT JOIN
stg_subscriber_cpa_union_usl T1
ON T.SUB_SUBSCRIPTION_CD = T1.SUB_SUBSCRIPTION_CD
AND T.CUS_CUSTOMER_CD= T1.CUS_CUSTOMER_CD
AND T.RPT_MONTH = T1.REPORTING_DATE
and T.sub_bill_type_ext_cd=T1.sub_bill_type_ext_cd
LEFT JOIN STG_DEALER_OPEX_REVENUE b1
ON T1.REPORTING_MONTH_CD = b1.REPORTING_MONTH_CD
and T1.dealer = b1.dealer
and T1.CUS_CONVERGENCE_TYPE_DESC1 = b1.convergence</t>
  </si>
  <si>
    <t>(sum(ifnull(((ifnull(b1.monthly_charge_fixed,0)/b1.SUBS1)*(-1)),0)+ifnull(((ifnull(b1.monthly_charge_prepay,0)/b1.SUBS1)*(-1)),0)+ifnull(((ifnull(b1.monthly_charge_postpay,0)/b1.SUBS1)*(-1)),0)) /*as CHNLP_OPEX_RENT*/
              + sum(ifnull(((ifnull(b1.payroll_fixed,0)/b1.SUBS1)*(-1)),0)       +ifnull(((ifnull(b1.payroll_prepay,0)/b1.SUBS1)*(-1)),0)     +ifnull(((ifnull(b1.payroll_postpay,0)/b1.SUBS1)*(-1)),0))        /*as CHNLP_OPEX_FTE*/
              + sum(ifnull(((ifnull(b1.other_fixed,0)/b1.SUBS1)*(-1)),0)         +ifnull(((ifnull(b1.other_prepay,0)/b1.SUBS1)*(-1)),0)       +ifnull(((ifnull(b1.other_postpay,0)/b1.SUBS1)*(-1)),0))          /*as CHNLP_OPEX_OTHERS*/
              + sum(((T1.F_DURATION_SUM/60) * 8.5) * (-1))                                                                                                                                                      /*as CHNLP_OPEX_CARE*/)</t>
  </si>
  <si>
    <t>chnlp_total_opex</t>
  </si>
  <si>
    <t>(((((INBUNDLE_REVENUE*CLT.INFLOW_CLT)-T1.F_DISCOUNT_CST)+(OUTBUNDLE_REVENUE*CLT.INFLOW_CLT)
              +(T1.F_INSURANCE_REV* CLT.INFLOW_CLT))*0.93)
              +((T1.F_INCOMING_REV* CLT.INFLOW_CLT)+(((T1.F_ROAMING_VOICE_CST* CLT.INFLOW_CLT*(-1))+(T1.F_ROAMING_SMS_CST* CLT.INFLOW_CLT*(-1))
              +(T1.F_ROAMING_DATA_CST* CLT.INFLOW_CLT*(-1)))
              +(case when T1.TRANSACTION_TYPE = 'INFLOW' and T1.CUS_CONVERGENCE_TYPE_DESC1 = 'Mobile Post' then (-2.5)* CLT.INFLOW_CLT
                     when T1.TRANSACTION_TYPE = 'INFLOW' and T1.CUS_CONVERGENCE_TYPE_DESC1 = 'Mobile Pre'  then (-1.8)* CLT.INFLOW_CLT
                     when T1.TRANSACTION_TYPE = 'INFLOW' and T1.CUS_CONVERGENCE_TYPE_DESC1 = 'Fixed Only'  then (-0.4)* CLT.INFLOW_CLT
                     else (T1.F_IC_NTL_CST* CLT.INFLOW_CLT*(-1))+(T1.F_IC_INTL_CST* CLT.INFLOW_CLT*(-1)) end))
              +(((case when T1.CUS_CONVERGENCE_TYPE_DESC1 = 'Fixed Only' then 25* CLT.INFLOW_CLT*(-1) else (T1.F_WLR_CST* CLT.INFLOW_CLT*(-1)) end)
                +(case when T1.CUS_CONVERGENCE_TYPE_DESC1 = 'Fixed Only' then (case when T1.TRANSACTION_TYPE = 'INFLOW'    then (case when T1.SUB_BUNDLE_TYPE_DESC in ('BB + TV','BB + Voice + TV') then -150 else -80 end)
                                                                      else (case when T1.TRANSACTION_TYPE = 'RETENTION' then -20
                                                                      else (case when T1.TRANSACTION_TYPE = 'BASE'      then -5 else 0 end) end) end) 
                     else T1.INSTALLATION_COST*(-1) end)
              +(T1.MISSED_APPOINTMENTS*(-1))))
              +(case when            T1.CUS_CONVERGENCE_TYPE_DESC1 = 'Fixed Only'  then (case when T1.SUB_BUNDLE_TYPE_DESC in ('BB + TV','BB + Voice + TV') then (13* CLT.INFLOW_CLT*-1) else (T1.F_CONTENT_CST* CLT.INFLOW_CLT*-1) end) 
                     else (case when T1.CUS_CONVERGENCE_TYPE_DESC1 = 'Mobile Post' then (case when T1.TRANSACTION_TYPE = 'INFLOW' then (0.18*INFLOW_CLT*-1) else (((T1.F_CONTENT_REV*0.4)* CLT.INFLOW_CLT)*-1) end) 
                     else (case when T1.CUS_CONVERGENCE_TYPE_DESC1 = 'Mobile Pre'  then (case when T1.TRANSACTION_TYPE = 'INFLOW' then (0.1*INFLOW_CLT*-1)  else (((T1.F_CONTENT_REV*0.4)* CLT.INFLOW_CLT)*-1) end) else 0 end) end) end))
              +(T1.F_SUBSIDY * (-1))) as CHNLP_PRE_CHNL_COST_MARGINE</t>
  </si>
  <si>
    <t>chnlp_pre_chnl_cost_margine</t>
  </si>
  <si>
    <t>((T1.F_SUBSIDY * (-1))+(T1.F_COMMISSION_CST * (-1))+((case when T1.CHNL_LEVEL_2 in ('VIS Care','VIS Outbound','VSSI','VF Online Sales') then 6 else 0 end)*(-1)))</t>
  </si>
  <si>
    <t>chnlp_total_anr_cst</t>
  </si>
  <si>
    <t xml:space="preserve">f_subscriber_base_semantic_m_usl T
LEFT JOIN
stg_subscriber_cpa_union_usl T1
ON T.SUB_SUBSCRIPTION_CD = T1.SUB_SUBSCRIPTION_CD
AND T.CUS_CUSTOMER_CD= T1.CUS_CUSTOMER_CD
AND T.RPT_MONTH = T1.REPORTING_DATE
AND  T.sub_bill_type_ext_cd=T1.sub_bill_type_ext_cd
LEFT JOIN stg_cltv_aa_usl CLT
ON  T1.REPORTING_MONTH_CD=CLT.REPORTING_MONTH_CD
and upper(T1.CHNL_LEVEL_3)= upper(CLT.CHNL_LEVEL_3)
and upper(T1.TRANSACTION_TYPE) = upper(CLT.TRANSACTION_TYPE)
and upper(T1.SUB_BUNDLE_TYPE_DESC_Q)= upper(CLT.SUB_BUNDLE_TYPE_DESC)
and upper(T1.CUS_CUSTOMER_SUB_TYPE_DESC_Q) = upper(CLT.CUS_CUSTOMER_SUB_TYPE_DESC)
and upper(T1.SUB_BILL_TYPE_EXT_CD)  = upper(CLT.SUB_BILL_TYPE_EXT_CD)
</t>
  </si>
  <si>
    <t xml:space="preserve"> sum(((((INBUNDLE_REVENUE* CLT.INFLOW_CLT)-T1.F_DISCOUNT_CST)+(OUTBUNDLE_REVENUE* CLT.INFLOW_CLT)+(T1.F_INSURANCE_REV* CLT.INFLOW_CLT))*0.93)+((T1.F_INCOMING_REV* CLT.INFLOW_CLT)+(((T1.F_ROAMING_VOICE_CST* CLT.INFLOW_CLT*(-1))+(T1.F_ROAMING_SMS_CST* CLT.INFLOW_CLT*(-1))+(T1.F_ROAMING_DATA_CST* CLT.INFLOW_CLT*(-1)))
              +(case when T1.TRANSACTION_TYPE = 'INFLOW' and T1.CUS_CONVERGENCE_TYPE_DESC1 = 'Mobile Post' then (-2.5)* CLT.INFLOW_CLT
                     when T1.TRANSACTION_TYPE = 'INFLOW' and T1.CUS_CONVERGENCE_TYPE_DESC1 = 'Mobile Pre'  then (-1.8)* CLT.INFLOW_CLT
                     when T1.TRANSACTION_TYPE = 'INFLOW' and T1.CUS_CONVERGENCE_TYPE_DESC1 = 'Fixed Only'  then (-0.4)* CLT.INFLOW_CLT
                     else (T1.F_IC_NTL_CST* CLT.INFLOW_CLT*(-1))+(T1.F_IC_INTL_CST* CLT.INFLOW_CLT*(-1)) end))
              +(((case when T1.CUS_CONVERGENCE_TYPE_DESC1 = 'Fixed Only' then 25* CLT.INFLOW_CLT*(-1) else (T1.F_WLR_CST* CLT.INFLOW_CLT*(-1)) end)
                +(case when T1.CUS_CONVERGENCE_TYPE_DESC1 = 'Fixed Only' then (case when T1.TRANSACTION_TYPE = 'INFLOW' then (case when T1.SUB_BUNDLE_TYPE_DESC in ('BB + TV','BB + Voice + TV') then -150 else -80 end)
                                                                                                                  else (case when T1.TRANSACTION_TYPE = 'RETENTION'                        then -20
                                                                                                                  else (case when T1.TRANSACTION_TYPE = 'BASE'                             then -5 else 0 end) end) end) 
                                                                      else T.INSTALLATION_COST*(-1) end)+(T.MISSED_APPOINTMENTS*(-1))))
              +(case when                       T1.CUS_CONVERGENCE_TYPE_DESC1 = 'Fixed Only'  then (case when T1.SUB_BUNDLE_TYPE_DESC in ('BB + TV','BB + Voice + TV') then (13* CLT.INFLOW_CLT*-1)   else (T1.F_CONTENT_CST* CLT.INFLOW_CLT*-1) end) 
                     else (case when            T1.CUS_CONVERGENCE_TYPE_DESC1 = 'Mobile Post' then (case when T1.TRANSACTION_TYPE = 'INFLOW'                           then (0.18* CLT.INFLOW_CLT*-1) else (((T1.F_CONTENT_REV*0.4)* CLT.INFLOW_CLT)*-1) end)
                                else (case when T1.CUS_CONVERGENCE_TYPE_DESC1 = 'Mobile Pre'  then (case when T1.TRANSACTION_TYPE = 'INFLOW'                           then (0.1* CLT.INFLOW_CLT*-1)  else (((T1.F_CONTENT_REV*0.4)* CLT.INFLOW_CLT)*-1) end) else 0 end) end) end))) as CHNLP_DIRECT_CST_MARGINE</t>
  </si>
  <si>
    <t>chnlp_direct_cst_margine</t>
  </si>
  <si>
    <t>f_subscriber_base_semantic_m_usl T
LEFT JOIN
stg_subscriber_cpa_union_usl T1
ON T.SUB_SUBSCRIPTION_CD = T1.SUB_SUBSCRIPTION_CD
AND T.CUS_CUSTOMER_CD= T1.CUS_CUSTOMER_CD
AND T.RPT_MONTH = T1.REPORTING_DATE
AND T.sub_bill_type_ext_cd=T1.sub_bill_type_ext_cd
LEFT JOIN STG_DEALER_OPEX_REVENUE b1
ON T1.REPORTING_MONTH_CD = b1.REPORTING_MONTH_CD
and T1.dealer = b1.dealer
and T1.CUS_CONVERGENCE_TYPE_DESC1 = b1.convergence</t>
  </si>
  <si>
    <t xml:space="preserve">(ifnull(((ifnull(b1.payroll_fixed,0)/b1.SUBS1)*(-1)),0)       +ifnull(((ifnull(b1.payroll_prepay,0)/b1.SUBS1)*(-1)),0)     +ifnull(((ifnull(b1.payroll_postpay,0)/b1.SUBS1)*(-1)),0)) </t>
  </si>
  <si>
    <t>chnlp_opex_fte</t>
  </si>
  <si>
    <t>F_DURATION_SUM</t>
  </si>
  <si>
    <t>(((T1.F_DURATION_SUM/60) * 8.5) * (-1))</t>
  </si>
  <si>
    <t>chnlp_opex_care</t>
  </si>
  <si>
    <t>case when T1.F_PREPAID_TO_POSTPAID_MIGRATE = 1 then 'Prepay to Postpay'
                   when T1.F_POSTPAID_TO_PREPAID_MIGRATE = 1 then 'Postpay to Prepay'
                   when T1.F_PORT_IN = 1                     then 'Port In'
                   when T1.F_PORT_OUT = 1                    then 'Port Out'
              end as LIFECYCLE_FLAG</t>
  </si>
  <si>
    <t>lifecycle_flag</t>
  </si>
  <si>
    <t xml:space="preserve">f_subscriber_base_semantic_m_usl T
LEFT JOIN
stg_subscriber_cpa_union_usl T1
ON T.SUB_SUBSCRIPTION_CD = T1.SUB_SUBSCRIPTION_CD
AND T.CUS_CUSTOMER_CD= T1.CUS_CUSTOMER_CD
AND T.RPT_MONTH = T1.REPORTING_DATE
AND T.sub_bill_type_ext_cd=T1.sub_bill_type_ext_cd
LEFT JOIN (select  REPORTING_MONTH_CD, CHNL_LEVEL_3, TRANSACTION_TYPE, SUB_BUNDLE_TYPE_DESC, CUS_CUSTOMER_SUB_TYPE_DESC, SUB_BILL_TYPE_EXT_CD, avg(CLT) as INFLOW_CLT from src_cpa_ie_cltv_aa group by 1,2,3,4,5,6)  CLT
ON  T1.REPORTING_MONTH_CD=CLT.REPORTING_MONTH_CD
and upper(T1.CHNL_LEVEL_3)= upper(CLT.CHNL_LEVEL_3)
and upper(T1.TRANSACTION_TYPE) = upper(CLT.TRANSACTION_TYPE)
and upper(T1.SUB_BUNDLE_TYPE_DESC_Q)= upper(CLT.SUB_BUNDLE_TYPE_DESC)
and upper(T1.CUS_CUSTOMER_SUB_TYPE_DESC_Q) = upper(CLT.CUS_CUSTOMER_SUB_TYPE_DESC)
and upper(T1.SUB_BILL_TYPE_EXT_CD)  = upper(CLT.SUB_BILL_TYPE_EXT_CD)
</t>
  </si>
  <si>
    <t>(((T1.F_ROAMING_VOICE_CST*CLT.INFLOW_CLT*(-1))+(T1.F_ROAMING_SMS_CST*CLT.INFLOW_CLT*(-1))+(T1.F_ROAMING_DATA_CST*CLT.INFLOW_CLT*(-1)))
              +(case when T1.TRANSACTION_TYPE = 'INFLOW' and T1.CUS_CONVERGENCE_TYPE_DESC1 = 'Mobile Post' then (-2.5)*CLT.INFLOW_CLT
                     when T1.TRANSACTION_TYPE = 'INFLOW' and T1.CUS_CONVERGENCE_TYPE_DESC1 = 'Mobile Pre'  then (-1.8)*CLT.INFLOW_CLT
                     when T1.TRANSACTION_TYPE = 'INFLOW' and T1.CUS_CONVERGENCE_TYPE_DESC1 = 'Fixed Only'  then (-0.4)*CLT.INFLOW_CLT
                     else (T1.F_IC_NTL_CST*CLT.INFLOW_CLT*(-1))+(T1.F_IC_INTL_CST*CLT.INFLOW_CLT*(-1)) 
               end))</t>
  </si>
  <si>
    <t>chnlp_interconnect_cst</t>
  </si>
  <si>
    <t>(ifnull(((ifnull(b1.other_fixed,0)/b1.SUBS1)*(-1)),0)         +ifnull(((ifnull(b1.other_prepay,0)/b1.SUBS1)*(-1)),0)         +ifnull(((ifnull(b1.other_postpay,0)/b1.SUBS1)*(-1)),0))          as CHNLP_OPEX_OTHERS</t>
  </si>
  <si>
    <t>chnlp_opex_others</t>
  </si>
  <si>
    <t>sum((((case when T1.CUS_CONVERGENCE_TYPE_DESC1 = 'Fixed Only' then 25*CLT.INFLOW_CLT else (T1.F_WLR_CST*CLT.INFLOW_CLT) end)*(-1))
                   +(case when T1.CUS_CONVERGENCE_TYPE_DESC1 = 'Fixed Only' 
                          then (case when T1.TRANSACTION_TYPE = 'INFLOW'    then (case when T1.SUB_BUNDLE_TYPE_DESC in ('BB + TV','BB + Voice + TV') then -150 else -80 end)
                                     when T1.TRANSACTION_TYPE = 'RETENTION' then -20 
                                     when T1.TRANSACTION_TYPE = 'BASE'      then -5
                                end) 
                          else T.INSTALLATION_COST * (-1)
                    end) + (T.MISSED_APPOINTMENTS*(-1)))) as CHNLP_FIXEDLINE_CST</t>
  </si>
  <si>
    <t>chnlp_fixedline_cst</t>
  </si>
  <si>
    <t xml:space="preserve">f_subscriber_base_semantic_m_usl T
LEFT JOIN
stg_subscriber_cpa_union_usl T1
ON T.SUB_SUBSCRIPTION_CD = T1.SUB_SUBSCRIPTION_CD
AND T.CUS_CUSTOMER_CD= T1.CUS_CUSTOMER_CD
AND T.RPT_MONTH = T1.REPORTING_DATE
AND T.sub_bill_type_ext_cd=T1.sub_bill_type_ext_cd
LEFT JOIN stg_cltv_aa_usl CLT
ON  T1.REPORTING_MONTH_CD=CLT.REPORTING_MONTH_CD
and upper(T1.CHNL_LEVEL_3)= upper(CLT.CHNL_LEVEL_3)
and upper(T1.TRANSACTION_TYPE) = upper(CLT.TRANSACTION_TYPE)
and upper(T1.SUB_BUNDLE_TYPE_DESC_Q)= upper(CLT.SUB_BUNDLE_TYPE_DESC)
and upper(T1.CUS_CUSTOMER_SUB_TYPE_DESC_Q) = upper(CLT.CUS_CUSTOMER_SUB_TYPE_DESC)
and upper(T1.SUB_BILL_TYPE_EXT_CD)  = upper(CLT.SUB_BILL_TYPE_EXT_CD)
Check attributes CHNL_LEVEL_3,TRANSACTION_TYPE	,SUB_BUNDLE_TYPE_DESC,CUS_CUSTOMER_SUB_TYPE_DESC ,SUB_BILL_TYPE_EXT_CD  from stg_cltv_aa_usl table before joining and If found NULL then replace with 'NA'
Check attributes CHNL_LEVEL_3,TRANSACTION_TYPE	,SUB_BUNDLE_TYPE_DESC_Q,CUS_CUSTOMER_SUB_TYPE_DESC_Q ,SUB_BILL_TYPE_EXT_CD  from stg_subscriber_cpa_union_usl table before joining and If found NULL then replace with 'NA'
</t>
  </si>
  <si>
    <t>(T1.F_INCOMING_REV*CLT.INFLOW_CLT)      as CHNLP_INCOMING_REV</t>
  </si>
  <si>
    <t>chnlp_incoming_rev</t>
  </si>
  <si>
    <t>(ifnull(((ifnull(b1.monthly_charge_fixed,0)/b1.SUBS1)*(-1)),0)+ifnull(((ifnull(b1.monthly_charge_prepay,0)/b1.SUBS1)*(-1)),0)+ifnull(((ifnull(b1.monthly_charge_postpay,0)/b1.SUBS1)*(-1)),0)) as CHNLP_OPEX_RENT</t>
  </si>
  <si>
    <t>chnlp_opex_rent</t>
  </si>
  <si>
    <t xml:space="preserve">f_subscriber_base_semantic_m_usl T
LEFT JOIN
stg_subscriber_cpa_union_usl T1
ON T.SUB_SUBSCRIPTION_CD = T1.SUB_SUBSCRIPTION_CD
AND T.CUS_CUSTOMER_CD= T1.CUS_CUSTOMER_CD
AND T.RPT_MONTH = T1.REPORTING_DATE
AND T.sub_bill_type_ext_cd=T1.sub_bill_type_ext_cd
LEFT JOIN stg_cltv_aa_usl CLT
ON  T1.REPORTING_MONTH_CD=CLT.REPORTING_MONTH_CD
and upper(T1.CHNL_LEVEL_3)= upper(CLT.CHNL_LEVEL_3)
and upper(T1.TRANSACTION_TYPE) = upper(CLT.TRANSACTION_TYPE)
and upper(T1.SUB_BUNDLE_TYPE_DESC_Q)= upper(CLT.SUB_BUNDLE_TYPE_DESC)
and upper(T1.CUS_CUSTOMER_SUB_TYPE_DESC_Q) = upper(CLT.CUS_CUSTOMER_SUB_TYPE_DESC)
and upper(T1.SUB_BILL_TYPE_EXT_CD)  = upper(CLT.SUB_BILL_TYPE_EXT_CD)
</t>
  </si>
  <si>
    <t>(case when T1.CUS_CONVERGENCE_TYPE_DESC1 = 'Fixed Only'  then (case when T1.SUB_BUNDLE_TYPE_DESC in ('BB + TV','BB + Voice + TV') then (13*CLT.INFLOW_CLT*-1)   else (T1.F_CONTENT_CST*CLT.INFLOW_CLT*-1) end)
                       else (case when            T1.CUS_CONVERGENCE_TYPE_DESC1 = 'Mobile Post' then (case when T1.TRANSACTION_TYPE = 'INFLOW'                           then (0.18*CLT.INFLOW_CLT*-1) else (((T1.F_CONTENT_REV*0.4)*CLT.INFLOW_CLT)*-1) end)
                                  else (case when T1.CUS_CONVERGENCE_TYPE_DESC1 = 'Mobile Pre'  then (case when T1.TRANSACTION_TYPE = 'INFLOW'                           then (0.1*CLT.INFLOW_CLT*-1)  else (((T1.F_CONTENT_REV*0.4)*CLT.INFLOW_CLT)*-1) end) else 0 end) end)
                 end) as CHNLP_CONTENT_COST</t>
  </si>
  <si>
    <t>chnlp_content_cost</t>
  </si>
  <si>
    <t>CLT.INFLOW_CLT</t>
  </si>
  <si>
    <t>AA_CLT</t>
  </si>
  <si>
    <t>CLT.INFLOW_CLTV</t>
  </si>
  <si>
    <t>AA_CLTV</t>
  </si>
  <si>
    <t>CLT.ARPU</t>
  </si>
  <si>
    <t>AA_ARPU</t>
  </si>
  <si>
    <t>CLT.INFLOW_CLTV_TOAL</t>
  </si>
  <si>
    <t>AA_CLTV_TOTAL</t>
  </si>
  <si>
    <t>CLT.TOTAL</t>
  </si>
  <si>
    <t>AA_TOTAL</t>
  </si>
  <si>
    <t>f_subscriber_base_semantic_m_usl T
LEFT JOIN
stg_subscriber_cpa_union_usl T1
ON T.SUB_SUBSCRIPTION_CD = T1.SUB_SUBSCRIPTION_CD
AND T.CUS_CUSTOMER_CD= T1.CUS_CUSTOMER_CD
AND T.RPT_MONTH = T1.REPORTING_DATE
AND T.sub_bill_type_ext_cd=T1.sub_bill_type_ext_cd
LEFT Join 
CPA_FIXEDLINE_R_IR_CPA_FIXED_COST_FL FC
  ON DAT_MONTH_ID,CUS_CUSTOMER_CD,	SUB_SUBSCRIPTION_CD (T1 &amp; FC)
AND FC.CHARGE_DESCin (‘Installation’,’Provisioning’ , ‘Credit’, ‘Cease’)
Before joining obtain sum(F_CHARGE_AMT) from CPA_FIXEDLINE_R_IR_CPA_FIXED_COST_FL for combination of DAT_MONTH_ID,CUS_CUSTOMER_CD,	SUB_SUBSCRIPTION_CD for FC.CHARGE_DESCin (‘Installation’,’Provisioning’ , ‘Credit’, ‘Cease’)</t>
  </si>
  <si>
    <t>CASE WHEN T1.CPA_SOURCE= 'FIXED' THEN FC.F_CHARGE_AMT ELSE 0</t>
  </si>
  <si>
    <t>installation_cost</t>
  </si>
  <si>
    <t>f_subscriber_base_semantic_m_usl T
LEFT JOIN
stg_subscriber_cpa_union_usl T1
ON T.SUB_SUBSCRIPTION_CD = T1.SUB_SUBSCRIPTION_CD
AND T.CUS_CUSTOMER_CD= T1.CUS_CUSTOMER_CD
AND T.RPT_MONTH = T1.REPORTING_DATE
AND T.sub_bill_type_ext_cd=T1.sub_bill_type_ext_cd
LEFT Join 
CPA_FIXEDLINE_R_IR_CPA_FIXED_COST_FL FC
   ON DAT_MONTH_ID,CUS_CUSTOMER_CD,	SUB_SUBSCRIPTION_CD (T1 &amp; FC)
AND FC.CHARGE_DESC LIKE '%Missed Appointmen%'
Before joining obtain sum(F_CHARGE_AMT) from CPA_FIXEDLINE_R_IR_CPA_FIXED_COST_FL for combination of DAT_MONTH_ID,CUS_CUSTOMER_CD,	SUB_SUBSCRIPTION_CD for CHARGE_DESC LIKE '%Missed Appointmen%'</t>
  </si>
  <si>
    <t>missed_appointments</t>
  </si>
  <si>
    <t xml:space="preserve">f_subscriber_base_semantic_m_usl T
LEFT JOIN
stg_subscriber_cpa_union_usl T1
ON T.SUB_SUBSCRIPTION_CD = T1.SUB_SUBSCRIPTION_CD
AND T.CUS_CUSTOMER_CD= T1.CUS_CUSTOMER_CD
AND T.RPT_MONTH = T1.REPORTING_DATE
AND T.sub_bill_type_ext_cd=T1.sub_bill_type_ext_cd
LEFT Join 
CPA_FIXEDLINE_R_IR_CPA_DISCOUNT_FL D
ON DAT_MONTH_ID,CUS_CUSTOMER_CD,	SUB_SUBSCRIPTION_CD (T1 &amp; D)
AND D.ACR_CHARGE_CODE_EXT_CD IN ('FER_FIBMODVOX','FER_CGAMODE0000','FER_FIBMODE0000','FER_FIBMODE000B') 
Before joining obtain sum(F_COST_AMT) from CPA_FIXEDLINE_R_IR_CPA_DISCOUNT_FL for combination of DAT_MONTH_ID,CUS_CUSTOMER_CD,	SUB_SUBSCRIPTION_CD for ACR_CHARGE_CODE_EXT_CD IN ('FER_FIBMODVOX','FER_CGAMODE0000','FER_FIBMODE0000','FER_FIBMODE000B') 
</t>
  </si>
  <si>
    <t xml:space="preserve">CASE WHEN D.F_COST_AMT=0 THEN 50 ELSE D.F_COST_AMT END </t>
  </si>
  <si>
    <t>modem</t>
  </si>
  <si>
    <t>f_subscriber_base_semantic_m_usl T
LEFT JOIN
stg_subscriber_cpa_union_usl T1
ON T.SUB_SUBSCRIPTION_CD = T1.SUB_SUBSCRIPTION_CD
AND T.CUS_CUSTOMER_CD= T1.CUS_CUSTOMER_CD
AND T.RPT_MONTH = T1.REPORTING_DATE
AND T.sub_bill_type_ext_cd=T1.sub_bill_type_ext_cd</t>
  </si>
  <si>
    <t>T1.F_ANNUAL_PRICE_ADJ</t>
  </si>
  <si>
    <t>f_annual_price_adj</t>
  </si>
  <si>
    <t>f_subscriber_base_semantic_m_usl T
LEFT JOIN
stg_subscriber_cpa_union_usl T1
ON T.SUB_SUBSCRIPTION_CD = T1.SUB_SUBSCRIPTION_CD
AND T.CUS_CUSTOMER_CD= T1.CUS_CUSTOMER_CD
AND T.RPT_MONTH = T1.REPORTING_DATE
AND T.sub_bill_type_ext_cd=T1.sub_bill_type_ext_cd
LEFT JOIN 
stg_chnl_store_prof_usl T2
ON T.SUB_SUBSCRIPTION_CD = T12.SUB_SUBSCRIPTION_CD
AND T1.CUS_CUSTOMER_CD= T2.CUS_CUSTOMER_CD
AND T.RPT_MONTH = T2.DAT_MONTH_ID</t>
  </si>
  <si>
    <t>Channel Profitabilty Store</t>
  </si>
  <si>
    <t>f_subscriber_base_semantic_m_usl T
LEFT JOIN
stg_subscriber_cpa_union_usl T1
ON T.SUB_SUBSCRIPTION_CD = T1.SUB_SUBSCRIPTION_CD
AND T.CUS_CUSTOMER_CD= T1.CUS_CUSTOMER_CD
AND T.RPT_MONTH = T1.REPORTING_DATE
AND T.sub_bill_type_ext_cd=T1.sub_bill_type_ext_cd
LEFT JOIN 
stg_chnl_store_prof_usl T2
ON T.SUB_SUBSCRIPTION_CD = T12.SUB_SUBSCRIPTION_CD
AND T1.CUS_CUSTOMER_CD= T2.CUS_CUSTOMER_CD
AND T.RPT_MONTH = T2.DAT_MONTH_ID</t>
  </si>
  <si>
    <t>F_INSURANCE_REV_S</t>
  </si>
  <si>
    <t>F_CONTENT_REV_S</t>
  </si>
  <si>
    <t xml:space="preserve">SELECT 
T.*,T1.*
FROM
stg_subscriber_ibro_prof_report_semantic_am_usl T
LEFT JOIN stg_subscriber_ibro_prof_report_semantic_am_usl T1
ON T.DW_UNIW_SUBS_ID=T1.DW_UNIQ_SUBS_ID
AND DATE_ADD(T.RPT_MONTH, INTERVAL -1 MONTH)=T1.RPT_MONTH
AND T.dw_uniq_cust_id= T1.dw_uniq_cust_id
AND T.sub_bill_type_ext_cd=T1.sub_bill_type_ext_cd
</t>
  </si>
  <si>
    <t>stg_subscriber_ibro_prof_report_semantic_am_usl T</t>
  </si>
  <si>
    <t>RPT_MONTH</t>
  </si>
  <si>
    <t>RPT MONTH</t>
  </si>
  <si>
    <t>RPT_TYPE</t>
  </si>
  <si>
    <t>RPT TYPE</t>
  </si>
  <si>
    <t>Float64</t>
  </si>
  <si>
    <t>F ADDL SERVICE REV</t>
  </si>
  <si>
    <t>F_AMORT_COMMISSION_CST</t>
  </si>
  <si>
    <t>F AMORT COMMISSION CST</t>
  </si>
  <si>
    <t>F_AMORT_COMMISSION_CST_CALC</t>
  </si>
  <si>
    <t>F AMORT COMMISSION CST CALC</t>
  </si>
  <si>
    <t>F AMORT INSTALLATION AMT</t>
  </si>
  <si>
    <t>F_AMORT_SUBSIDY</t>
  </si>
  <si>
    <t>F AMORT SUBSIDY</t>
  </si>
  <si>
    <t>F_AMORT_SUBSIDY_CALC</t>
  </si>
  <si>
    <t>F AMORT SUBSIDY CALC</t>
  </si>
  <si>
    <t>F BAD DEBT</t>
  </si>
  <si>
    <t>F CLOSING BALANCE AMT</t>
  </si>
  <si>
    <t>F COMMISSION CST</t>
  </si>
  <si>
    <t>F CONTENT CST</t>
  </si>
  <si>
    <t>F_CONTENT_CST_CALC</t>
  </si>
  <si>
    <t>F CONTENT CST CALC</t>
  </si>
  <si>
    <t>F CONTENT REV</t>
  </si>
  <si>
    <t>F DEVICE REV</t>
  </si>
  <si>
    <t>F DISCOUNT CST</t>
  </si>
  <si>
    <t>F DURATIO SUM</t>
  </si>
  <si>
    <t>F IC INTL CST</t>
  </si>
  <si>
    <t>F IC NTL CST</t>
  </si>
  <si>
    <t>F IN BUNDEL REV</t>
  </si>
  <si>
    <t>F_IN_BUNDEL_REV_CALC</t>
  </si>
  <si>
    <t>F IN BUNDEL REV CALC</t>
  </si>
  <si>
    <t>F INCOMING REV</t>
  </si>
  <si>
    <t>F INF CHRG IND</t>
  </si>
  <si>
    <t>F INSTALLATION CST</t>
  </si>
  <si>
    <t>F INSURANCE REV</t>
  </si>
  <si>
    <t>F_INSURANCE_REV_CALC</t>
  </si>
  <si>
    <t>F INSURANCE REV CALC</t>
  </si>
  <si>
    <t>F MMS COST</t>
  </si>
  <si>
    <t>F MMS REV</t>
  </si>
  <si>
    <t>F NEW ACTIVATION</t>
  </si>
  <si>
    <t>F NUM DAYS ROAMING</t>
  </si>
  <si>
    <t>F OB DATA REV</t>
  </si>
  <si>
    <t>F OB INTL SMS REV</t>
  </si>
  <si>
    <t>F OB INTL VOICE REV</t>
  </si>
  <si>
    <t>F OB NTL SMS REV</t>
  </si>
  <si>
    <t>F OB NTL VOICE REV</t>
  </si>
  <si>
    <t>F ONCEOFF REV AMT</t>
  </si>
  <si>
    <t>F ONE OFF DISC</t>
  </si>
  <si>
    <t>F OPENING BALANCE AMT</t>
  </si>
  <si>
    <t>F OUTBUNDLE REV</t>
  </si>
  <si>
    <t>F_OUTBUNDLE_REV_CALC</t>
  </si>
  <si>
    <t>F OUTBUNDLE REV CALC</t>
  </si>
  <si>
    <t>F OUTSTANDING AMT</t>
  </si>
  <si>
    <t>F PREPAID TO POSTPAID MIGRATE</t>
  </si>
  <si>
    <t>F RECUR DISC</t>
  </si>
  <si>
    <t>F ROAMING DATA CST</t>
  </si>
  <si>
    <t>F ROAMING DATA REV</t>
  </si>
  <si>
    <t>F ROAMING SMS CST</t>
  </si>
  <si>
    <t>F ROAMING SMS REV</t>
  </si>
  <si>
    <t>F ROAMING VOICE CST</t>
  </si>
  <si>
    <t>F ROAMING VOICE REV</t>
  </si>
  <si>
    <t>F SUBSIDY</t>
  </si>
  <si>
    <t>F TOPUP CONTRIBUTORY AMT</t>
  </si>
  <si>
    <t>F TOPUP NONCONTRIBUTORY AMT</t>
  </si>
  <si>
    <t>F TUP DEFERRED AMT</t>
  </si>
  <si>
    <t>F TUP DRAWDOWN AMT</t>
  </si>
  <si>
    <t>F TUP RECOGNISED AMT</t>
  </si>
  <si>
    <t>F USED DATA</t>
  </si>
  <si>
    <t>F USED DURATION</t>
  </si>
  <si>
    <t>F USED ROAMING DATA</t>
  </si>
  <si>
    <t>F USED ROAMING SMS</t>
  </si>
  <si>
    <t>F USED ROAMING VOICE</t>
  </si>
  <si>
    <t>F USED SMS</t>
  </si>
  <si>
    <t>F VAS REV</t>
  </si>
  <si>
    <t>F WLR CST</t>
  </si>
  <si>
    <t>LU_SERVICE_MATRIX_GROUP_ID</t>
  </si>
  <si>
    <t>LU SERVICE MATRIX GROUP ID</t>
  </si>
  <si>
    <t>PRICEPLAN_DESC_BEFORE</t>
  </si>
  <si>
    <t>PRICEPLAN DESC BEFORE</t>
  </si>
  <si>
    <t>INBUNDLE_REVENUE</t>
  </si>
  <si>
    <t>F INBUNDLE REVENUE</t>
  </si>
  <si>
    <t>OUTBUNDLE_REVENUE</t>
  </si>
  <si>
    <t>F OUTBUNDLE REVENUE</t>
  </si>
  <si>
    <t>f_total_revenue</t>
  </si>
  <si>
    <t>F TOTAL REVENUE</t>
  </si>
  <si>
    <t>F_R_INSURANCE_REV</t>
  </si>
  <si>
    <t>f_f_r_insurance_rev</t>
  </si>
  <si>
    <t>F F R INSURANCE REV</t>
  </si>
  <si>
    <t>f_total_revenue_q</t>
  </si>
  <si>
    <t>F TOTAL REVENUE Q</t>
  </si>
  <si>
    <t>f_after_total_revenue_q</t>
  </si>
  <si>
    <t>F AFTER TOTAL REVENUE Q</t>
  </si>
  <si>
    <t>stg_subscriber_ibro_prof_report_semantic_am_usl T1</t>
  </si>
  <si>
    <t>f_before_total_revenue_q</t>
  </si>
  <si>
    <t>F BEFORE TOTAL REVENUE Q</t>
  </si>
  <si>
    <t xml:space="preserve">f_after_total_revenue_q - f_before_total_revenue_q </t>
  </si>
  <si>
    <t>f_delta_total_revenue_q</t>
  </si>
  <si>
    <t>F DELTA TOTAL REVENUE Q</t>
  </si>
  <si>
    <t>INBUNDLE_REVENUE_Q</t>
  </si>
  <si>
    <t>f_inbundle_revenue_q</t>
  </si>
  <si>
    <t>F INBUNDLE REVENUE Q</t>
  </si>
  <si>
    <t>CHNLP_DIRECT_CST</t>
  </si>
  <si>
    <t>f_chnlp_direct_cst_q</t>
  </si>
  <si>
    <t>F CHNLP DIRECT CST Q</t>
  </si>
  <si>
    <t>f_after_chnlp_direct_cst_q</t>
  </si>
  <si>
    <t>F AFTER CHNLP DIRECT CST Q</t>
  </si>
  <si>
    <t>f_before_chnlp_direct_cst_q</t>
  </si>
  <si>
    <t>F BEFORE CHNLP DIRECT CST Q</t>
  </si>
  <si>
    <t>f_after_chnlp_direct_cst_q - f_before_chnlp_direct_cst_q</t>
  </si>
  <si>
    <t>f_delta_chnlp_direct_cst_q</t>
  </si>
  <si>
    <t>F DELTA CHNLP DIRECT CST Q</t>
  </si>
  <si>
    <t>CHNLP_TOTAL_REVENUE</t>
  </si>
  <si>
    <t>f_chnlp_total_revenue_q</t>
  </si>
  <si>
    <t>equivalent to CLTV</t>
  </si>
  <si>
    <t>CHNLP_EQUIPMENT_SUBSIDY</t>
  </si>
  <si>
    <t>f_chnlp_equipment_subsidy_q</t>
  </si>
  <si>
    <t>f_after_chnlp_equipment_subsidy_q</t>
  </si>
  <si>
    <t>f_before_chnlp_equipment_subsidy_q</t>
  </si>
  <si>
    <t>f_after_chnlp_equipment_subsidy_q - f_before_chnlp_equipment_subsidy_q</t>
  </si>
  <si>
    <t>f_delta_chnlp_equipment_subsidy_q</t>
  </si>
  <si>
    <t>F DELTA CHNLP EQUIPMENT SUBSIDY Q</t>
  </si>
  <si>
    <t>CHNLP_OPEX_DIGITAL</t>
  </si>
  <si>
    <t>f_chnlp_opex_digital_q</t>
  </si>
  <si>
    <t>CHNLP_COMMISSIONS</t>
  </si>
  <si>
    <t>f_chnlp_commissions_q</t>
  </si>
  <si>
    <t>CHNLP_TOTAL_OPEX</t>
  </si>
  <si>
    <t>f_chnlp_total_opex_q</t>
  </si>
  <si>
    <t>CHNLP_PRE_CHNL_COST_MARGINE</t>
  </si>
  <si>
    <t>f_chnlp_pre_chnl_cost_margine_q</t>
  </si>
  <si>
    <t>f_after_chnlp_pre_chnl_cost_margine_q</t>
  </si>
  <si>
    <t>f_before_chnlp_pre_chnl_cost_margine_q</t>
  </si>
  <si>
    <t xml:space="preserve">f_after_chnlp_pre_chnl_cost_margine_q - f_delta_chnlp_pre_chnl_cost_margine_q </t>
  </si>
  <si>
    <t>f_delta_chnlp_pre_chnl_cost_margine_q</t>
  </si>
  <si>
    <t>F DELTA CHNLP PRE CHNL COST MARGINE Q</t>
  </si>
  <si>
    <t>CHNLP_TOTAL_ANR_CST</t>
  </si>
  <si>
    <t>f_chnlp_total_anr_cst_q</t>
  </si>
  <si>
    <t>CHNLP_DIRECT_CST_MARGINE</t>
  </si>
  <si>
    <t>f_chnlp_direct_cst_margine_q</t>
  </si>
  <si>
    <t>f_after_chnlp_direct_cst_margine_q</t>
  </si>
  <si>
    <t>f_before_chnlp_direct_cst_margine_q</t>
  </si>
  <si>
    <t>f_after_chnlp_direct_cst_margine_q - f_before_chnlp_direct_cst_margine_q</t>
  </si>
  <si>
    <t>f_delta_chnlp_direct_cst_margine_q</t>
  </si>
  <si>
    <t>F DELTA CHNLP DIRECT CST MARGINE Q</t>
  </si>
  <si>
    <t>CHNLP_OPEX_FTE</t>
  </si>
  <si>
    <t>f_chnlp_opex_fte_q</t>
  </si>
  <si>
    <t>CHNLP_OPEX_CARE</t>
  </si>
  <si>
    <t>f_chnlp_opex_care_q</t>
  </si>
  <si>
    <t>LIFECYCLE_FLAG</t>
  </si>
  <si>
    <t>CHNLP_INTERCONNECT_CST</t>
  </si>
  <si>
    <t>f_chnlp_interconnect_cst_q</t>
  </si>
  <si>
    <t>CHNLP_OPEX_OTHERS</t>
  </si>
  <si>
    <t>f_chnlp_opex_others_q</t>
  </si>
  <si>
    <t>CHNLP_FIXEDLINE_CST</t>
  </si>
  <si>
    <t>f_chnlp_fixedline_cst_q</t>
  </si>
  <si>
    <t>CHNLP_INCOMING_REV</t>
  </si>
  <si>
    <t>f_chnlp_incoming_rev_q</t>
  </si>
  <si>
    <t>CHNLP_OPEX_RENT</t>
  </si>
  <si>
    <t>f_chnlp_opex_rent_q</t>
  </si>
  <si>
    <t>CHNLP_CONTENT_COST</t>
  </si>
  <si>
    <t>f_chnlp_content_cost_q</t>
  </si>
  <si>
    <t>AA_CLT
f_curr_subs_cnt</t>
  </si>
  <si>
    <t>AA_CLT/
f_curr_subs_cnt
note: f_curr_subs_cnt derived in row no. 850</t>
  </si>
  <si>
    <t>f_inflow_clt</t>
  </si>
  <si>
    <t>f_after_inflow_clt</t>
  </si>
  <si>
    <t>AA_CLT/
f_bef_subs_cnt
note: f_bef_subs_cnt derived in row no. 851</t>
  </si>
  <si>
    <t>f_before_inflow_clt</t>
  </si>
  <si>
    <t>f_after_inflow_clt - f_before_inflow_clt</t>
  </si>
  <si>
    <t>f_delta_inflow_clt</t>
  </si>
  <si>
    <t>INSTALLATION_COST</t>
  </si>
  <si>
    <t>f_installation_cost</t>
  </si>
  <si>
    <t>MISSED APPOINTMENTS</t>
  </si>
  <si>
    <t>f_missed_appointments</t>
  </si>
  <si>
    <t>MODEM</t>
  </si>
  <si>
    <t>f_modem</t>
  </si>
  <si>
    <t>F_ANNUAL_PRICE_ADJ</t>
  </si>
  <si>
    <t>tenure</t>
  </si>
  <si>
    <t>f_est_tenure</t>
  </si>
  <si>
    <t>f_log_debt_sale_cst_q</t>
  </si>
  <si>
    <t>f_used_data_calc_q</t>
  </si>
  <si>
    <t>f_duratio_sum_calc_q</t>
  </si>
  <si>
    <t>f_insurance_rev_s</t>
  </si>
  <si>
    <t>f_insurance_cst</t>
  </si>
  <si>
    <t>f_content_rev_s</t>
  </si>
  <si>
    <t>f_content_cst_q</t>
  </si>
  <si>
    <t>stg_subscriber_ibro_prof_report_semantic_am_usl  T</t>
  </si>
  <si>
    <t>CHNLP_DIRECT_CST_MARGINE +CHNLP_EQUIPMENT_SUBSIDY</t>
  </si>
  <si>
    <t>f_after_direct_net_margin_q</t>
  </si>
  <si>
    <t>stg_subscriber_ibro_prof_report_semantic_am_usl  T1</t>
  </si>
  <si>
    <t>f_before_direct_net_margin_q</t>
  </si>
  <si>
    <t xml:space="preserve">f_after_direct_net_margin - f_before_direct_net_margin </t>
  </si>
  <si>
    <t>f_delta_direct_net_margin_q</t>
  </si>
  <si>
    <t>.</t>
  </si>
  <si>
    <t>CHNLP_TOTAL_REVENUE +CHNLP_DIRECT_CST + CHNLP_TOTAL_ANR_CST +F_BAD_DEBT+CHNLP_TOTAL_OPEX</t>
  </si>
  <si>
    <t>f_after_npv_q</t>
  </si>
  <si>
    <t>f_before_npv_q</t>
  </si>
  <si>
    <t>f_after_npv - f_before_npv</t>
  </si>
  <si>
    <t>f_delta_npv_q</t>
  </si>
  <si>
    <t>f_chnlp_direct_cst_margine_sac, 
Channel_Cost 
Note: both fields are derived in same table</t>
  </si>
  <si>
    <r>
      <t xml:space="preserve">if both [f_chnlp_direct_cst_margine_sac] and Channel_Cost are both positive or both negative then  use
 (f_chnlp_direct_cst_margine_sac - Channel_Cost))  /  f_chnlp_direct_cst_margine_sac   
else if either one of them is positive and other negative then use
(f_chnlp_direct_cst_margine_sac + Channel_Cost)  /  f_chnlp_direct_cst_margine_sac
</t>
    </r>
    <r>
      <rPr>
        <strike/>
        <sz val="10"/>
        <color rgb="FFFF0000"/>
        <rFont val="Aptos Narrow"/>
        <family val="2"/>
      </rPr>
      <t xml:space="preserve">
</t>
    </r>
  </si>
  <si>
    <t>f_after_ROI_q</t>
  </si>
  <si>
    <t>Rate of interest for current month</t>
  </si>
  <si>
    <r>
      <rPr>
        <sz val="10"/>
        <color theme="1"/>
        <rFont val="Aptos Narrow"/>
        <family val="2"/>
      </rPr>
      <t>((chnlp_total_revenue+CHNLP_INCOMING_REV) - ABS(CHNLP_FIXEDLINE_CST+
CHNLP_INTERCONNECT_CST+
CHNLP_CONTENT_COST)) - (ABS(CHNLP_COMMISSIONS)+ABS(LOG_DEBT_SALE_CST)+ABS(f_bad_debt)+ABS(chnlp_total_opex)) /
((chnlp_total_revenue+CHNLP_INCOMING_REV) - ABS(CHNLP_FIXEDLINE_CST+
CHNLP_INTERCONNECT_CST+
CHNLP_CONTENT_COST))</t>
    </r>
    <r>
      <rPr>
        <strike/>
        <sz val="10"/>
        <color rgb="FFFF0000"/>
        <rFont val="Aptos Narrow"/>
        <family val="2"/>
      </rPr>
      <t xml:space="preserve">
</t>
    </r>
  </si>
  <si>
    <t>f_before_ROI_q</t>
  </si>
  <si>
    <t>Rate of interest for previous month</t>
  </si>
  <si>
    <t>f_after_ROI - f_before_ROI</t>
  </si>
  <si>
    <t>f_delta_ROI</t>
  </si>
  <si>
    <t>difference of rate of interest between current and previous month</t>
  </si>
  <si>
    <t>CHNLP_EQUIPMENT_SUBSIDY +TOTAL_REVENUE_Q</t>
  </si>
  <si>
    <t>f_after_net_revenue</t>
  </si>
  <si>
    <t>Net revenue of current month</t>
  </si>
  <si>
    <t>f_before_net_revenue</t>
  </si>
  <si>
    <t>Net revenue of previous month</t>
  </si>
  <si>
    <t>f_after_net_revenue - f_before_net_revenue</t>
  </si>
  <si>
    <t>f_delta_net_revenue</t>
  </si>
  <si>
    <t>Net revenue between current and previous month</t>
  </si>
  <si>
    <t>F_COMMISSION_CST +LOG_DEBT_SALE_CST +F_BAD_DEBT +CHNLP_TOTAL_OPEX +CHNLP_DIRECT_CST</t>
  </si>
  <si>
    <t>f_after_total_cost</t>
  </si>
  <si>
    <t>Total cost for current month</t>
  </si>
  <si>
    <t>f_before_total_cost</t>
  </si>
  <si>
    <t>Total cost for previous month</t>
  </si>
  <si>
    <t>f_after_total_cost - f_before_total_cost</t>
  </si>
  <si>
    <t>f_delta_total_cost</t>
  </si>
  <si>
    <t>difference of total cost between current and previous month</t>
  </si>
  <si>
    <t>f_chnlp_commissions_q+f_log_debt_sale_cst_q+f_bad_debt+f_chnlp_total_opex_q</t>
  </si>
  <si>
    <t>Channel_Cost</t>
  </si>
  <si>
    <t>CHANNEL COST</t>
  </si>
  <si>
    <t>stg_subscriber_ibro_prof_report_semantic_am_usl T left join 
stg_app_subscriber_ibro_tgt_usl T1
ON T.SUB_SUBSCRIPTION_CD = T1.SUBSCRIPTION_CD
AND T.CUS_CUSTOMER_CD= T1.CUSTOMER_CD
AND T.RPT_MONTH = T1.reporting_month_cd
and T.sub_bill_type_ext_cd=T1.sub_bill_type_ext_cd</t>
  </si>
  <si>
    <r>
      <rPr>
        <strike/>
        <sz val="10"/>
        <rFont val="Vodafone Rg"/>
        <family val="2"/>
      </rPr>
      <t xml:space="preserve">
</t>
    </r>
    <r>
      <rPr>
        <sz val="10"/>
        <rFont val="Vodafone Rg"/>
        <family val="2"/>
      </rPr>
      <t>If T1.Transaction_Type=' Base' Then 1 else 0 end</t>
    </r>
  </si>
  <si>
    <t>is_in_ibro_base_bi</t>
  </si>
  <si>
    <t>migr_in_ind_bi</t>
  </si>
  <si>
    <t>migr_out_ind_bi</t>
  </si>
  <si>
    <t>If T1.curr_priceplan&lt;&gt;T1.prev_priceplan then 1 else 0 trim the columns</t>
  </si>
  <si>
    <t>tariff_change_ind_bi</t>
  </si>
  <si>
    <t>tariff_change_ind</t>
  </si>
  <si>
    <t>Populate NA</t>
  </si>
  <si>
    <t>migr_in_adj_to_base_ind_bi</t>
  </si>
  <si>
    <t>migr_in_adj_to_base_ind</t>
  </si>
  <si>
    <t>ibro_scenario_lvl_1_bi</t>
  </si>
  <si>
    <t>ibro_scenario_lvl_1</t>
  </si>
  <si>
    <t>ibro_scenario_lvl_2_bi</t>
  </si>
  <si>
    <t>ibro_scenario_lvl_2</t>
  </si>
  <si>
    <t>conn_dt_bi</t>
  </si>
  <si>
    <t>acq_chnl_lvl_1_bi</t>
  </si>
  <si>
    <t>acq_chnl_lvl_2_bi</t>
  </si>
  <si>
    <t>acq_chnl_lvl_3_bi</t>
  </si>
  <si>
    <t>acq_chnl_lvl_4_bi</t>
  </si>
  <si>
    <t>retention_chnl_lvl_1_bi</t>
  </si>
  <si>
    <t>retention_chnl_lvl_2_bi</t>
  </si>
  <si>
    <t>retention_chnl_lvl_3_bi</t>
  </si>
  <si>
    <t>retention_chnl_lvl_4_bi</t>
  </si>
  <si>
    <t>Mobile'</t>
  </si>
  <si>
    <t>business_line_lvl_1_name_bi</t>
  </si>
  <si>
    <t>business_line_lvl_1_name</t>
  </si>
  <si>
    <t>curr_business_line_lvl_2_name_bi</t>
  </si>
  <si>
    <t>curr_business_line_lvl_2_name</t>
  </si>
  <si>
    <t>prev_business_line_lvl_2_name_bi</t>
  </si>
  <si>
    <t>prev_business_line_lvl_2_name</t>
  </si>
  <si>
    <t>curr_tariff_lvl_1_name_bi</t>
  </si>
  <si>
    <t>curr_tariff_lvl_1_name</t>
  </si>
  <si>
    <t>curr_tariff_lvl_2_name_bi</t>
  </si>
  <si>
    <t>curr_tariff_lvl_2_name</t>
  </si>
  <si>
    <t>curr_tariff_lvl_3_name_bi</t>
  </si>
  <si>
    <t>curr_tariff_lvl_3_name</t>
  </si>
  <si>
    <t>curr_tariff_lvl_4_name_bi</t>
  </si>
  <si>
    <t>curr_tariff_lvl_4_name</t>
  </si>
  <si>
    <t>prev_tariff_lvl_1_name_bi</t>
  </si>
  <si>
    <t>prev_tariff_lvl_1_name</t>
  </si>
  <si>
    <t>prev_tariff_lvl_2_name_bi</t>
  </si>
  <si>
    <t>prev_tariff_lvl_2_name</t>
  </si>
  <si>
    <t>prev_tariff_lvl_3_name_bi</t>
  </si>
  <si>
    <t>prev_tariff_lvl_3_name</t>
  </si>
  <si>
    <t>prev_tariff_lvl_4_name_bi</t>
  </si>
  <si>
    <t>prev_tariff_lvl_4_name</t>
  </si>
  <si>
    <t>curr_loc_tariff_lvl_1_name_bi</t>
  </si>
  <si>
    <t>curr_loc_tariff_lvl_1_name</t>
  </si>
  <si>
    <t>curr_loc_tariff_lvl_2_name_bi</t>
  </si>
  <si>
    <t>curr_loc_tariff_lvl_2_name</t>
  </si>
  <si>
    <t>curr_loc_tariff_lvl_3_name_bi</t>
  </si>
  <si>
    <t>curr_loc_tariff_lvl_3_name</t>
  </si>
  <si>
    <t>curr_loc_tariff_lvl_4_name_bi</t>
  </si>
  <si>
    <t>curr_loc_tariff_lvl_4_name</t>
  </si>
  <si>
    <t>prev_loc_tariff_lvl_1_name_bi</t>
  </si>
  <si>
    <t>prev_loc_tariff_lvl_1_name</t>
  </si>
  <si>
    <t>prev_loc_tariff_lvl_2_name_bi</t>
  </si>
  <si>
    <t>prev_loc_tariff_lvl_2_name</t>
  </si>
  <si>
    <t>prev_loc_tariff_lvl_3_name_bi</t>
  </si>
  <si>
    <t>prev_loc_tariff_lvl_3_name</t>
  </si>
  <si>
    <t>prev_loc_tariff_lvl_4_name_bi</t>
  </si>
  <si>
    <t>prev_loc_tariff_lvl_4_name</t>
  </si>
  <si>
    <t>curr_revenue_seg_bi</t>
  </si>
  <si>
    <t>curr_revenue_seg</t>
  </si>
  <si>
    <t>prev_revenue_seg_bi</t>
  </si>
  <si>
    <t>prev_revenue_seg</t>
  </si>
  <si>
    <r>
      <t xml:space="preserve">All the below column is from T1 table
When Transaction Type in Inflow and Outflow then populate </t>
    </r>
    <r>
      <rPr>
        <strike/>
        <sz val="10"/>
        <color rgb="FFFF0000"/>
        <rFont val="Vodafone Rg"/>
        <family val="2"/>
      </rPr>
      <t>NULL</t>
    </r>
    <r>
      <rPr>
        <sz val="10"/>
        <rFont val="Vodafone Rg"/>
        <family val="2"/>
      </rPr>
      <t xml:space="preserve"> </t>
    </r>
    <r>
      <rPr>
        <b/>
        <sz val="10"/>
        <rFont val="Vodafone Rg"/>
        <family val="2"/>
      </rPr>
      <t>NA</t>
    </r>
    <r>
      <rPr>
        <sz val="10"/>
        <rFont val="Vodafone Rg"/>
        <family val="2"/>
      </rPr>
      <t xml:space="preserve">
when curr_mobile_cust_revenue &gt; prev_mobile_cust_revenue Populate 'UPGRADE' 
when curr_mobile_cust_revenue &lt; prev_mobile_cust_revenue Populate 'DOWNGRADE' 
Else 'NO CHANGE'</t>
    </r>
  </si>
  <si>
    <t>revenue_change_bi</t>
  </si>
  <si>
    <t>revenue_change</t>
  </si>
  <si>
    <t>fin_value_type_bi</t>
  </si>
  <si>
    <t>fin_value_type</t>
  </si>
  <si>
    <t>actuals_ind_bi</t>
  </si>
  <si>
    <t>actuals_ind</t>
  </si>
  <si>
    <t>estimates_ind_bi</t>
  </si>
  <si>
    <t>estimates_ind</t>
  </si>
  <si>
    <t>adjusted_actuals_ind_bi</t>
  </si>
  <si>
    <t>adjusted_actuals_ind</t>
  </si>
  <si>
    <t>Euro'</t>
  </si>
  <si>
    <t>currency_cd_bi</t>
  </si>
  <si>
    <t>currency_cd</t>
  </si>
  <si>
    <t>num_of_voice_rgus_bi</t>
  </si>
  <si>
    <t>num_of_voice_rgus</t>
  </si>
  <si>
    <t>num_of_tv_rgus_bi</t>
  </si>
  <si>
    <t>num_of_tv_rgus</t>
  </si>
  <si>
    <t>num_of_bb_rgus_bi</t>
  </si>
  <si>
    <t>num_of_bb_rgus</t>
  </si>
  <si>
    <t>f_mobile_recontract_ind_bi</t>
  </si>
  <si>
    <t xml:space="preserve">All the below column is from T1 table
Case when f_mobile_recontract_ind=1 then curr_f_recurr_revenue_amt-prev_f_recurr_revenue_amt-curr_F_DICOUNT_CST else 0 end </t>
  </si>
  <si>
    <t>f_mobile_recontract_delta_rev_bi</t>
  </si>
  <si>
    <t>f_mobile_recontract_delta_rev</t>
  </si>
  <si>
    <t>cus_customer_sub_type_bi</t>
  </si>
  <si>
    <t>cus_customer_sub_type</t>
  </si>
  <si>
    <t>chnl_level_1_bi</t>
  </si>
  <si>
    <t>chnl_level_2_bi</t>
  </si>
  <si>
    <t>chnl_level_3_bi</t>
  </si>
  <si>
    <t>chnl_level_4_bi</t>
  </si>
  <si>
    <t>number</t>
  </si>
  <si>
    <t>f_subsidy_unitry</t>
  </si>
  <si>
    <t>curr_fixed_line_cust_revenue</t>
  </si>
  <si>
    <t>Decimal (18,4)</t>
  </si>
  <si>
    <t>f_curr_fixed_line_cust_revenue</t>
  </si>
  <si>
    <t>curr_fixed_line_voice_only_revenue</t>
  </si>
  <si>
    <t>f_curr_fixed_line_voice_only_revenue</t>
  </si>
  <si>
    <t>curr_fixed_line_voice_only_ib_revenue</t>
  </si>
  <si>
    <t>f_curr_fixed_line_voice_only_ib_revenue</t>
  </si>
  <si>
    <t>curr_fixed_line_voice_only_oob_revenue</t>
  </si>
  <si>
    <t>f_curr_fixed_line_voice_only_oob_revenue</t>
  </si>
  <si>
    <t>curr_fixed_line_tv_revenue</t>
  </si>
  <si>
    <t>f_curr_fixed_line_tv_revenue</t>
  </si>
  <si>
    <t>curr_fixed_line_tv_ib_revenue</t>
  </si>
  <si>
    <t>f_curr_fixed_line_tv_ib_revenue</t>
  </si>
  <si>
    <t>curr_fixed_line_tv_oob_revenue</t>
  </si>
  <si>
    <t>f_curr_fixed_line_tv_oob_revenue</t>
  </si>
  <si>
    <t>curr_fixed_line_bb_revenue</t>
  </si>
  <si>
    <t>f_curr_fixed_line_bb_revenue</t>
  </si>
  <si>
    <t>curr_fixed_line_bb_ib_revenue</t>
  </si>
  <si>
    <t>f_curr_fixed_line_bb_ib_revenue</t>
  </si>
  <si>
    <t>curr_fixed_line_bb_oob_revenue</t>
  </si>
  <si>
    <t>f_curr_fixed_line_bb_oob_revenue</t>
  </si>
  <si>
    <t>curr_fixed_line_voice_oob_revenue</t>
  </si>
  <si>
    <t>f_curr_fixed_line_voice_oob_revenue</t>
  </si>
  <si>
    <t>curr_fixed_line_other_revenue</t>
  </si>
  <si>
    <t>f_curr_fixed_line_other_revenue</t>
  </si>
  <si>
    <t/>
  </si>
  <si>
    <t>GROSS ADD RPT IND</t>
  </si>
  <si>
    <t>NET DISCONN RPT IND</t>
  </si>
  <si>
    <t>curr_mobile_cust_revenue</t>
  </si>
  <si>
    <t>curr_f_inbundle_revenue+curr_f_outbundle_revenue</t>
  </si>
  <si>
    <t>f_curr_mobile_cust_revenue</t>
  </si>
  <si>
    <t>F CURR MOBILE CUST REVENUE</t>
  </si>
  <si>
    <t>f_curr_mobile_ib_revenue</t>
  </si>
  <si>
    <t>F CURR MOBILE IB REVENUE</t>
  </si>
  <si>
    <t>f_curr_mobile_oob_revenue</t>
  </si>
  <si>
    <t>F CURR MOBILE OOB REVENUE</t>
  </si>
  <si>
    <t>curr_mobile_oob_domestic_revenue</t>
  </si>
  <si>
    <t>curr_F_OB_NTL_VOICE_REV+curr_F_OB_NTL_SMS_REV+curr_F_OB_DATA_REV</t>
  </si>
  <si>
    <t>f_curr_mobile_oob_domestic_revenue</t>
  </si>
  <si>
    <t>F CURR MOBILE OOB DOMESTIC REVENUE</t>
  </si>
  <si>
    <t xml:space="preserve">curr_f_ob_ntl_voice_rev </t>
  </si>
  <si>
    <t>f_curr_mobile_oob_domestic_voice_revenue</t>
  </si>
  <si>
    <t>F CURR MOBILE OOB DOMESTIC VOICE REVENUE</t>
  </si>
  <si>
    <t>f_curr_mobile_oob_domestic_mssg_revenue</t>
  </si>
  <si>
    <t>F CURR MOBILE OOB DOMESTIC MSSG REVENUE</t>
  </si>
  <si>
    <t>f_curr_mobile_oob_domestic_data_revenue</t>
  </si>
  <si>
    <t>F CURR MOBILE OOB DOMESTIC DATA REVENUE</t>
  </si>
  <si>
    <t>curr_oob_roaming_revenue</t>
  </si>
  <si>
    <t>curr_F_ROAMING_VOICE_REV+curr_F_ROAMING_SMS_REV+curr_F_ROAMING_DATA_REV</t>
  </si>
  <si>
    <t>f_curr_oob_roaming_revenue</t>
  </si>
  <si>
    <t>F CURR OOB ROAMING REVENUE</t>
  </si>
  <si>
    <t>f_curr_oob_roaming_voice_revenue</t>
  </si>
  <si>
    <t>F CURR OOB ROAMING VOICE REVENUE</t>
  </si>
  <si>
    <t>f_curr_oob_roaming_mssg_revenue</t>
  </si>
  <si>
    <t>F CURR OOB ROAMING MSSG REVENUE</t>
  </si>
  <si>
    <t>f_curr_oob_roaming_data_revenue</t>
  </si>
  <si>
    <t>F CURR OOB ROAMING DATA REVENUE</t>
  </si>
  <si>
    <t>curr_f_outbundle_revenue -(curr_F_OB_NTL_VOICE_REV+curr_F_OB_NTL_SMS_REV+curr_F_OB_DATA_REV+curr_F_ROAMING_VOICE_REV+curr_F_ROAMING_SMS_REV+curr_F_ROAMING_DATA_REV)</t>
  </si>
  <si>
    <t>f_curr_mobile_oob_other_revenue</t>
  </si>
  <si>
    <t>F CURR MOBILE OOB OTHER REVENUE</t>
  </si>
  <si>
    <t>f_curr_f_assigned_rc_amt</t>
  </si>
  <si>
    <t>F CURR F ASSIGNED RC AMT</t>
  </si>
  <si>
    <t>f_curr_f_maf_amt</t>
  </si>
  <si>
    <t>F CURR F MAF AMT</t>
  </si>
  <si>
    <t>f_curr_f_recurr_revenue_amt</t>
  </si>
  <si>
    <t>F CURR F RECURR REVENUE AMT</t>
  </si>
  <si>
    <t>f_curr_f_anual_price_adj</t>
  </si>
  <si>
    <t>F CURR F ANUAL PRICE ADJ</t>
  </si>
  <si>
    <t>f_curr_subsidy_unitry</t>
  </si>
  <si>
    <t>F CURR SUBSIDY UNITRY</t>
  </si>
  <si>
    <t>f_curr_subsidy_alloc_unitary</t>
  </si>
  <si>
    <t>F CURR SUBSIDY ALLOC UNITARY</t>
  </si>
  <si>
    <t>f_curr_f_dicount_cst</t>
  </si>
  <si>
    <t>F CURR F DICOUNT CST</t>
  </si>
  <si>
    <t>prev_fixed_line_cust_revenue</t>
  </si>
  <si>
    <t>f_prev_fixed_line_cust_revenue</t>
  </si>
  <si>
    <t>F PREV FIXED LINE CUST REVENUE</t>
  </si>
  <si>
    <t>prev_fixed_line_voice_only_revenue</t>
  </si>
  <si>
    <t>f_prev_fixed_line_voice_only_revenue</t>
  </si>
  <si>
    <t>F PREV FIXED LINE VOICE ONLY REVENUE</t>
  </si>
  <si>
    <t>prev_fixed_line_voice_only_ib_revenue</t>
  </si>
  <si>
    <t>f_prev_fixed_line_voice_only_ib_revenue</t>
  </si>
  <si>
    <t>F PREV FIXED LINE VOICE ONLY IB REVENUE</t>
  </si>
  <si>
    <t>prev_fixed_line_voice_only_oob_revenue</t>
  </si>
  <si>
    <t>f_prev_fixed_line_voice_only_oob_revenue</t>
  </si>
  <si>
    <t>F PREV FIXED LINE VOICE ONLY OOB REVENUE</t>
  </si>
  <si>
    <t>prev_fixed_line_tv_revenue</t>
  </si>
  <si>
    <t>f_prev_fixed_line_tv_revenue</t>
  </si>
  <si>
    <t>F PREV FIXED LINE TV REVENUE</t>
  </si>
  <si>
    <t>prev_fixed_line_tv_ib_revenue</t>
  </si>
  <si>
    <t>f_prev_fixed_line_tv_ib_revenue</t>
  </si>
  <si>
    <t>F PREV FIXED LINE TV IB REVENUE</t>
  </si>
  <si>
    <t>prev_fixed_line_tv_oob_revenue</t>
  </si>
  <si>
    <t>f_prev_fixed_line_tv_oob_revenue</t>
  </si>
  <si>
    <t>F PREV FIXED LINE TV OOB REVENUE</t>
  </si>
  <si>
    <t>prev_fixed_line_bb_revenue</t>
  </si>
  <si>
    <t>f_prev_fixed_line_bb_revenue</t>
  </si>
  <si>
    <t>F PREV FIXED LINE BB REVENUE</t>
  </si>
  <si>
    <t>prev_fixed_line_bb_ib_revenue</t>
  </si>
  <si>
    <t>f_prev_fixed_line_bb_ib_revenue</t>
  </si>
  <si>
    <t>F PREV FIXED LINE BB IB REVENUE</t>
  </si>
  <si>
    <t>prev_fixed_line_bb_oob_revenue</t>
  </si>
  <si>
    <t>f_prev_fixed_line_bb_oob_revenue</t>
  </si>
  <si>
    <t>F PREV FIXED LINE BB OOB REVENUE</t>
  </si>
  <si>
    <t>prev_fixed_line_voice_oob_revenue</t>
  </si>
  <si>
    <t>f_prev_fixed_line_voice_oob_revenue</t>
  </si>
  <si>
    <t>F PREV FIXED LINE VOICE OOB REVENUE</t>
  </si>
  <si>
    <t>prev_fixed_line_other_revenue</t>
  </si>
  <si>
    <t>f_prev_fixed_line_other_revenue</t>
  </si>
  <si>
    <t>F PREV FIXED LINE OTHER REVENUE</t>
  </si>
  <si>
    <t>prev_mobile_cust_revenue</t>
  </si>
  <si>
    <t>prev_f_inbundle_revenue+prev_f_outbundle_revenue</t>
  </si>
  <si>
    <t>f_prev_mobile_cust_revenue</t>
  </si>
  <si>
    <t>F PREV MOBILE CUST REVENUE</t>
  </si>
  <si>
    <t>f_prev_mobile_ib_revenue</t>
  </si>
  <si>
    <t>F PREV MOBILE IB REVENUE</t>
  </si>
  <si>
    <t>f_prev_mobile_oob_revenue</t>
  </si>
  <si>
    <t>F PREV MOBILE OOB REVENUE</t>
  </si>
  <si>
    <t>prev_mobile_oob_domestic_revenue</t>
  </si>
  <si>
    <t>prev_F_OB_NTL_VOICE_REV+prev_F_OB_NTL_SMS_REV+prev_F_OB_DATA_REV</t>
  </si>
  <si>
    <t>f_prev_mobile_oob_domestic_revenue</t>
  </si>
  <si>
    <t>F PREV MOBILE OOB DOMESTIC REVENUE</t>
  </si>
  <si>
    <t>f_prev_mobile_oob_domestic_voice_revenue</t>
  </si>
  <si>
    <t>F PREV MOBILE OOB DOMESTIC VOICE REVENUE</t>
  </si>
  <si>
    <t>f_prev_mobile_oob_domestic_mssg_revenue</t>
  </si>
  <si>
    <t>F PREV MOBILE OOB DOMESTIC MSSG REVENUE</t>
  </si>
  <si>
    <t>f_prev_mobile_oob_domestic_data_revenue</t>
  </si>
  <si>
    <t>F PREV MOBILE OOB DOMESTIC DATA REVENUE</t>
  </si>
  <si>
    <t>prev_oob_roaming_revenue</t>
  </si>
  <si>
    <t>prev_F_ROAMING_VOICE_REV+prev_F_ROAMING_SMS_REV+prev_F_ROAMING_DATA_REV</t>
  </si>
  <si>
    <t>f_prev_oob_roaming_revenue</t>
  </si>
  <si>
    <t>F PREV OOB ROAMING REVENUE</t>
  </si>
  <si>
    <t>f_prev_oob_roaming_voice_revenue</t>
  </si>
  <si>
    <t>F PREV OOB ROAMING VOICE REVENUE</t>
  </si>
  <si>
    <t>f_prev_oob_roaming_mssg_revenue</t>
  </si>
  <si>
    <t>F PREV OOB ROAMING MSSG REVENUE</t>
  </si>
  <si>
    <t>f_prev_oob_roaming_data_revenue</t>
  </si>
  <si>
    <t>F PREV OOB ROAMING DATA REVENUE</t>
  </si>
  <si>
    <t xml:space="preserve">
prev_f_outbundle_revenue -(prev_F_OB_NTL_VOICE_REV+prev_F_OB_NTL_SMS_REV+prev_F_OB_DATA_REV+prev_F_ROAMING_VOICE_REV+prev_F_ROAMING_SMS_REV+prev_F_ROAMING_DATA_REV)</t>
  </si>
  <si>
    <t>f_prev_mobile_oob_other_revenue</t>
  </si>
  <si>
    <t>F PREV MOBILE OOB OTHER REVENUE</t>
  </si>
  <si>
    <t>f_prev_f_assigned_rc_amt</t>
  </si>
  <si>
    <t>F PREV F ASSIGNED RC AMT</t>
  </si>
  <si>
    <t>f_prev_f_maf_amt</t>
  </si>
  <si>
    <t>F PREV F MAF AMT</t>
  </si>
  <si>
    <t>f_prev_f_recurr_revenue_amt</t>
  </si>
  <si>
    <t>F PREV F RECURR REVENUE AMT</t>
  </si>
  <si>
    <t>f_prev_f_anual_price_adj</t>
  </si>
  <si>
    <t>F PREV F ANUAL PRICE ADJ</t>
  </si>
  <si>
    <t>f_prev_subsidy_unitry</t>
  </si>
  <si>
    <t>F PREV SUBSIDY UNITRY</t>
  </si>
  <si>
    <t>f_prev_subsidy_alloc_unitary</t>
  </si>
  <si>
    <t>F PREV SUBSIDY ALLOC UNITARY</t>
  </si>
  <si>
    <t>f_prev_f_dicount_cst</t>
  </si>
  <si>
    <t>F PREV F DICOUNT CST</t>
  </si>
  <si>
    <t>curr_f_recurr_revenue_amt,curr_f_anual_price_adj,curr_subsidy_unitry,curr_f_discount_cst</t>
  </si>
  <si>
    <t>curr_f_recurr_revenue_amt+curr_f_anual_price_adj-abs(curr_subsidy_unitry)-abs(curr_f_dicount_cst)</t>
  </si>
  <si>
    <t>f_curr_s15_revenue</t>
  </si>
  <si>
    <t>F CURR S15 REVENUE</t>
  </si>
  <si>
    <t>prev_f_recurr_revenue_amt,prev_f_anual_price_adj,prev_subsidy_unitry,prev_f_discount_cst</t>
  </si>
  <si>
    <t>prev_f_recurr_revenue_amt+prev_f_anual_price_adj-abs(prev_subsidy_unitry)-abs(prev_f_dicount_cst)</t>
  </si>
  <si>
    <t>f_prev_s15_revenue</t>
  </si>
  <si>
    <t>F PREV S15 REVENUE</t>
  </si>
  <si>
    <t>PLAN GROUP</t>
  </si>
  <si>
    <t>stg_subscriber_ibro_prof_report_semantic_am_usl T  left join  stg_ibro_01_base_usl on SUBSCRIPTION_CD , rpt_month , cust_market_segment_grp_desc</t>
  </si>
  <si>
    <t>SCENARIO_TYPE</t>
  </si>
  <si>
    <t>SCENARIO TYPE</t>
  </si>
  <si>
    <t>REPORTING_DATE_CD</t>
  </si>
  <si>
    <t>REPORTING DATE CD</t>
  </si>
  <si>
    <t>SUBS_STATUS_CD</t>
  </si>
  <si>
    <t>SUBS STATUS CD</t>
  </si>
  <si>
    <t>CUST_MARKET_SEGMENT_GRP_DESC</t>
  </si>
  <si>
    <t>CUST MARKET SEGMENT GRP DESC</t>
  </si>
  <si>
    <t>ACT_TENURE_BUCKET</t>
  </si>
  <si>
    <t>ACT TENURE BUCKET</t>
  </si>
  <si>
    <t>CHURN_TYPE_LDESC</t>
  </si>
  <si>
    <t>CHURN TYPE LDESC</t>
  </si>
  <si>
    <t>CUST_PRIM_ADDR_REGION</t>
  </si>
  <si>
    <t>CUST PRIM ADDR REGION</t>
  </si>
  <si>
    <t>CUST_PRIM_ADDR_TERRITORY</t>
  </si>
  <si>
    <t>CUST PRIM ADDR TERRITORY</t>
  </si>
  <si>
    <t>BEFORE_PRODUCT_TYPE_DESC</t>
  </si>
  <si>
    <t>BEFORE PRODUCT TYPE DESC</t>
  </si>
  <si>
    <t>AFTER_PRODUCT_TYPE_DESC</t>
  </si>
  <si>
    <t>AFTER PRODUCT TYPE DESC</t>
  </si>
  <si>
    <t>BEFORE_CUS_CUSTOMER_SUB_TYPE_DESC</t>
  </si>
  <si>
    <t>BEFORE CUS CUSTOMER SUB TYPE DESC</t>
  </si>
  <si>
    <t>AFTER_CUS_CUSTOMER_SUB_TYPE_DESC</t>
  </si>
  <si>
    <t>AFTER CUS CUSTOMER SUB TYPE DESC</t>
  </si>
  <si>
    <t>PORT OUT</t>
  </si>
  <si>
    <t>CLEAR FLAG</t>
  </si>
  <si>
    <t>BEFORE_SUBS_SUBSIDY_TYPE_DESC</t>
  </si>
  <si>
    <t>BEFORE SUBS SUBSIDY TYPE DESC</t>
  </si>
  <si>
    <t>AFTER_SUBS_SUBSIDY_TYPE_DESC</t>
  </si>
  <si>
    <t>AFTER SUBS SUBSIDY TYPE DESC</t>
  </si>
  <si>
    <t>SUBS_LIFECYCLE_L1_DESC</t>
  </si>
  <si>
    <t>SUBS LIFECYCLE L1 DESC</t>
  </si>
  <si>
    <t>SUBS_LIFECYCLE_L2_DESC</t>
  </si>
  <si>
    <t>SUBS LIFECYCLE L2 DESC</t>
  </si>
  <si>
    <t>SALE_CHNL</t>
  </si>
  <si>
    <t>SALE CHNL</t>
  </si>
  <si>
    <t>CONTRACT_DURATION</t>
  </si>
  <si>
    <t>f_contract_duration</t>
  </si>
  <si>
    <t>F CONTRACT DURATION</t>
  </si>
  <si>
    <t>BEFORE_OFFER_NUM</t>
  </si>
  <si>
    <t>BEFORE OFFER NUM</t>
  </si>
  <si>
    <t>BEFORE_OFFER_DESC</t>
  </si>
  <si>
    <t>BEFORE OFFER DESC</t>
  </si>
  <si>
    <t>BEFORE_OFFER_HIER_LEVEL_2_DESC</t>
  </si>
  <si>
    <t>BEFORE OFFER HIER LEVEL 2 DESC</t>
  </si>
  <si>
    <t>BEFORE_OFFER_HIER_LEVEL_3_DESC</t>
  </si>
  <si>
    <t>BEFORE OFFER HIER LEVEL 3 DESC</t>
  </si>
  <si>
    <t>AFTER_OFFER_NUM</t>
  </si>
  <si>
    <t>AFTER OFFER NUM</t>
  </si>
  <si>
    <t>AFTER_OFFER_DESC</t>
  </si>
  <si>
    <t>AFTER OFFER DESC</t>
  </si>
  <si>
    <t>AFTER_OFFER_HIER_LEVEL_2_DESC</t>
  </si>
  <si>
    <t>AFTER OFFER HIER LEVEL 2 DESC</t>
  </si>
  <si>
    <t>AFTER_OFFER_HIER_LEVEL_3_DESC</t>
  </si>
  <si>
    <t>Case when AFTER_CUS_CUSTOMER_SUB_TYPE_DESC IN ('SH56','SHDI','SHO','SHOS','SOHO')  then IFNULL(AFTER_OFFER_HIER_LEVEL_3_DESC, 'Mbb')  ELSE AFTER_OFFER_HIER_LEVEL_3_DESC</t>
  </si>
  <si>
    <t>AFTER OFFER HIER LEVEL 3 DESC</t>
  </si>
  <si>
    <t>VALUE_SEGMENT_TYPE</t>
  </si>
  <si>
    <t>VALUE SEGMENT TYPE</t>
  </si>
  <si>
    <t>CONSUMER_SEGMENT_LDESC</t>
  </si>
  <si>
    <t>CONSUMER SEGMENT LDESC</t>
  </si>
  <si>
    <t>FLAG_PP_MOVEMENT</t>
  </si>
  <si>
    <t>FLAG PP MOVEMENT</t>
  </si>
  <si>
    <t>TRANSACTION_SERVICE_SUBGROUP</t>
  </si>
  <si>
    <t>TRANSACTION SERVICE SUBGROUP</t>
  </si>
  <si>
    <t>FLAG_CONVERGENT_CUST</t>
  </si>
  <si>
    <t>FLAG CONVERGENT CUST</t>
  </si>
  <si>
    <t>F ACTIVE SRC</t>
  </si>
  <si>
    <t>BEFORE_SUBSIDY</t>
  </si>
  <si>
    <t>f_before_subsidy</t>
  </si>
  <si>
    <t>F BEFORE SUBSIDY</t>
  </si>
  <si>
    <t>BEFORE_DISCOUNT</t>
  </si>
  <si>
    <t>f_before_discount</t>
  </si>
  <si>
    <t>F BEFORE DISCOUNT</t>
  </si>
  <si>
    <t>BEFORE_REVENUE_INBUNDLE</t>
  </si>
  <si>
    <t>f_before_revenue_inbundle</t>
  </si>
  <si>
    <t>F BEFORE REVENUE INBUNDLE</t>
  </si>
  <si>
    <t>BEFORE_REVENUE_INSURANCE</t>
  </si>
  <si>
    <t>f_before_revenue_insurance</t>
  </si>
  <si>
    <t>F BEFORE REVENUE INSURANCE</t>
  </si>
  <si>
    <t>BEFORE_REVENUE_OUTBUNDLE_NA_IN</t>
  </si>
  <si>
    <t>f_before_revenue_outbundle_na_in</t>
  </si>
  <si>
    <t>F BEFORE REVENUE OUTBUNDLE NA IN</t>
  </si>
  <si>
    <t>BEFORE_REVENUE_OUTBUNDLE_RMG</t>
  </si>
  <si>
    <t>f_before_revenue_outbundle_rmg</t>
  </si>
  <si>
    <t>F BEFORE REVENUE OUTBUNDLE RMG</t>
  </si>
  <si>
    <t>BEFORE_REVENUE_OUTBUNDLE</t>
  </si>
  <si>
    <t>f_before_revenue_outbundle</t>
  </si>
  <si>
    <t>F BEFORE REVENUE OUTBUNDLE</t>
  </si>
  <si>
    <t>BEFORE_TOTAL_REVENUE</t>
  </si>
  <si>
    <t>f_before_total_revenue</t>
  </si>
  <si>
    <t>F BEFORE TOTAL REVENUE</t>
  </si>
  <si>
    <t>BEFORE_REVENUE_INCOMING</t>
  </si>
  <si>
    <t>f_before_revenue_incoming</t>
  </si>
  <si>
    <t>F BEFORE REVENUE INCOMING</t>
  </si>
  <si>
    <t>BEFORE_CREDIT</t>
  </si>
  <si>
    <t>f_before_credit</t>
  </si>
  <si>
    <t>F BEFORE CREDIT</t>
  </si>
  <si>
    <t>BEFORE_COST_NA_IN</t>
  </si>
  <si>
    <t>f_before_cost_na_in</t>
  </si>
  <si>
    <t>F BEFORE COST NA IN</t>
  </si>
  <si>
    <t>BEFORE_COST_ROA</t>
  </si>
  <si>
    <t>f_before_cost_roa</t>
  </si>
  <si>
    <t>F BEFORE COST ROA</t>
  </si>
  <si>
    <t>BEFORE_COST</t>
  </si>
  <si>
    <t>f_before_cost</t>
  </si>
  <si>
    <t>F BEFORE COST</t>
  </si>
  <si>
    <t>BEFORE_MARGIN</t>
  </si>
  <si>
    <t>f_before_margin</t>
  </si>
  <si>
    <t>F BEFORE MARGIN</t>
  </si>
  <si>
    <t>BEFORE_REVENUE_RATA_WO_TVA</t>
  </si>
  <si>
    <t>f_before_revenue_rata_wo_tva</t>
  </si>
  <si>
    <t>F BEFORE REVENUE RATA WO TVA</t>
  </si>
  <si>
    <t>(case when  TRANSACTION_TYPE = 'INFLOW' AND AFTER_CUS_CUSTOMER_SUB_TYPE_DESC IN ('SH56','SHDI','SHO','SHOS','SOHO') and F_NEW_ACTIVATION &lt; 0 then F_NEW_ACTIVATION else 1 end )</t>
  </si>
  <si>
    <t>f_after_subscr_count</t>
  </si>
  <si>
    <t>F AFTER SUBSCR COUNT</t>
  </si>
  <si>
    <t>(case when CAST(F_NEW_ACTIVATION AS INT64) &lt; 0 and CAST(F_ACTIVE_SRC AS INT64) = 1 then -1 else CAST(F_ACTIVE_SRC AS INT64) end )</t>
  </si>
  <si>
    <t>f_after_subscr_count_cb</t>
  </si>
  <si>
    <t>F AFTER SUBSCR COUNT CB</t>
  </si>
  <si>
    <t>AFTER_DISCOUNT</t>
  </si>
  <si>
    <t>f_after_discount</t>
  </si>
  <si>
    <t>F AFTER DISCOUNT</t>
  </si>
  <si>
    <t>AFTER_REVENUE_INBUNDLE</t>
  </si>
  <si>
    <t>f_after_revenue_inbundle</t>
  </si>
  <si>
    <t>F AFTER REVENUE INBUNDLE</t>
  </si>
  <si>
    <t>AFTER_REVENUE_INSURANCE</t>
  </si>
  <si>
    <t>f_after_revenue_insurance</t>
  </si>
  <si>
    <t>F AFTER REVENUE INSURANCE</t>
  </si>
  <si>
    <t>AFTER_REVENUE_OUTBUNDLE_NA_IN</t>
  </si>
  <si>
    <t>f_after_revenue_outbundle_na_in</t>
  </si>
  <si>
    <t>F AFTER REVENUE OUTBUNDLE NA IN</t>
  </si>
  <si>
    <t>AFTER_REVENUE_OUTBUNDLE_RMG</t>
  </si>
  <si>
    <t>f_after_revenue_outbundle_rmg</t>
  </si>
  <si>
    <t>F AFTER REVENUE OUTBUNDLE RMG</t>
  </si>
  <si>
    <t>AFTER_REVENUE_OUTBUNDLE</t>
  </si>
  <si>
    <t>f_after_revenue_outbundle</t>
  </si>
  <si>
    <t>F AFTER REVENUE OUTBUNDLE</t>
  </si>
  <si>
    <t>AFTER_TOTAL_REVENUE</t>
  </si>
  <si>
    <t>f_after_total_revenue</t>
  </si>
  <si>
    <t>F AFTER TOTAL REVENUE</t>
  </si>
  <si>
    <t>AFTER_REVENUE_INCOMING</t>
  </si>
  <si>
    <t>f_after_revenue_incoming</t>
  </si>
  <si>
    <t>F AFTER REVENUE INCOMING</t>
  </si>
  <si>
    <t>AFTER_CREDIT</t>
  </si>
  <si>
    <t>f_after_credit</t>
  </si>
  <si>
    <t>F AFTER CREDIT</t>
  </si>
  <si>
    <t>AFTER_COST_NA_IN</t>
  </si>
  <si>
    <t>f_after_cost_na_in</t>
  </si>
  <si>
    <t>F AFTER COST NA IN</t>
  </si>
  <si>
    <t>AFTER_COST_ROA</t>
  </si>
  <si>
    <t>f_after_cost_roa</t>
  </si>
  <si>
    <t>F AFTER COST ROA</t>
  </si>
  <si>
    <t>AFTER_COST</t>
  </si>
  <si>
    <t>f_after_cost</t>
  </si>
  <si>
    <t>F AFTER COST</t>
  </si>
  <si>
    <t>AFTER_MARGIN</t>
  </si>
  <si>
    <t>f_after_margin</t>
  </si>
  <si>
    <t>F AFTER MARGIN</t>
  </si>
  <si>
    <t>f_after_reported_rev</t>
  </si>
  <si>
    <t>F AFTER REPORTED REV</t>
  </si>
  <si>
    <t>AFTER_REVENUE_RATA_WO_TVA</t>
  </si>
  <si>
    <t>f_after_revenue_rata_wo_tva</t>
  </si>
  <si>
    <t>F AFTER REVENUE RATA WO TVA</t>
  </si>
  <si>
    <t>AR_UPFRONT</t>
  </si>
  <si>
    <t>f_ar_upfront</t>
  </si>
  <si>
    <t>F AR UPFRONT</t>
  </si>
  <si>
    <t>DELTA_SUBSIDY</t>
  </si>
  <si>
    <t>f_delta_subsidy</t>
  </si>
  <si>
    <t>F DELTA SUBSIDY</t>
  </si>
  <si>
    <t>DELTA_DISCOUNT</t>
  </si>
  <si>
    <t>f_delta_discount</t>
  </si>
  <si>
    <t>F DELTA DISCOUNT</t>
  </si>
  <si>
    <t>DELTA_REVENUE_INBUNDLE</t>
  </si>
  <si>
    <t>f_delta_revenue_inbundle</t>
  </si>
  <si>
    <t>F DELTA REVENUE INBUNDLE</t>
  </si>
  <si>
    <t>DELTA_REVENUE_OUTBUNDLE_NA_IN</t>
  </si>
  <si>
    <t>f_delta_revenue_outbundle_na_in</t>
  </si>
  <si>
    <t>F DELTA REVENUE OUTBUNDLE NA IN</t>
  </si>
  <si>
    <t>DELTA_REVENUE_OUTBUNDLE_RMG</t>
  </si>
  <si>
    <t>f_delta_revenue_outbundle_rmg</t>
  </si>
  <si>
    <t>F DELTA REVENUE OUTBUNDLE RMG</t>
  </si>
  <si>
    <t>DELTA_REVENUE_OUTBUNDLE</t>
  </si>
  <si>
    <t>f_delta_revenue_outbundle</t>
  </si>
  <si>
    <t>F DELTA REVENUE OUTBUNDLE</t>
  </si>
  <si>
    <t>DELTA_TOTAL_REVENUE</t>
  </si>
  <si>
    <t>f_delta_total_revenue</t>
  </si>
  <si>
    <t>F DELTA TOTAL REVENUE</t>
  </si>
  <si>
    <t>DELTA_REVENUE_INCOMING</t>
  </si>
  <si>
    <t>f_delta_revenue_incoming</t>
  </si>
  <si>
    <t>F DELTA REVENUE INCOMING</t>
  </si>
  <si>
    <t>DELTA_CREDIT</t>
  </si>
  <si>
    <t>f_delta_credit</t>
  </si>
  <si>
    <t>F DELTA CREDIT</t>
  </si>
  <si>
    <t>DELTA_COST_NA_IN</t>
  </si>
  <si>
    <t>f_delta_cost_na_in</t>
  </si>
  <si>
    <t>F DELTA COST NA IN</t>
  </si>
  <si>
    <t>DELTA_COST_ROA</t>
  </si>
  <si>
    <t>f_delta_cost_roa</t>
  </si>
  <si>
    <t>F DELTA COST ROA</t>
  </si>
  <si>
    <t>DELTA_COST</t>
  </si>
  <si>
    <t>f_delta_cost</t>
  </si>
  <si>
    <t>F DELTA COST</t>
  </si>
  <si>
    <t>DELTA_MARGIN</t>
  </si>
  <si>
    <t>f_delta_margin</t>
  </si>
  <si>
    <t>F DELTA MARGIN</t>
  </si>
  <si>
    <t>DELTA_REPORTED_REV</t>
  </si>
  <si>
    <t>f_delta_reported_rev</t>
  </si>
  <si>
    <t>F DELTA REPORTED REV</t>
  </si>
  <si>
    <t>DELTA_REVENUE_RATA_WO_TVA</t>
  </si>
  <si>
    <t>f_delta_revenue_rata_wo_tva</t>
  </si>
  <si>
    <t>F DELTA REVENUE RATA WO TVA</t>
  </si>
  <si>
    <t xml:space="preserve"> ROUND off upto 2 decimals</t>
  </si>
  <si>
    <t>f_before_annual_price_adj</t>
  </si>
  <si>
    <t>F BEFORE ANNUAL PRICE ADJ</t>
  </si>
  <si>
    <t>f_after_annual_price_adj</t>
  </si>
  <si>
    <t>F AFTER ANNUAL PRICE ADJ</t>
  </si>
  <si>
    <t>BEFORE_FMLY_DISCOUNT</t>
  </si>
  <si>
    <t>f_before_fmly_discount</t>
  </si>
  <si>
    <t>F BEFORE FMLY DISCOUNT</t>
  </si>
  <si>
    <t>FAMILY_DISCOUNT_SHEET</t>
  </si>
  <si>
    <t>family disc unitry</t>
  </si>
  <si>
    <t>Join to Family Discount sheet FOR Previous month</t>
  </si>
  <si>
    <t>f_before_fmly_discount_unitry</t>
  </si>
  <si>
    <t>F BEFORE FMLY DISCOUNT UNITRY</t>
  </si>
  <si>
    <t>AFTER_FMLY_DISCOUNT</t>
  </si>
  <si>
    <t>f_after_fmly_discount</t>
  </si>
  <si>
    <t>F AFTER FMLY DISCOUNT</t>
  </si>
  <si>
    <t xml:space="preserve">Join to Family Discount sheet </t>
  </si>
  <si>
    <t>f_after_fmly_discount_unitry</t>
  </si>
  <si>
    <t>F AFTER FMLY DISCOUNT UNITRY</t>
  </si>
  <si>
    <t>BEFORE_ANNUAL_PRICE_ADJ_IND</t>
  </si>
  <si>
    <t>direct</t>
  </si>
  <si>
    <t>f_before_annual_price_adj_ind</t>
  </si>
  <si>
    <t>F BEFORE ANNUAL PRICE ADJ IND</t>
  </si>
  <si>
    <t>AFTER_ANNUAL_PRICE_ADJ_IND</t>
  </si>
  <si>
    <t>f_after_annual_price_adj_ind</t>
  </si>
  <si>
    <t>F AFTER ANNUAL PRICE ADJ IND</t>
  </si>
  <si>
    <t>Contract IBRO/ Channel Profitabilty</t>
  </si>
  <si>
    <t>BEFORE_TOTAL_IFA_DISC_CHRG</t>
  </si>
  <si>
    <t>f_before_total_ifa_disc_chrg</t>
  </si>
  <si>
    <t>F BEFORE TOTAL IFA DISC CHRG</t>
  </si>
  <si>
    <t>AFTER_TOTAL_IFA_DISC_CHRG</t>
  </si>
  <si>
    <t>f_after_total_ifa_disc_chrg</t>
  </si>
  <si>
    <t>F AFTER TOTAL IFA DISC CHRG</t>
  </si>
  <si>
    <t>BEFORE_TOTAL_MULTI_LINE_DISC_CHRG</t>
  </si>
  <si>
    <t>f_before_total_multi_line_disc_chrg</t>
  </si>
  <si>
    <t>F BEFORE TOTAL MULTI LINE DISC CHRG</t>
  </si>
  <si>
    <t>AFTER_TOTAL_MULTI_LINE_DISC_CHRG</t>
  </si>
  <si>
    <t>f_after_total_multi_line_disc_chrg</t>
  </si>
  <si>
    <t>F AFTER TOTAL MULTI LINE DISC CHRG</t>
  </si>
  <si>
    <t>BEFORE_SOHO_DISCOUNT</t>
  </si>
  <si>
    <t>f_before_soho_discount</t>
  </si>
  <si>
    <t>F BEFORE SOHO DISCOUNT</t>
  </si>
  <si>
    <t>SOHO DISCOUNT SHEET</t>
  </si>
  <si>
    <t>SOHO DISC Unitry</t>
  </si>
  <si>
    <t>f_before_soho_disc_unitry</t>
  </si>
  <si>
    <t>F BEFORE SOHO DISC UNITRY</t>
  </si>
  <si>
    <t>AFTER_SOHO_DISCOUNT</t>
  </si>
  <si>
    <t>f_after_soho_discount</t>
  </si>
  <si>
    <t>F AFTER SOHO DISCOUNT</t>
  </si>
  <si>
    <t>f_after_soho_disc_unitry</t>
  </si>
  <si>
    <t>F AFTER SOHO DISC UNITRY</t>
  </si>
  <si>
    <t>BEFORE_S15_ADJUSTMENT</t>
  </si>
  <si>
    <t>f_before_s15_adjustment</t>
  </si>
  <si>
    <t>F BEFORE S15 ADJUSTMENT</t>
  </si>
  <si>
    <t>AFTER_S15_ADJUSTMENT</t>
  </si>
  <si>
    <t>f_after_s15_adjustment</t>
  </si>
  <si>
    <t>F AFTER S15 ADJUSTMENT</t>
  </si>
  <si>
    <t>BEFOREE_RE_CONTRACT</t>
  </si>
  <si>
    <t>f_beforee_re_contract</t>
  </si>
  <si>
    <t>F BEFOREE RE CONTRACT</t>
  </si>
  <si>
    <t>AFTER_RE_CONTRACT</t>
  </si>
  <si>
    <t>f_after_re_contract</t>
  </si>
  <si>
    <t>F AFTER RE CONTRACT</t>
  </si>
  <si>
    <t>DELTA_ANNUAL_PRICE_ADJ</t>
  </si>
  <si>
    <t>f_delta_annual_price_adj</t>
  </si>
  <si>
    <t>F DELTA ANNUAL PRICE ADJ</t>
  </si>
  <si>
    <t>DELTA_FMLY_DISCOUNT</t>
  </si>
  <si>
    <t>f_delta_fmly_discount</t>
  </si>
  <si>
    <t>F DELTA FMLY DISCOUNT</t>
  </si>
  <si>
    <t>DELTA_TOTAL_IFA_DISC_CHRG</t>
  </si>
  <si>
    <t>f_delta_total_ifa_disc_chrg</t>
  </si>
  <si>
    <t>F DELTA TOTAL IFA DISC CHRG</t>
  </si>
  <si>
    <t>DELTA_TOTAL_MULTI_LINE_DISC_CHRG</t>
  </si>
  <si>
    <t>f_delta_total_multi_line_disc_chrg</t>
  </si>
  <si>
    <t>F DELTA TOTAL MULTI LINE DISC CHRG</t>
  </si>
  <si>
    <t>DELTA_SOHO_DISCOUNT</t>
  </si>
  <si>
    <t>f_delta_soho_discount</t>
  </si>
  <si>
    <t>F DELTA SOHO DISCOUNT</t>
  </si>
  <si>
    <t>DELTA_S15_ADJUSTMENT</t>
  </si>
  <si>
    <t>f_delta_s15_adjustment</t>
  </si>
  <si>
    <t>F DELTA S15 ADJUSTMENT</t>
  </si>
  <si>
    <t>DELTA_RE_CONTRACT</t>
  </si>
  <si>
    <t>f_delta_re_contract</t>
  </si>
  <si>
    <t>F DELTA RE CONTRACT</t>
  </si>
  <si>
    <t>DELTA_FMLY_DISCOUNT_UNITRY</t>
  </si>
  <si>
    <t>AFTER_FMLY_DISCOUNT_UNITRY-BEFORE_FMLY_DISCOUNT_UNITRY</t>
  </si>
  <si>
    <t>f_delta_fmly_discount_unitry</t>
  </si>
  <si>
    <t>F DELTA FMLY DISCOUNT UNITRY</t>
  </si>
  <si>
    <t>DELTA_SOHO_DISC_UNITRY</t>
  </si>
  <si>
    <t>AFTER_SOHO_DISC_UNITRY-BEFORE_SOHO_DISC_UNITRY</t>
  </si>
  <si>
    <t>f_delta_soho_disc_unitry</t>
  </si>
  <si>
    <t>F DELTA SOHO DISC UNITRY</t>
  </si>
  <si>
    <t>f_after_subsidy</t>
  </si>
  <si>
    <t>F AFTER SUBSIDY</t>
  </si>
  <si>
    <t>***For Consumer
When (AFTER_CUS_CUSTOMER_SUB_TYPE_DESC ='R' and SUBS_LIFECYCLE_L2_DESC in ('Gross Add','Port In') and transaction_type ='INFLOW')  then
(AFTER_REVENUE_INBUNDLE -abs(AFTER_SUBSIDY)-abs(AFTER_DISCOUNT)-abs(AFTER_FMLY_DISCOUNT_UNITRY ) )
***For Soho :
When (AFTER_CUS_CUSTOMER_SUB_TYPE_DESC  in ('SH56','SHDI','SHO','SHOS','SOHO')  and SUBS_LIFECYCLE_L2_DESC in ('Gross Add','Port In') and transaction_type ='INFLOW')
then
(AFTER_REVENUE_INBUNDLE-abs(AFTER_SUBSIDY)-abs(AFTER_DISCOUNT)-abs(AFTER_SOHO_DISC_UNITRY )
***For Consumer
When (AFTER_CUS_CUSTOMER_SUB_TYPE_DESC ='R')  then
(AFTER_REVENUE_INBUNDLE -abs(AFTER_SUBSIDY)-abs(AFTER_DISCOUNT)-abs(AFTER_FMLY_DISCOUNT_UNITRY ) )
***For Soho :
When AFTER_CUS_CUSTOMER_SUB_TYPE_DESC  in ('SH56','SHDI','SHO','SHOS','SOHO')  
then
(AFTER_REVENUE_INBUNDLE-abs(AFTER_SUBSIDY)-abs(AFTER_DISCOUNT)-abs(AFTER_SOHO_DISC_UNITRY )</t>
  </si>
  <si>
    <t>f_gross_adds_mig_in_revenue_s15_ci_q</t>
  </si>
  <si>
    <t>F GROSS ADDS MIG IN REVENUE S15 CI Q</t>
  </si>
  <si>
    <t>***For Consumer
When (AFTER_CUS_CUSTOMER_SUB_TYPE_DESC ='R' and SUBS_LIFECYCLE_L2_DESC in ('Gross Add','Port In') and transaction_type ='INFLOW')  then
(AFTER_REVENUE_INBUNDLE -abs(AFTER_DISCOUNT)-abs(AFTER_FMLY_DISCOUNT_UNITRY ) )
***For Soho :
When (AFTER_CUS_CUSTOMER_SUB_TYPE_DESC  in ('SH56','SHDI','SHO','SHOS','SOHO')   and SUBS_LIFECYCLE_L2_DESC in ('Gross Add','Port In') and transaction_type ='INFLOW')
then
(AFTER_REVENUE_INBUNDLE-abs(AFTER_DISCOUNT)-abs(AFTER_SOHO_DISC_UNITRY )
***For Consumer
When (AFTER_CUS_CUSTOMER_SUB_TYPE_DESC ='R')  then
(AFTER_REVENUE_INBUNDLE -abs(AFTER_DISCOUNT)-abs(AFTER_FMLY_DISCOUNT_UNITRY ) )
***For Soho :
When AFTER_CUS_CUSTOMER_SUB_TYPE_DESC  in ('SH56','SHDI','SHO','SHOS','SOHO')  
then
(AFTER_REVENUE_INBUNDLE-abs(AFTER_DISCOUNT)-abs(AFTER_SOHO_DISC_UNITRY )</t>
  </si>
  <si>
    <t>f_gross_adds_mig_in_revenue_ias18_ci_q</t>
  </si>
  <si>
    <t>F GROSS ADDS MIG IN REVENUE IAS18 CI Q</t>
  </si>
  <si>
    <t>***For Consumer
When (AFTER_CUS_CUSTOMER_SUB_TYPE_DESC ='R' and SUBS_LIFECYCLE_L2_DESC in ('Migration In') and transaction_type ='INFLOW')  then
(AFTER_REVENUE_INBUNDLE -abs(AFTER_SUBSIDY)-abs(AFTER_DISCOUNT)-abs(AFTER_FMLY_DISCOUNT_UNITRY ) )
***For Soho :
When (AFTER_CUS_CUSTOMER_SUB_TYPE_DESC  in ('SH56','SHDI','SHO','SHOS','SOHO')  and SUBS_LIFECYCLE_L2_DESC in ('Migration In') and transaction_type ='INFLOW')
then
(AFTER_REVENUE_INBUNDLE-abs(AFTER_SUBSIDY)-abs(AFTER_DISCOUNT)-abs(AFTER_SOHO_DISC_UNITRY )</t>
  </si>
  <si>
    <t>f_mig_in_revenue_s15_ci_q</t>
  </si>
  <si>
    <t>F MIG IN REVENUE S15 CI Q</t>
  </si>
  <si>
    <t>***For Consumer
When (AFTER_CUS_CUSTOMER_SUB_TYPE_DESC ='R' and SUBS_LIFECYCLE_L2_DESC in ('Migration In') and transaction_type ='INFLOW')  then
(AFTER_REVENUE_INBUNDLE -abs(AFTER_DISCOUNT)-abs(AFTER_FMLY_DISCOUNT_UNITRY ) )
***For Soho :
When (AFTER_CUS_CUSTOMER_SUB_TYPE_DESC  in ('SH56','SHDI','SHO','SHOS','SOHO')   and SUBS_LIFECYCLE_L2_DESC in ('Migration In') and transaction_type ='INFLOW')
then
(AFTER_REVENUE_INBUNDLE-abs(AFTER_DISCOUNT)-abs(AFTER_SOHO_DISC_UNITRY )</t>
  </si>
  <si>
    <t>f_mig_in_revenue_ias18_ci_q</t>
  </si>
  <si>
    <t>F MIG IN REVENUE IAS18 CI Q</t>
  </si>
  <si>
    <t>***For Consumer
When (AFTER_CUS_CUSTOMER_SUB_TYPE_DESC ='R'  and SUBS_LIFECYCLE_L2_DESC in ('Deactivation','Port Out') and transaction_type ='OUTFLOW')  then
(AFTER_REVENUE_INBUNDLE -abs(AFTER_SUBSIDY)
***For Soho :
When (AFTER_CUS_CUSTOMER_SUB_TYPE_DESC  in ('SH56','SHDI','SHO','SHOS','SOHO') and SUBS_LIFECYCLE_L2_DESC in ('Deactivation','Port Out') and transaction_type ='OUTFLOW' )
then
(AFTER_REVENUE_INBUNDLE-abs(AFTER_SUBSIDY)
***For Consumer
When (AFTER_CUS_CUSTOMER_SUB_TYPE_DESC ='R')  then
(AFTER_REVENUE_INBUNDLE -abs(AFTER_SUBSIDY)
***For Soho :
When AFTER_CUS_CUSTOMER_SUB_TYPE_DESC  in ('SH56','SHDI','SHO','SHOS','SOHO')  
then
(AFTER_REVENUE_INBUNDLE-abs(AFTER_SUBSIDY)</t>
  </si>
  <si>
    <t>f_deact_mig_out_revenue_s15_ci_q</t>
  </si>
  <si>
    <t>F DEACT MIG OUT REVENUE S15 CI Q</t>
  </si>
  <si>
    <t>***For Consumer
When (AFTER_CUS_CUSTOMER_SUB_TYPE_DESC ='R'   and SUBS_LIFECYCLE_L2_DESC in ('Deactivation','Port Out') and transaction_type ='OUTFLOW')  then
(AFTER_REVENUE_INBUNDLE
***For Soho :
When (AFTER_CUS_CUSTOMER_SUB_TYPE_DESC  in ('SH56','SHDI','SHO','SHOS','SOHO')  and SUBS_LIFECYCLE_L2_DESC in ('Deactivation','Port Out') and transaction_type ='OUTFLOW' )
then
(AFTER_REVENUE_INBUNDLE
***For Consumer
When (AFTER_CUS_CUSTOMER_SUB_TYPE_DESC ='R')  then
(AFTER_REVENUE_INBUNDLE
***For Soho :
When AFTER_CUS_CUSTOMER_SUB_TYPE_DESC  in ('SH56','SHDI','SHO','SHOS','SOHO')  
then
(AFTER_REVENUE_INBUNDLE</t>
  </si>
  <si>
    <t>f_deact_mig_out_revenue_ias18_ci_q</t>
  </si>
  <si>
    <t>Deact_Mig_Out_Revenue_IAS18</t>
  </si>
  <si>
    <t>***For Consumer
When (AFTER_CUS_CUSTOMER_SUB_TYPE_DESC ='R'  and SUBS_LIFECYCLE_L2_DESC in ('Migration Out') and transaction_type ='OUTFLOW')  then
(AFTER_REVENUE_INBUNDLE -abs(AFTER_SUBSIDY)
***For Soho :
When (AFTER_CUS_CUSTOMER_SUB_TYPE_DESC  in ('SH56','SHDI','SHO','SHOS','SOHO') and SUBS_LIFECYCLE_L2_DESC in ('Migration Out') and transaction_type ='OUTFLOW' )
then
(AFTER_REVENUE_INBUNDLE-abs(AFTER_SUBSIDY)</t>
  </si>
  <si>
    <t>f_mig_out_revenue_s15_ci_q</t>
  </si>
  <si>
    <t>Mig Out Revenue S15</t>
  </si>
  <si>
    <t>***For Consumer
When (AFTER_CUS_CUSTOMER_SUB_TYPE_DESC ='R'   and SUBS_LIFECYCLE_L2_DESC in ('Migration Out') and transaction_type ='OUTFLOW')  then
(AFTER_REVENUE_INBUNDLE)
***For Soho :
When (AFTER_CUS_CUSTOMER_SUB_TYPE_DESC  in ('SH56','SHDI','SHO','SHOS','SOHO')  and SUBS_LIFECYCLE_L2_DESC in ('Migration Out') and transaction_type ='OUTFLOW' )
then
(AFTER_REVENUE_INBUNDLE)</t>
  </si>
  <si>
    <t>f_mig_out_revenue_ias18_ci_q</t>
  </si>
  <si>
    <t>Mig Out Revenue IAS18</t>
  </si>
  <si>
    <t>***For Consumer
When (AFTER_CUS_CUSTOMER_SUB_TYPE_DESC ='R' and transaction_type ='RETENTION')  then
(AFTER_REVENUE_INBUNDLE -abs(AFTER_SUBSIDY)-abs(AFTER_DISCOUNT)-abs(AFTER_FMLY_DISCOUNT_UNITRY ) )-abs(AFTER_FMLY_DISCOUNT) )
***For Soho :
When (AFTER_CUS_CUSTOMER_SUB_TYPE_DESC  in ('SH56','SHDI','SHO','SHOS','SOHO') and transaction_type ='RETENTION' )
then
(AFTER_REVENUE_INBUNDLE-abs(AFTER_SUBSIDY)-abs(AFTER_DISCOUNT)-abs(AFTER_SOHO_DISC_UNITRY )
***For Consumer
When (AFTER_CUS_CUSTOMER_SUB_TYPE_DESC ='R')  then
(AFTER_REVENUE_INBUNDLE -abs(AFTER_SUBSIDY)-abs(AFTER_DISCOUNT)-abs(AFTER_FMLY_DISCOUNT_UNITRY ) )-abs(AFTER_FMLY_DISCOUNT) )
***For Soho :
When AFTER_CUS_CUSTOMER_SUB_TYPE_DESC  in ('SH56','SHDI','SHO','SHOS','SOHO')  
then
(AFTER_REVENUE_INBUNDLE-abs(AFTER_SUBSIDY)-abs(AFTER_DISCOUNT)-abs(AFTER_SOHO_DISC_UNITRY )</t>
  </si>
  <si>
    <t>f_retention_revenue_s15_ci_q</t>
  </si>
  <si>
    <t>Retention_Revenue_S15</t>
  </si>
  <si>
    <t>***For Consumer
When (AFTER_CUS_CUSTOMER_SUB_TYPE_DESC ='R' and transaction_type ='RETENTION')  then
(AFTER_REVENUE_INBUNDLE -abs(AFTER_DISCOUNT)-abs(AFTER_FMLY_DISCOUNT_UNITRY ) )-abs(AFTER_FMLY_DISCOUNT) )
***For Soho :
When (AFTER_CUS_CUSTOMER_SUB_TYPE_DESC  in ('SH56','SHDI','SHO','SHOS','SOHO') and transaction_type ='RETENTION' )
then
(AFTER_REVENUE_INBUNDLE-abs(AFTER_DISCOUNT)-abs(AFTER_SOHO_DISC_UNITRY )
***For Consumer
When (AFTER_CUS_CUSTOMER_SUB_TYPE_DESC ='R')  then
(AFTER_REVENUE_INBUNDLE -abs(AFTER_DISCOUNT)-abs(AFTER_FMLY_DISCOUNT_UNITRY ) )-abs(AFTER_FMLY_DISCOUNT) )
***For Soho :
When AFTER_CUS_CUSTOMER_SUB_TYPE_DESC  in ('SH56','SHDI','SHO','SHOS','SOHO')  
then
(AFTER_REVENUE_INBUNDLE-abs(AFTER_DISCOUNT)-abs(AFTER_SOHO_DISC_UNITRY )</t>
  </si>
  <si>
    <t>f_retention_revenue_ias18_ci_q</t>
  </si>
  <si>
    <t>Retention_Revenue_IAS18</t>
  </si>
  <si>
    <t>***For Consumer
When (AFTER_CUS_CUSTOMER_SUB_TYPE_DESC ='R' and transaction_type ='RETENTION')  then
(DELTA_REVENUE_INBUNDLE
***For Soho :
When (AFTER_CUS_CUSTOMER_SUB_TYPE_DESC  in ('SH56','SHDI','SHO','SHOS','SOHO')  and transaction_type ='RETENTION')
then
DELTA_REVENUE_INBUNDLE
-abs(AFTER_SOHO_DISC_UNITRY)
***For Consumer
When (AFTER_CUS_CUSTOMER_SUB_TYPE_DESC ='R')  then
(DELTA_REVENUE_INBUNDLE
***For Soho :
When AFTER_CUS_CUSTOMER_SUB_TYPE_DESC  in ('SH56','SHDI','SHO','SHOS','SOHO')  
then
DELTA_REVENUE_INBUNDLE
-abs(AFTER_SOHO_DISC_UNITRY)</t>
  </si>
  <si>
    <t>f_upgrades_ci_q</t>
  </si>
  <si>
    <t>Upgrades</t>
  </si>
  <si>
    <t>***For Consumer
When (AFTER_CUS_CUSTOMER_SUB_TYPE_DESC ='R' and transaction_type ='BASE')  then
(AFTER_REVENUE_INBUNDLE)-abs(AFTER_S15_ADJUSTMENT)-abs(AFTER_DISCOUNT)-abs(AFTER_FMLY_DISCOUNT))
***For Soho :
When (AFTER_CUS_CUSTOMER_SUB_TYPE_DESC  in ('SH56','SHDI','SHO','SHOS','SOHO')  and transaction_type ='BASE' )
then
(AFTER_REVENUE_INBUNDLE-abs(AFTER_S15_ADJUSTMENT)-abs(AFTER_DISCOUNT)
-abs(AFTER_SOHO_DISCOUNT))
***For Consumer
When (AFTER_CUS_CUSTOMER_SUB_TYPE_DESC ='R')  then
(AFTER_REVENUE_INBUNDLE)-abs(AFTER_S15_ADJUSTMENT)-abs(AFTER_DISCOUNT)-abs(AFTER_FMLY_DISCOUNT))
***For Soho :
When AFTER_CUS_CUSTOMER_SUB_TYPE_DESC  in ('SH56','SHDI','SHO','SHOS','SOHO')  
then
(AFTER_REVENUE_INBUNDLE-abs(AFTER_S15_ADJUSTMENT)-abs(AFTER_DISCOUNT)
-abs(AFTER_SOHO_DISCOUNT))</t>
  </si>
  <si>
    <t>f_base_revenue_s15_ci_q</t>
  </si>
  <si>
    <t>Base_Revenue_S15</t>
  </si>
  <si>
    <t>***For Consumer
When (AFTER_CUS_CUSTOMER_SUB_TYPE_DESC ='R'  and transaction_type ='BASE')  then
(AFTER_REVENUE_INBUNDLE-abs(AFTER_DISCOUNT)
    -abs(AFTER_FMLY_DISCOUNT))
***For Soho :
When (AFTER_CUS_CUSTOMER_SUB_TYPE_DESC  in ('SH56','SHDI','SHO','SHOS','SOHO') and transaction_type ='BASE' )  
then
(AFTER_REVENUE_INBUNDLE-abs(AFTER_DISCOUNT)
           -abs(AFTER_SOHO_DISCOUNT))
***For Consumer
When (AFTER_CUS_CUSTOMER_SUB_TYPE_DESC ='R')  then
(AFTER_REVENUE_INBUNDLE-abs(AFTER_DISCOUNT)
    -abs(AFTER_FMLY_DISCOUNT))
***For Soho :
When AFTER_CUS_CUSTOMER_SUB_TYPE_DESC  in ('SH56','SHDI','SHO','SHOS','SOHO')  
then
(AFTER_REVENUE_INBUNDLE-abs(AFTER_DISCOUNT)
           -abs(AFTER_SOHO_DISCOUNT))</t>
  </si>
  <si>
    <t>f_base_revenue_ias18_ci_q</t>
  </si>
  <si>
    <t>Base_Revenue_IAS18</t>
  </si>
  <si>
    <t>f_after_addl_service_rev</t>
  </si>
  <si>
    <t>Current  Additional service revenue</t>
  </si>
  <si>
    <t>f_before_addl_service_rev</t>
  </si>
  <si>
    <t>Previous  Additional service revenue</t>
  </si>
  <si>
    <t>f_after_addl_service_rev - f_before_addl_service_rev</t>
  </si>
  <si>
    <t>f_delta_addl_service_rev</t>
  </si>
  <si>
    <t>Delta  Additional service revenue</t>
  </si>
  <si>
    <t>f_before_content_rev</t>
  </si>
  <si>
    <t>Previous content  revenue</t>
  </si>
  <si>
    <t>f_after_content_rev</t>
  </si>
  <si>
    <t>current content  revenue</t>
  </si>
  <si>
    <t>f_after_content_rev - f_before_content_rev</t>
  </si>
  <si>
    <t>f_delta_content_rev</t>
  </si>
  <si>
    <t>Delta content revenue</t>
  </si>
  <si>
    <t>f_before_incoming_rev</t>
  </si>
  <si>
    <t>Previous incoming  revenue</t>
  </si>
  <si>
    <t>f_after_incoming_rev</t>
  </si>
  <si>
    <t>current incoming  revenue</t>
  </si>
  <si>
    <t>f_after_incoming_rev - f_before_incoming_rev</t>
  </si>
  <si>
    <t>f_delta_incoming_rev</t>
  </si>
  <si>
    <t>Delta incoming revenue</t>
  </si>
  <si>
    <t>f_after_in_bundel_rev</t>
  </si>
  <si>
    <t>current  in bundle   revenue</t>
  </si>
  <si>
    <t>f_before_in_bundel_rev</t>
  </si>
  <si>
    <t>Previous in bundle  revenue</t>
  </si>
  <si>
    <t>f_after_in_bundel_rev - f_before_in_bundel_rev</t>
  </si>
  <si>
    <t>f_delta_in_bundel_rev</t>
  </si>
  <si>
    <t>Delta  in bundle  revenue</t>
  </si>
  <si>
    <t>f_after_insurance_rev</t>
  </si>
  <si>
    <t>current insurance revenue</t>
  </si>
  <si>
    <t>f_before_insurance_rev</t>
  </si>
  <si>
    <t>Previous insurance revenue</t>
  </si>
  <si>
    <t>f_after_insurance_rev - f_before_insurance_rev</t>
  </si>
  <si>
    <t>f_delta_insurance_rev</t>
  </si>
  <si>
    <t>Delta insurance revenue</t>
  </si>
  <si>
    <t>f_after_discount_cst</t>
  </si>
  <si>
    <t>current discount cost</t>
  </si>
  <si>
    <t>f_before_discount_cst</t>
  </si>
  <si>
    <t>Previous discount cost</t>
  </si>
  <si>
    <t>f_after_discount_cst - f_before_discount_cst</t>
  </si>
  <si>
    <t>f_delta_discount_cst</t>
  </si>
  <si>
    <t>Delta discount cost</t>
  </si>
  <si>
    <t>f_after_vas_rev</t>
  </si>
  <si>
    <t>current value added service revenue</t>
  </si>
  <si>
    <t>f_before_vas_rev</t>
  </si>
  <si>
    <t>Previous value added service revenue</t>
  </si>
  <si>
    <t>f_after_vas_rev - f_before_vas_rev</t>
  </si>
  <si>
    <t>f_delta_vas_rev</t>
  </si>
  <si>
    <t>Delta value added service revenue</t>
  </si>
  <si>
    <t>f_after_ic_intl_cst</t>
  </si>
  <si>
    <t>current ic international cost</t>
  </si>
  <si>
    <t>f_before_ic_intl_cst</t>
  </si>
  <si>
    <t>Previous ic international cost</t>
  </si>
  <si>
    <t>f_after_ic_intl_cst - f_before_ic_intl_cst</t>
  </si>
  <si>
    <t>f_delta_ic_intl_cst</t>
  </si>
  <si>
    <t>Delta ic international cost</t>
  </si>
  <si>
    <t>f_after_ic_ntl_cst</t>
  </si>
  <si>
    <t>current ic national cost</t>
  </si>
  <si>
    <t>f_before_ic_ntl_cst</t>
  </si>
  <si>
    <t>Previous ic national cost</t>
  </si>
  <si>
    <t>f_after_ic_ntl_cst - f_before_ic_ntl_cst</t>
  </si>
  <si>
    <t>f_delta_ic_ntl_cst</t>
  </si>
  <si>
    <t>Delta ic national cost</t>
  </si>
  <si>
    <t>f_after_roaming_voice_cst</t>
  </si>
  <si>
    <t>current roaming voice cost</t>
  </si>
  <si>
    <t>f_before_roaming_voice_cst</t>
  </si>
  <si>
    <t>Previous roaming voice cost</t>
  </si>
  <si>
    <t>f_after_roaming_voice_cst - f_before_roaming_voice_cst</t>
  </si>
  <si>
    <t>f_delta_roaming_voice_cst</t>
  </si>
  <si>
    <t>Delta roaming voice cost</t>
  </si>
  <si>
    <t>f_after_roaming_sms_cst</t>
  </si>
  <si>
    <t>current roaming sms cost</t>
  </si>
  <si>
    <t>f_before_roaming_sms_cst</t>
  </si>
  <si>
    <t>Previous roaming sms cost</t>
  </si>
  <si>
    <t>f_after_roaming_sms_cst - f_before_roaming_sms_cst</t>
  </si>
  <si>
    <t>f_delta_roaming_sms_cst</t>
  </si>
  <si>
    <t>Delta roaming sms cost</t>
  </si>
  <si>
    <t>f_after_roaming_data_cst</t>
  </si>
  <si>
    <t>current roaming data cost</t>
  </si>
  <si>
    <t>f_before_roaming_data_cst</t>
  </si>
  <si>
    <t>Previous roaming data cost</t>
  </si>
  <si>
    <t>f_after_roaming_data_cst - f_before_roaming_data_cst</t>
  </si>
  <si>
    <t>f_delta_roaming_data_cst</t>
  </si>
  <si>
    <t>Delta roaming data cost</t>
  </si>
  <si>
    <t>f_after_insurance_cst</t>
  </si>
  <si>
    <t>current insurance cost</t>
  </si>
  <si>
    <t>f_before_insurance_cst</t>
  </si>
  <si>
    <t>Previous insurance cost</t>
  </si>
  <si>
    <t>f_after_insurance_cst - f_before_insurance_cst</t>
  </si>
  <si>
    <t>f_delta_insurance_cst</t>
  </si>
  <si>
    <t>Delta insurance cost</t>
  </si>
  <si>
    <t>f_after_content_cst_q</t>
  </si>
  <si>
    <t>current content cost q</t>
  </si>
  <si>
    <t>f_before_content_cst_q</t>
  </si>
  <si>
    <t>Previous content cost q</t>
  </si>
  <si>
    <t>f_after_content_cst_q - f_before_content_cst_q</t>
  </si>
  <si>
    <t>f_delta_content_cst_q</t>
  </si>
  <si>
    <t>Delta content cost q</t>
  </si>
  <si>
    <t>f_after_commission_cst</t>
  </si>
  <si>
    <t>current commisiom cost</t>
  </si>
  <si>
    <t>f_befofre_commission_cst</t>
  </si>
  <si>
    <t>Previous commisiom cost</t>
  </si>
  <si>
    <t>f_after_commission_cst - f_befofre_commission_cst</t>
  </si>
  <si>
    <t>f_delta_commission_cst</t>
  </si>
  <si>
    <t>Delta commisiom cost</t>
  </si>
  <si>
    <t>f_after_amort_commission_cst</t>
  </si>
  <si>
    <t>current amort commisiom cost</t>
  </si>
  <si>
    <t>f_before_amort_commission_cst</t>
  </si>
  <si>
    <t>Previous amort commisiom cost</t>
  </si>
  <si>
    <t>f_after_amort_commission_cst - f_before_amort_commission_cst</t>
  </si>
  <si>
    <t>f_delta_amort_commission_cst</t>
  </si>
  <si>
    <t>Delta amort commisiom cost</t>
  </si>
  <si>
    <t>f_after_amort_subsidy</t>
  </si>
  <si>
    <t>current amort subsidy</t>
  </si>
  <si>
    <t>f_before_amort_subsidy</t>
  </si>
  <si>
    <t>Previous amort subsidy</t>
  </si>
  <si>
    <t>f_after_amort_subsidy - f_before_amort_subsidy</t>
  </si>
  <si>
    <t>f_delta_amort_subsidy</t>
  </si>
  <si>
    <t>Delta amort subsidy</t>
  </si>
  <si>
    <t>f_after_used_data</t>
  </si>
  <si>
    <t>current used data</t>
  </si>
  <si>
    <t>f_before_used_data</t>
  </si>
  <si>
    <t>Previous used data</t>
  </si>
  <si>
    <t>f_after_used_data - f_before_used_data</t>
  </si>
  <si>
    <t>f_delta_used_data</t>
  </si>
  <si>
    <t>Delta used data</t>
  </si>
  <si>
    <t>f_after_duratio_sum</t>
  </si>
  <si>
    <t>current duartion sum</t>
  </si>
  <si>
    <t>f_before_duratio_sum</t>
  </si>
  <si>
    <t>Previous duartion sum</t>
  </si>
  <si>
    <t>f_after_duratio_sum - f_before_duratio_sum</t>
  </si>
  <si>
    <t>f_delta_duratio_sum</t>
  </si>
  <si>
    <t>Delta duartion sum</t>
  </si>
  <si>
    <t>f_curr_fixed_line_cust_revenue,f_prev_fixed_line_cust_revenue</t>
  </si>
  <si>
    <t>f_curr_fixed_line_cust_revenue - f_prev_fixed_line_cust_revenue</t>
  </si>
  <si>
    <t>f_delta_fixed_line_cust_revenue</t>
  </si>
  <si>
    <t>F DELTA FIXED LINE CUST REVENUE</t>
  </si>
  <si>
    <t>f_curr_fixed_line_voice_only_revenue,f_prev_fixed_line_voice_only_revenue</t>
  </si>
  <si>
    <t>f_curr_fixed_line_voice_only_revenue - f_prev_fixed_line_voice_only_revenue</t>
  </si>
  <si>
    <t>f_delta_fixed_line_voice_only_revenue</t>
  </si>
  <si>
    <t>F DELTA FIXED LINE VOICE ONLY REVENUE</t>
  </si>
  <si>
    <t>f_delta_fixed_line_voice_only_ib_revenue</t>
  </si>
  <si>
    <t>F DELTA FIXED LINE VOICE ONLY IB REVENUE</t>
  </si>
  <si>
    <t>f_curr_fixed_line_voice_only_oob_revenue,f_prev_fixed_line_voice_only_oob_revenue</t>
  </si>
  <si>
    <t>f_curr_fixed_line_voice_only_oob_revenue - f_prev_fixed_line_voice_only_oob_revenue</t>
  </si>
  <si>
    <t>f_delta_fixed_line_voice_only_oob_revenue</t>
  </si>
  <si>
    <t>F DELTA FIXED LINE VOICE ONLY OOB REVENUE</t>
  </si>
  <si>
    <t>f_curr_fixed_line_tv_revenue,f_prev_fixed_line_tv_revenue</t>
  </si>
  <si>
    <t>f_curr_fixed_line_tv_revenue - f_prev_fixed_line_tv_revenue</t>
  </si>
  <si>
    <t>f_delta_fixed_line_tv_revenue</t>
  </si>
  <si>
    <t>F DELTA FIXED LINE TV REVENUE</t>
  </si>
  <si>
    <t>f_curr_fixed_line_tv_ib_revenue,f_prev_fixed_line_tv_ib_revenue</t>
  </si>
  <si>
    <t>f_curr_fixed_line_tv_ib_revenue - f_prev_fixed_line_tv_ib_revenue</t>
  </si>
  <si>
    <t>f_delta_fixed_line_tv_ib_revenue</t>
  </si>
  <si>
    <t>F DELTA FIXED LINE TV IB REVENUE</t>
  </si>
  <si>
    <t>f_curr_fixed_line_tv_oob_revenue,f_prev_fixed_line_tv_oob_revenue</t>
  </si>
  <si>
    <t>f_curr_fixed_line_tv_oob_revenue - f_prev_fixed_line_tv_oob_revenue</t>
  </si>
  <si>
    <t>f_delta_fixed_line_tv_oob_revenue</t>
  </si>
  <si>
    <t>F DELTA FIXED LINE TV OOB REVENUE</t>
  </si>
  <si>
    <t>f_curr_fixed_line_bb_revenue,f_prev_fixed_line_bb_revenue</t>
  </si>
  <si>
    <t>f_curr_fixed_line_bb_revenue - f_prev_fixed_line_bb_revenue</t>
  </si>
  <si>
    <t>f_delta_fixed_line_bb_revenue</t>
  </si>
  <si>
    <t>F DELTA FIXED LINE BB REVENUE</t>
  </si>
  <si>
    <t>f_curr_fixed_line_bb_ib_revenue,f_prev_fixed_line_bb_ib_revenue</t>
  </si>
  <si>
    <t>f_curr_fixed_line_bb_ib_revenue - f_prev_fixed_line_bb_ib_revenue</t>
  </si>
  <si>
    <t>f_delta_fixed_line_bb_ib_revenue</t>
  </si>
  <si>
    <t>F DELTA FIXED LINE BB IB REVENUE</t>
  </si>
  <si>
    <t>f_curr_fixed_line_bb_oob_revenue,f_prev_fixed_line_bb_oob_revenue</t>
  </si>
  <si>
    <t>f_curr_fixed_line_bb_oob_revenue - f_prev_fixed_line_bb_oob_revenue</t>
  </si>
  <si>
    <t>f_delta_fixed_line_bb_oob_revenue</t>
  </si>
  <si>
    <t>F DELTA FIXED LINE BB OOB REVENUE</t>
  </si>
  <si>
    <t>f_curr_fixed_line_voice_oob_revenue,f_prev_fixed_line_voice_oob_revenue</t>
  </si>
  <si>
    <t>f_curr_fixed_line_voice_oob_revenue - f_prev_fixed_line_voice_oob_revenue</t>
  </si>
  <si>
    <t>f_delta_fixed_line_voice_oob_revenue</t>
  </si>
  <si>
    <t>F DELTA FIXED LINE VOICE OOB REVENUE</t>
  </si>
  <si>
    <t>f_curr_fixed_line_other_revenue,f_prev_fixed_line_other_revenue</t>
  </si>
  <si>
    <t>f_curr_fixed_line_other_revenue - f_prev_fixed_line_other_revenue</t>
  </si>
  <si>
    <t>f_delta_fixed_line_other_revenue</t>
  </si>
  <si>
    <t>F DELTA FIXED LINE OTHER REVENUE</t>
  </si>
  <si>
    <t>f_curr_mobile_cust_revenue,f_prev_mobile_cust_revenue</t>
  </si>
  <si>
    <t>f_curr_mobile_cust_revenue - f_prev_mobile_cust_revenue</t>
  </si>
  <si>
    <t>f_delta_mobile_cust_revenue</t>
  </si>
  <si>
    <t>F DELTA MOBILE CUST REVENUE</t>
  </si>
  <si>
    <t>f_curr_mobile_ib_revenue,f_prev_mobile_ib_revenue</t>
  </si>
  <si>
    <t>f_curr_mobile_ib_revenue - f_prev_mobile_ib_revenue</t>
  </si>
  <si>
    <t>f_delta_mobile_ib_revenue</t>
  </si>
  <si>
    <t>F DELTA MOBILE IB REVENUE</t>
  </si>
  <si>
    <t>f_curr_mobile_oob_revenue,f_prev_mobile_oob_revenue</t>
  </si>
  <si>
    <t>f_curr_mobile_oob_revenue - f_prev_mobile_oob_revenue</t>
  </si>
  <si>
    <t>f_delta_mobile_oob_revenue</t>
  </si>
  <si>
    <t>F DELTA MOBILE OOB REVENUE</t>
  </si>
  <si>
    <t>f_curr_mobile_oob_domestic_revenue,f_prev_mobile_oob_domestic_revenue</t>
  </si>
  <si>
    <t>f_curr_mobile_oob_domestic_revenue - f_prev_mobile_oob_domestic_revenue</t>
  </si>
  <si>
    <t>f_delta_mobile_oob_domestic_revenue</t>
  </si>
  <si>
    <t>F DELTA MOBILE OOB DOMESTIC REVENUE</t>
  </si>
  <si>
    <t>f_curr_mobile_oob_domestic_voice_revenue,f_prev_mobile_oob_domestic_voice_revenue</t>
  </si>
  <si>
    <t>f_curr_mobile_oob_domestic_voice_revenue - f_prev_mobile_oob_domestic_voice_revenue</t>
  </si>
  <si>
    <t>f_delta_mobile_oob_domestic_voice_revenue</t>
  </si>
  <si>
    <t>F DELTA MOBILE OOB DOMESTIC VOICE REVENUE</t>
  </si>
  <si>
    <t>f_curr_mobile_oob_domestic_mssg_revenue,f_prev_mobile_oob_domestic_mssg_revenue</t>
  </si>
  <si>
    <t>f_curr_mobile_oob_domestic_mssg_revenue - f_prev_mobile_oob_domestic_mssg_revenue</t>
  </si>
  <si>
    <t>f_delta_mobile_oob_domestic_mssg_revenue</t>
  </si>
  <si>
    <t>F DELTA MOBILE OOB DOMESTIC MSSG REVENUE</t>
  </si>
  <si>
    <t>f_curr_mobile_oob_domestic_data_revenue,f_prev_mobile_oob_domestic_data_revenue</t>
  </si>
  <si>
    <t>f_curr_mobile_oob_domestic_data_revenue - f_prev_mobile_oob_domestic_data_revenue</t>
  </si>
  <si>
    <t>f_delta_mobile_oob_domestic_data_revenue</t>
  </si>
  <si>
    <t>F DELTA MOBILE OOB DOMESTIC DATA REVENUE</t>
  </si>
  <si>
    <t>f_curr_oob_roaming_revenue,f_prev_oob_roaming_revenue</t>
  </si>
  <si>
    <t>f_curr_oob_roaming_revenue - f_prev_oob_roaming_revenue</t>
  </si>
  <si>
    <t>f_delta_oob_roaming_revenue</t>
  </si>
  <si>
    <t>F DELTA OOB ROAMING REVENUE</t>
  </si>
  <si>
    <t>f_curr_oob_roaming_voice_revenue,f_prev_oob_roaming_voice_revenue</t>
  </si>
  <si>
    <t>f_curr_oob_roaming_voice_revenue - f_prev_oob_roaming_voice_revenue</t>
  </si>
  <si>
    <t>f_delta_oob_roaming_voice_revenue</t>
  </si>
  <si>
    <t>F DELTA OOB ROAMING VOICE REVENUE</t>
  </si>
  <si>
    <t>f_curr_oob_roaming_mssg_revenue,f_prev_oob_roaming_mssg_revenue</t>
  </si>
  <si>
    <t>f_curr_oob_roaming_mssg_revenue - f_prev_oob_roaming_mssg_revenue</t>
  </si>
  <si>
    <t>f_delta_oob_roaming_mssg_revenue</t>
  </si>
  <si>
    <t>F DELTA OOB ROAMING MSSG REVENUE</t>
  </si>
  <si>
    <t>f_curr_oob_roaming_data_revenue,f_prev_oob_roaming_data_revenue</t>
  </si>
  <si>
    <t>f_curr_oob_roaming_data_revenue - f_prev_oob_roaming_data_revenue</t>
  </si>
  <si>
    <t>f_delta_oob_roaming_data_revenue</t>
  </si>
  <si>
    <t>F DELTA OOB ROAMING DATA REVENUE</t>
  </si>
  <si>
    <t>f_curr_mobile_oob_other_revenue,f_prev_mobile_oob_other_revenue</t>
  </si>
  <si>
    <t>f_curr_mobile_oob_other_revenue - f_prev_mobile_oob_other_revenue</t>
  </si>
  <si>
    <t>f_delta_mobile_oob_other_revenue</t>
  </si>
  <si>
    <t>F DELTA MOBILE OOB OTHER REVENUE</t>
  </si>
  <si>
    <t>f_curr_F_ASSIGNED_RC_AMT,f_prev_F_ASSIGNED_RC_AMT</t>
  </si>
  <si>
    <t>f_curr_F_ASSIGNED_RC_AMT - f_prev_F_ASSIGNED_RC_AMT</t>
  </si>
  <si>
    <t>f_delta_f_assigned_rc_amt</t>
  </si>
  <si>
    <t>F DELTA F ASSIGNED RC AMT</t>
  </si>
  <si>
    <t>f_curr_f_maf_amt,f_prev_f_maf_amt</t>
  </si>
  <si>
    <t>f_curr_f_maf_amt - f_prev_f_maf_amt</t>
  </si>
  <si>
    <t>f_delta_f_maf_amt</t>
  </si>
  <si>
    <t>F DELTA F MAF AMT</t>
  </si>
  <si>
    <t>f_curr_f_recurr_revenue_amt,f_prev_f_recurr_revenue_amt</t>
  </si>
  <si>
    <t>f_curr_f_recurr_revenue_amt - f_prev_f_recurr_revenue_amt</t>
  </si>
  <si>
    <t>f_delta_f_recurr_revenue_amt</t>
  </si>
  <si>
    <t>F DELTA F RECURR REVENUE AMT</t>
  </si>
  <si>
    <t>f_curr_f_anual_price_adj,f_prev_f_anual_price_adj</t>
  </si>
  <si>
    <t>f_curr_f_anual_price_adj - f_prev_f_anual_price_adj</t>
  </si>
  <si>
    <t>f_delta_f_anual_price_adj</t>
  </si>
  <si>
    <t>F DELTA F ANUAL PRICE ADJ</t>
  </si>
  <si>
    <t>f_curr_subsidy_unitry,f_prev_subsidy_unitry</t>
  </si>
  <si>
    <t>f_curr_subsidy_unitry - f_prev_subsidy_unitry</t>
  </si>
  <si>
    <t>f_delta_subsidy_unitry</t>
  </si>
  <si>
    <t>F DELTA SUBSIDY UNITRY</t>
  </si>
  <si>
    <t>f_curr_subsidy_alloc_unitary,f_prev_subsidy_alloc_unitary</t>
  </si>
  <si>
    <t>f_curr_subsidy_alloc_unitary - f_prev_subsidy_alloc_unitary</t>
  </si>
  <si>
    <t>f_delta_subsidy_alloc_unitary</t>
  </si>
  <si>
    <t>F DELTA SUBSIDY ALLOC UNITARY</t>
  </si>
  <si>
    <t>f_curr_F_DICOUNT_CST,f_prev_F_DICOUNT_CST</t>
  </si>
  <si>
    <t>f_curr_F_DICOUNT_CST - f_prev_F_DICOUNT_CST</t>
  </si>
  <si>
    <t>f_delta_f_dicount_cst</t>
  </si>
  <si>
    <t>F DELTA F DICOUNT CST</t>
  </si>
  <si>
    <t>f_curr_s15_revenue , f_prev_s15_revenue</t>
  </si>
  <si>
    <t>f_curr_s15_revenue  -  f_prev_s15_revenue</t>
  </si>
  <si>
    <t>f_delta_s15_revenue</t>
  </si>
  <si>
    <t>F DELTA S15 REVENUE</t>
  </si>
  <si>
    <t>NA'</t>
  </si>
  <si>
    <t>flexifield1</t>
  </si>
  <si>
    <t>flexifield2</t>
  </si>
  <si>
    <t>flexifield3</t>
  </si>
  <si>
    <t>flexifield4</t>
  </si>
  <si>
    <t>flexifield5</t>
  </si>
  <si>
    <t>flexifield6</t>
  </si>
  <si>
    <t>0.0</t>
  </si>
  <si>
    <t>flexifield7</t>
  </si>
  <si>
    <t>flexifield8</t>
  </si>
  <si>
    <t>flexifield9</t>
  </si>
  <si>
    <t>flexifield10</t>
  </si>
  <si>
    <t>Case when sub_subscription_cd is not null then 1 else 0 end</t>
  </si>
  <si>
    <t>f_curr_subs_cnt</t>
  </si>
  <si>
    <t>Subscriber Count</t>
  </si>
  <si>
    <t>f_bef_subs_cnt</t>
  </si>
  <si>
    <t>Subscriber Count previous month</t>
  </si>
  <si>
    <t>chnlp_total_revenue
CHNLP_INCOMING_REV</t>
  </si>
  <si>
    <t>chnlp_total_revenue+CHNLP_INCOMING_REV</t>
  </si>
  <si>
    <t>f_chnlp_total_rev_sac</t>
  </si>
  <si>
    <t>Total Revenue SAC</t>
  </si>
  <si>
    <t>CHNLP_FIXEDLINE_CST
CHNLP_INTERCONNECT_CST
CHNLP_CONTENT_COST</t>
  </si>
  <si>
    <t>CHNLP_FIXEDLINE_CST+
CHNLP_INTERCONNECT_CST+
CHNLP_CONTENT_COST</t>
  </si>
  <si>
    <t>f_chnlp_direct_cst_sac</t>
  </si>
  <si>
    <t>Direct Cost SAC</t>
  </si>
  <si>
    <t>chnlp_total_revenue
CHNLP_INCOMING_REV,
CHNLP_FIXEDLINE_CST,
CHNLP_INTERCONNECT_CST,
CHNLP_CONTENT_COST</t>
  </si>
  <si>
    <r>
      <t xml:space="preserve">If the values for (chnlp_total_revenue+CHNLP_INCOMING_REV) and the (CHNLP_FIXEDLINE_CST+CHNLP_INTERCONNECT_CST+CHNLP_CONTENT_COST) are either both positive or both negative then use (chnlp_total_revenue+CHNLP_INCOMING_REV) - (CHNLP_FIXEDLINE_CST+CHNLP_INTERCONNECT_CST+CHNLP_CONTENT_COST)
else if either one of them is positive and other negative 
 then use  (chnlp_total_revenue+CHNLP_INCOMING_REV) + (CHNLP_FIXEDLINE_CST+CHNLP_INTERCONNECT_CST+CHNLP_CONTENT_COST)  
</t>
    </r>
    <r>
      <rPr>
        <strike/>
        <sz val="10"/>
        <color rgb="FFFF0000"/>
        <rFont val="Vodafone Rg"/>
        <family val="2"/>
      </rPr>
      <t xml:space="preserve">
</t>
    </r>
  </si>
  <si>
    <t>f_chnlp_direct_cst_margine_sac</t>
  </si>
  <si>
    <t>Direct Cost Margin SAC</t>
  </si>
  <si>
    <t>CHNLP_COMMISSIONS,
LOG_DEBT_SALE_CST,
f_bad_debt,
chnlp_total_opex,
chnlp_equipment_subsidy</t>
  </si>
  <si>
    <t>(ABS(CHNLP_COMMISSIONS)+ABS(LOG_DEBT_SALE_CST)+ABS(f_bad_debt)+ABS(chnlp_total_opex)) + ABS(chnlp_equipment_subsidy)</t>
  </si>
  <si>
    <t>f_chnlp_indirect_cst_sac</t>
  </si>
  <si>
    <t>Indirect Cost SAC</t>
  </si>
  <si>
    <t>***For Consumer
When (AFTER_CUS_CUSTOMER_SUB_TYPE_DESC ='R')  and 
(transaction_type ='Retention')  then
AFTER_SUBSIDY
***For Soho :
When AFTER_CUS_CUSTOMER_SUB_TYPE_DESC  in ('SH56','SHDI','SHO','SHOS','SOHO')   and 
(transaction_type ='Retention')  then
AFTER_SUBSIDY</t>
  </si>
  <si>
    <t>f_upgrades_subsidy_impact_ci_q</t>
  </si>
  <si>
    <t>Upgrades Subsidy Impact</t>
  </si>
  <si>
    <t>For Consumer : 
When  (AFTER_CUS_CUSTOMER_SUB_TYPE_DESC ='R') AND transaction_type ='Base')  then AFTER_FMLY_DISCOUNT_UNITRY
for Soho : 
0</t>
  </si>
  <si>
    <t>f_family_migration_ci_q</t>
  </si>
  <si>
    <t>Family Migration</t>
  </si>
  <si>
    <t xml:space="preserve">for Consumer : 
WHEN AFTER_CUS_CUSTOMER_SUB_TYPE_DESC ='R' 
Then 
sum(AFTER_REVENUE_INBUNDLE ) where transaction type in ( inflow,retention , base)  
+ Sum( AFTER_S15_ADJUSTMENT) where transaction type in ( inflow,outflow,retention , base) 
 + Sum(AFTER_ANNUAL_PRICE_ADJ) where transaction type in ( inflow,outflow,retention , base) 
 - Sum( AFTER_FMLY_DISCOUNT) where transaction type in ( inflow,outflow,retention , base) 
 - Sum(AFTER_DISCOUNT) where transaction type in ( base) 
for Soho : 
When AFTER_CUS_CUSTOMER_SUB_TYPE_DESC  in ('SH56','SHDI','SHO','SHOS','SOHO') 
Then
Sum(AFTER_REVENUE_INBUNDLE) where transaction type in ( inflow,retention , base) 
+ sum(BEFORE_REVENUE_INBUNDLE) where transaction type in ( inflow,outflow,retention , base) 
- sum (abs(AFTER_S15_ADJUSTMENT)) where transaction type in ( base) 
+ sum(abs(AFTER_ANNUAL_PRICE_ADJ) )where transaction type in ( inflow,outflow,retention , base) 
-sum (abs(AFTER_DISCOUNT ))  where transaction type in ( inflow,retention , base) 
+ sum(abs(BEFORE_DISCOUNT)) where transaction type in ( Outflow) )
-sum (abs(AFTER_FMLY_DISCOUNT))  where transaction type in ( inflow,retention , base) 
+sum(abs(BEFORE_FMLY_DISCOUNT)) where transaction type in ( outflow)
- sum(abs(AFTER_TOTAL_IFA_DISC_CHRG)) where transaction type in ( inflow,outflow,retention , base) 
 - sum( abs (AFTER_TOTAL_MULTI_LINE_DISC_CHRG)) where transaction type in ( inflow,outflow,retention , base) </t>
  </si>
  <si>
    <t>f_closing_base_ci_q</t>
  </si>
  <si>
    <t>Closing Base</t>
  </si>
  <si>
    <t>similar to Closing Base but for Previous Month</t>
  </si>
  <si>
    <t>f_opening_base_ci_q</t>
  </si>
  <si>
    <t>Opening Base</t>
  </si>
  <si>
    <t>***For Consumer
When (AFTER_CUS_CUSTOMER_SUB_TYPE_DESC ='R' and SUBS_LIFECYCLE_L2_DESC in ('Gross Add','Port In') and transaction_type ='INFLOW')  then
AFTER_SUBSCR_COUNT) )
***For Soho :
When (AFTER_CUS_CUSTOMER_SUB_TYPE_DESC  in ('SH56','SHDI','SHO','SHOS','SOHO')   and SUBS_LIFECYCLE_L2_DESC in ('Gross Add','Port In') and transaction_type ='INFLOW')
then
AFTER_SUBSCR_COUNT</t>
  </si>
  <si>
    <t>f_gross_add_cust_vol_ci_q</t>
  </si>
  <si>
    <t>GA Customer (Volume)</t>
  </si>
  <si>
    <t>***For Consumer
When (AFTER_CUS_CUSTOMER_SUB_TYPE_DESC ='R' and SUBS_LIFECYCLE_L2_DESC in ('Migration In') and transaction_type ='INFLOW')  then
AFTER_SUBSCR_COUNT )
***For Soho :
When (AFTER_CUS_CUSTOMER_SUB_TYPE_DESC  in ('SH56','SHDI','SHO','SHOS','SOHO')   and SUBS_LIFECYCLE_L2_DESC in ('Migration In') and transaction_type ='INFLOW')
then
AFTER_SUBSCR_COUNT</t>
  </si>
  <si>
    <t>f_mig_in_cust_vol_ci_q</t>
  </si>
  <si>
    <t>Mig in Customer  (Volume)</t>
  </si>
  <si>
    <t>***For Consumer
When (AFTER_CUS_CUSTOMER_SUB_TYPE_DESC ='R'   and SUBS_LIFECYCLE_L2_DESC in ('Deactivation','Port Out') and transaction_type ='OUTFLOW')  then
AFTER_SUBSCR_COUNT
***For Soho :
When (AFTER_CUS_CUSTOMER_SUB_TYPE_DESC  in ('SH56','SHDI','SHO','SHOS','SOHO')  and SUBS_LIFECYCLE_L2_DESC in ('Deactivation','Port Out') and transaction_type ='OUTFLOW' )
then
AFTER_SUBSCR_COUNT</t>
  </si>
  <si>
    <t>f_deact_mig_out_cust_vol_ci_q</t>
  </si>
  <si>
    <t>Deact Customer (Volume)</t>
  </si>
  <si>
    <t>***For Consumer
When (AFTER_CUS_CUSTOMER_SUB_TYPE_DESC ='R'   and SUBS_LIFECYCLE_L2_DESC in ('Migration Out') and transaction_type ='OUTFLOW')  then
AFTER_SUBSCR_COUNT
***For Soho :
When (AFTER_CUS_CUSTOMER_SUB_TYPE_DESC  in ('SH56','SHDI','SHO','SHOS','SOHO')  and SUBS_LIFECYCLE_L2_DESC in ('Migration Out') and transaction_type ='OUTFLOW' )
then
AFTER_SUBSCR_COUNT</t>
  </si>
  <si>
    <t>f_mig_out_cust_vol_ci_q</t>
  </si>
  <si>
    <t>Mig out Customer (Volume)</t>
  </si>
  <si>
    <t>***For Consumer
When (AFTER_CUS_CUSTOMER_SUB_TYPE_DESC ='R' and transaction_type ='RETENTION')  then
AFTER_SUBSCR_COUNT
***For Soho :
When (AFTER_CUS_CUSTOMER_SUB_TYPE_DESC  in ('SH56','SHDI','SHO','SHOS','SOHO') and transaction_type ='RETENTION' )
then
AFTER_SUBSCR_COUNT</t>
  </si>
  <si>
    <t>f_retention_cust_vol_ci_q</t>
  </si>
  <si>
    <t>Retention Customer (Volume)</t>
  </si>
  <si>
    <t>***For Consumer
When (AFTER_CUS_CUSTOMER_SUB_TYPE_DESC ='R'  and transaction_type ='BASE')  then
AFTER_SUBSCR_COUNT
***For Soho :
When (AFTER_CUS_CUSTOMER_SUB_TYPE_DESC  in ('SH56','SHDI','SHO','SHOS','SOHO') and transaction_type ='BASE' )  
then
AFTER_SUBSCR_COUNT</t>
  </si>
  <si>
    <t>f_base_cust_vol_ci_q</t>
  </si>
  <si>
    <t>Base Customer (Volume)</t>
  </si>
  <si>
    <t>f_gross_adds_mig_in_revenue_s15 ,f_mig_in_revenue_s15,f_deact_mig_out_revenue_s15 , f_mig_out_revenue_s15
Note: Above source fileds are derived in same target table "f_subscriber_ibro_prof_report_semantic_usl"</t>
  </si>
  <si>
    <t>(f_gross_adds_mig_in_revenue_s15 +f_mig_in_revenue_s15) - (f_deact_mig_out_revenue_s15 + f_mig_out_revenue_s15)</t>
  </si>
  <si>
    <t>f_net_impact_rev_s15_ci_q</t>
  </si>
  <si>
    <t>Net Impact Revenue S15</t>
  </si>
  <si>
    <t>(f_gross_adds_mig_in_revenue_ias18 +f_mig_in_revenue_ias18) - (f_deact_mig_out_revenue_ias18 + f_mig_out_revenue_ias18)</t>
  </si>
  <si>
    <t>f_net_impact_rev_ias18_ci_q</t>
  </si>
  <si>
    <t>Net Impact Revenue IAS18</t>
  </si>
  <si>
    <t>(f_gross_add_cust_vol_ci_q +f_mig_in_cust_vol_ci_q) - (f_deact_mig_out_cust_vol_ci_q + f_mig_out_cust_vol_ci_q)</t>
  </si>
  <si>
    <t>f_net_impact_cust_vol_ci_q</t>
  </si>
  <si>
    <t>Net Impact Customer (Volume)</t>
  </si>
  <si>
    <t xml:space="preserve">For consumer :
WHEN (AFTER_CUS_CUSTOMER_SUB_TYPE_DESC ='R') then
AFTER_SUBSCR_COUNT  where transaction type  in (inflow,retention , base)
for Soho :  
WHEN AFTER_CUS_CUSTOMER_SUB_TYPE_DESC  in ('SH56','SHDI','SHO','SHOS','SOHO') 
then
AFTER_SUBSCR_COUNT_CB where transaction type in (inflow,retention,base)
+ AFTER_SUBSCR_COUNT_CB where transaction type in (outflow) and SUBS_LIFECYCLE_L2_DESC in ('Migration Out')
</t>
  </si>
  <si>
    <t>f_closing_base_vol_ci_q</t>
  </si>
  <si>
    <t>Closing Base Volume</t>
  </si>
  <si>
    <t>Same logic as Closing Base Volume but for the last Month</t>
  </si>
  <si>
    <t>f_opening_base_vol_ci_q</t>
  </si>
  <si>
    <t>Opening Base Volume</t>
  </si>
  <si>
    <t>f_upgrades_vol_ci_q</t>
  </si>
  <si>
    <t>Upgrades Volume</t>
  </si>
  <si>
    <t>***For Consumer
When (AFTER_CUS_CUSTOMER_SUB_TYPE_DESC ='R' ) 
then
AFTER_REVENUE_INBUNDLE where transaction_type in ('RETENTION',INFLOW,BASE)
***For Soho :
When (AFTER_CUS_CUSTOMER_SUB_TYPE_DESC  in ('SH56','SHDI','SHO','SHOS','SOHO') 
then
sum(AFTER_REVENUE_INBUNDLE) where  transaction_type in ('RETENTION',INFLOW,BASE)</t>
  </si>
  <si>
    <t>f_opening_maf_ci_q</t>
  </si>
  <si>
    <t>Opening MAF</t>
  </si>
  <si>
    <t>***For Consumer
When (AFTER_CUS_CUSTOMER_SUB_TYPE_DESC ='R' ) 
then
AFTER_ANNUAL_PRICE_ADJ where transaction_type in ('RETENTION',INFLOW,BASE)
***For Soho :
When (AFTER_CUS_CUSTOMER_SUB_TYPE_DESC  in ('SH56','SHDI','SHO','SHOS','SOHO') 
then
AFTER_ANNUAL_PRICE_ADJ where  transaction_type in ('RETENTION',INFLOW,BASE)</t>
  </si>
  <si>
    <t>f_apa_ci_q</t>
  </si>
  <si>
    <t>APA</t>
  </si>
  <si>
    <t>***For Consumer
When (AFTER_CUS_CUSTOMER_SUB_TYPE_DESC ='R' ) 
then
AFTER_S15_ADJUSTMENT where transaction_type in ('RETENTION',INFLOW,BASE)
***For Soho :
When (AFTER_CUS_CUSTOMER_SUB_TYPE_DESC  in ('SH56','SHDI','SHO','SHOS','SOHO') 
then
AFTER_S15_ADJUSTMENT where  transaction_type in ('RETENTION',INFLOW,BASE)</t>
  </si>
  <si>
    <t>f_s15_adjustment_ci_q</t>
  </si>
  <si>
    <t>S15 adjustments</t>
  </si>
  <si>
    <t>***For Consumer
When (AFTER_CUS_CUSTOMER_SUB_TYPE_DESC ='R' ) 
then
AFTER_DISCOUNT where transaction_type in (BASE)
***For Soho :
When (AFTER_CUS_CUSTOMER_SUB_TYPE_DESC  in ('SH56','SHDI','SHO','SHOS','SOHO') 
then
AFTER_DISCOUNT where transaction_type in (BASE)</t>
  </si>
  <si>
    <t>f_simo_disc_ci_q</t>
  </si>
  <si>
    <t>Simo Discount</t>
  </si>
  <si>
    <t>***For Consumer
When (AFTER_CUS_CUSTOMER_SUB_TYPE_DESC ='R' ) 
then
AFTER_FMLY_DISCOUNT) where transaction_type in ('RETENTION',INFLOW,BASE)
***For Soho :
When (AFTER_CUS_CUSTOMER_SUB_TYPE_DESC  in ('SH56','SHDI','SHO','SHOS','SOHO') 
then
AFTER_FMLY_DISCOUNT where transaction_type in ('RETENTION',INFLOW,BASE)</t>
  </si>
  <si>
    <t>f_family_disc_ci_q</t>
  </si>
  <si>
    <t>Family Discount</t>
  </si>
  <si>
    <t xml:space="preserve">
***Needed only For Soho :
When (AFTER_CUS_CUSTOMER_SUB_TYPE_DESC  in ('SH56','SHDI','SHO','SHOS','SOHO') 
then
AFTER_TOTAL_IFA_DISC_CHRG where transaction_type in (OUTFLOW,'RETENTION',INFLOW,BASE)</t>
  </si>
  <si>
    <t>f_ifa_disc_ci_q</t>
  </si>
  <si>
    <t>IFA Discount</t>
  </si>
  <si>
    <t>GA571</t>
  </si>
  <si>
    <t xml:space="preserve">
***Needed only For Soho :
When (AFTER_CUS_CUSTOMER_SUB_TYPE_DESC  in ('SH56','SHDI','SHO','SHOS','SOHO') 
then
AFTER_TOTAL_MULTI_LINE_DISC_CHRG where transaction_type in (OUTFLOW,'RETENTION',INFLOW,BASE)</t>
  </si>
  <si>
    <t>f_multiline_disc_ci_q</t>
  </si>
  <si>
    <t>Multiline Discount</t>
  </si>
  <si>
    <t>RETENTION RPT IND</t>
  </si>
  <si>
    <t>stg_subscriber_ibro_prof_report_semantic_am_usl T left join f_customer_base_semantic_m_usl T1
ON T.CUS_CUSTOMER_CD= T1.CUSTOMER_CD
AND T.RPT_MONTH = T1.reporting_month_cd</t>
  </si>
  <si>
    <t>cust_first_gross_add_rpt_ind</t>
  </si>
  <si>
    <t>CUST FIRST GROSS ADD RPT IND</t>
  </si>
  <si>
    <t>Columns are moved to pre combined table</t>
  </si>
  <si>
    <t>cust_full_net_disconn_rpt_ind</t>
  </si>
  <si>
    <t>CUST FULL NET DISCONN RPT IND</t>
  </si>
  <si>
    <t>is_in_ibro_base_with_change</t>
  </si>
  <si>
    <t>IS IN IBRO BASE WITH CHANGE</t>
  </si>
  <si>
    <t>is_in_ibro_base_without_change</t>
  </si>
  <si>
    <t>IS IN IBRO BASE WITHOUT CHANGE</t>
  </si>
  <si>
    <t>growing_cust_ind</t>
  </si>
  <si>
    <t>GROWING CUST IND</t>
  </si>
  <si>
    <t>shrinking_cust_ind</t>
  </si>
  <si>
    <t>SHRINKING CUST IND</t>
  </si>
  <si>
    <t>(curr_f_recurr_revenue_amt + curr_f_anual_price_adj) - 
(abs(curr_subsidy_unitry) + abs(curr_f_dicount_cst))</t>
  </si>
  <si>
    <t>f_subs_connectivity_revenue_bi_q</t>
  </si>
  <si>
    <t>F SUBS CONNECTIVITY REVENUE BI Q</t>
  </si>
  <si>
    <t>prev_f_recurr_revenue_amt + prev_f_anual_price_adj - 
(abs(prev_subsidy_unitry) +  abs(prev_F_DICOUNT_CST))</t>
  </si>
  <si>
    <t>f_subs_prev_connectivity_revenue_bi_q</t>
  </si>
  <si>
    <t>F SUBS PREV CONNECTIVITY REVENUE BI Q</t>
  </si>
  <si>
    <t>if gross_add_rpt_ind=1 then(curr_f_recurr_revenue_amt + curr_f_anual_price_adj) - 
(abs(curr_subsidy_unitry) + abs(curr_f_dicount_cst)) else 0</t>
  </si>
  <si>
    <t>f_inflow_total_s15_revenue_bi_q</t>
  </si>
  <si>
    <t>F INFLOW TOTAL S15 REVENUE BI Q</t>
  </si>
  <si>
    <t xml:space="preserve">if net_disconn_rpt_ind =1 then ( (prev_f_recurr_revenue_amt + prev_f_anual_price_adj) - (abs(prev_subsidy_unitry) + abs(prev_f_dicount_cst)) ) *-1 else 0 </t>
  </si>
  <si>
    <t>f_outflow_total_s15_revenue_bi_q</t>
  </si>
  <si>
    <t>F OUTFLOW TOTAL S15 REVENUE BI Q</t>
  </si>
  <si>
    <t>if retention_rpt_ind=1 then (curr_f_recurr_revenue_amt + curr_f_anual_price_adj) - 
(abs(curr_subsidy_unitry) + abs(curr_f_dicount_cst)) else 0</t>
  </si>
  <si>
    <t>f_retention_after_total_s15_revenue_bi_q</t>
  </si>
  <si>
    <t>F RETENTION AFTER TOTAL S15 REVENUE BI Q</t>
  </si>
  <si>
    <t>if  is_in_ibro_base_bi =1 then (curr_f_recurr_revenue_amt + curr_f_anual_price_adj) - 
(abs(curr_subsidy_unitry) + abs(curr_f_dicount_cst)) else 0</t>
  </si>
  <si>
    <t>f_base_total_s15_revenue_bi_q</t>
  </si>
  <si>
    <t>F BASE TOTAL S15 REVENUE BI Q</t>
  </si>
  <si>
    <t>f_inflow_total_s15_revenue_bi_q +  f_retention_after_total_s15_revenue_bi_q + f_base_total_s15_revenue_bi_q</t>
  </si>
  <si>
    <t>f_total_base_total_s15_revenue_bi_q</t>
  </si>
  <si>
    <t>F TOTAL BASE TOTAL S15 REVENUE BI Q</t>
  </si>
  <si>
    <t xml:space="preserve">curr_fixed_line_voice_only_ib_revenue +	
curr_fixed_line_tv_ib_revenue	+		
curr_fixed_line_bb_ib_revenue	+		
curr_f_inbundle_revenue			
</t>
  </si>
  <si>
    <t>f_subs_inbundle_revenue_bi_q</t>
  </si>
  <si>
    <t>F SUBS INBUNDLE REVENUE BI Q</t>
  </si>
  <si>
    <t xml:space="preserve">curr_fixed_line_voice_only_oob_revenue	
+ curr_fixed_line_tv_oob_revenue		
+ curr_fixed_line_bb_oob_revenue
+ curr_fixed_line_voice_oob_revenue
+ curr_f_outbundle_revenue 	      		</t>
  </si>
  <si>
    <t>f_subs_out_of_bundle_revenue_bi_q</t>
  </si>
  <si>
    <t>F SUBS OUT OF BUNDLE REVENUE BI Q</t>
  </si>
  <si>
    <t>if gross_add_rpt_ind =1
or retention_rpt_ind =1 
or is_in_ibro_base_bi =1
 then 
curr_fixed_line_voice_only_ib_revenue +	
curr_fixed_line_tv_ib_revenue	+		
curr_fixed_line_bb_ib_revenue	+		
curr_f_inbundle_revenue</t>
  </si>
  <si>
    <t>f_inflow_inbundle_revenue_bi_q</t>
  </si>
  <si>
    <t>F INFLOW INBUNDLE REVENUE BI Q</t>
  </si>
  <si>
    <t>if gross_add_rpt_ind =1
or retention_rpt_ind =1 
or is_in_ibro_base_bi =1
 then 
curr_fixed_line_voice_only_oob_revenue	
+ curr_fixed_line_tv_oob_revenue		
+ curr_fixed_line_bb_oob_revenue
+ curr_fixed_line_voice_oob_revenue
+ curr_f_outbundle_revenue</t>
  </si>
  <si>
    <t>f_inflow_out_of_bundle_revenue_bi_q</t>
  </si>
  <si>
    <t>F INFLOW OUT OF BUNDLE REVENUE BI Q</t>
  </si>
  <si>
    <t xml:space="preserve">if net_disconn_rpt_ind =0 then 1 - if gross_add_rpt_ind = 0 then 1
</t>
  </si>
  <si>
    <t>f_inflow_connection_volume_bi_q</t>
  </si>
  <si>
    <t>F INFLOW CONNECTION VOLUME BI Q</t>
  </si>
  <si>
    <t>if net_disconn_rpt_ind  =1 
or retention_rpt_ind =1 
or is_in_ibro_base_bi =1
then prev_f_recurr_revenue_amt + prev_f_anual_price_adj - 
(abs(prev_subsidy_unitry) +  abs(prev_F_DICOUNT_CST))
else 0</t>
  </si>
  <si>
    <t>f_outflow_connectivity_revenue_bi_q</t>
  </si>
  <si>
    <t>F OUTFLOW CONNECTIVITY REVENUE BI Q</t>
  </si>
  <si>
    <t>if net_disconn_rpt_ind  =1 
or retention_rpt_ind =1 
or is_in_ibro_base_bi =1
then prev_fixed_line_voice_only_ib_revenue +
     prev_fixed_line_tv_ib_revenue + 		
     prev_fixed_line_bb_ib_revenue + 		
     prev_f_inbundle_revenue
else 0</t>
  </si>
  <si>
    <t>f_outflow_inbundle_revenue_bi_q</t>
  </si>
  <si>
    <t>F OUTFLOW INBUNDLE REVENUE BI Q</t>
  </si>
  <si>
    <t>if net_disconn_rpt_ind  =1 
or retention_rpt_ind =1 
or is_in_ibro_base_bi =1
then
	prev_fixed_line_voice_only_oob_revenue +
	prev_fixed_line_tv_oob_revenue	  +	
	prev_fixed_line_bb_oob_revenue	  +
    prev_fixed_line_voice_oob_revenue +
    prev_f_outbundle_revenue
else 0</t>
  </si>
  <si>
    <t>f_outflow_out_of_bundle_revenue_bi_q</t>
  </si>
  <si>
    <t>F OUTFLOW OUT OF BUNDLE REVENUE BI Q</t>
  </si>
  <si>
    <t>if is_in_ibro_base_bi =1 then 
curr_fixed_line_voice_only_ib_revenue +	
curr_fixed_line_tv_ib_revenue	+		
curr_fixed_line_bb_ib_revenue	+		
curr_f_inbundle_revenue		
else 0</t>
  </si>
  <si>
    <t>f_base_inbundle_revenue_bi_q</t>
  </si>
  <si>
    <t>F BASE INBUNDLE REVENUE BI Q</t>
  </si>
  <si>
    <t>if is_in_ibro_base_bi =1 then 
curr_fixed_line_voice_only_oob_revenue	
+ curr_fixed_line_tv_oob_revenue		
+ curr_fixed_line_bb_oob_revenue
+ curr_fixed_line_voice_oob_revenue
+ curr_f_outbundle_revenue 	
else 0</t>
  </si>
  <si>
    <t>f_base_out_of_bundle_revenue_bi_q</t>
  </si>
  <si>
    <t>F BASE OUT OF BUNDLE REVENUE BI Q</t>
  </si>
  <si>
    <t>if  
growing_cust_ind = 1 and 
is_in_ibro_base_with_change =1  then 
f_prev_f_recurr_revenue_amt + f_prev_f_anual_price_adj - 
(abs(f_prev_subsidy_unitry) +  abs(f_prev_F_DICOUNT_CST))</t>
  </si>
  <si>
    <t>f_sub_opening_base_revenue_bi_q</t>
  </si>
  <si>
    <t>F SUB OPENING BASE REVENUE BI Q</t>
  </si>
  <si>
    <t>if  
growing_cust_ind = 1 and 
is_in_ibro_base_with_change =1 
then "(f_curr_f_recurr_revenue_amt + f_curr_f_anual_price_adj) - 
(abs(f_curr_subsidy_unitry) + abs(f_curr_f_dicount_cst))"</t>
  </si>
  <si>
    <t>f_sub_closing_base_revenue_bi_q</t>
  </si>
  <si>
    <t>F SUB CLOSING BASE REVENUE BI Q</t>
  </si>
  <si>
    <t>Refer Example sheet "Example_Cust_Sub_Rev_Distribute"</t>
  </si>
  <si>
    <t>f_subs_connectivity_revenue_bi_q/ sum of "f_subs_connectivity_revenue_bi_q" of all subscriber  belongs to that customer</t>
  </si>
  <si>
    <t>weightage</t>
  </si>
  <si>
    <t>WEIGHTAGE</t>
  </si>
  <si>
    <t xml:space="preserve">stg_subscriber_ibro_prof_report_semantic_am_usl T left join f_customer_base_semantic_m_usl T1
ON T.CUS_CUSTOMER_CD= T1.CUSTOMER_CD
AND T.RPT_MONTH = T1.reporting_month_cd
</t>
  </si>
  <si>
    <t>curr_irb_s15_rev</t>
  </si>
  <si>
    <t>f_curr_irb_s15_rev_c_bi_q</t>
  </si>
  <si>
    <t>F CURR IRB S15 REV C BI Q</t>
  </si>
  <si>
    <t>PREV_BRO_S15_REV</t>
  </si>
  <si>
    <t>f_prev_bro_s15_rev_c_bi_q</t>
  </si>
  <si>
    <t>F PREV BRO S15 REV C BI Q</t>
  </si>
  <si>
    <t>f_curr_irb_s15_rev_c_bi_q * weightage</t>
  </si>
  <si>
    <t>f_curr_irb_s15_rev_distributed_bi_q</t>
  </si>
  <si>
    <t>F CURR IRB S15 REV DISTRIBUTED BI Q</t>
  </si>
  <si>
    <t>f_prev_bro_s15_rev_c_bi_q* weightage</t>
  </si>
  <si>
    <t>f_prev_bro_s15_rev_distributed_bi_q</t>
  </si>
  <si>
    <t>F PREV BRO S15 REV DISTRIBUTED BI Q</t>
  </si>
  <si>
    <t>f_curr_cust_cnt</t>
  </si>
  <si>
    <t>F CURR CUST CNT</t>
  </si>
  <si>
    <t>f_curr_cust_cnt/no. of subscriber under that customer</t>
  </si>
  <si>
    <t>f_curr_cust_cnt_distributed_bi_q</t>
  </si>
  <si>
    <t>F CURR CUST CNT DISTRIBUTED BI Q</t>
  </si>
  <si>
    <t>Audit Columns to be populated via ETL process</t>
  </si>
  <si>
    <t>extraction_dttm</t>
  </si>
  <si>
    <t>TIMESTAMP</t>
  </si>
  <si>
    <t>extraction date from the sources</t>
  </si>
  <si>
    <t>load_dttm</t>
  </si>
  <si>
    <t>loading date</t>
  </si>
  <si>
    <t>update_dttm</t>
  </si>
  <si>
    <t>last updated date</t>
  </si>
  <si>
    <t>insert_load_id</t>
  </si>
  <si>
    <t>INT64</t>
  </si>
  <si>
    <t>unique identifier of the batch job which inserted the record</t>
  </si>
  <si>
    <t>update_load_id</t>
  </si>
  <si>
    <t>unique identifier of the batch job which did the last update of the record</t>
  </si>
  <si>
    <t>`vfie_dh_lake_finance_mc2_presentation_processed_s`.`CPA_FIXEDLINE_R_IR_CPA_PNL_DTLD_FL` C left join`vf-ie-datahub`.`vfie_dh_lake_finance_mc2_presentation_processed_s`.`AVG_REVENUE_BY_PRODUCT` A</t>
  </si>
  <si>
    <t>1. If transaction type is Inflow, retention, outflow then use S_INBUNDLE_REV revenue column
2. S_INBUNDLE_REV  = is    "Inbundle Revenue" a direct field from (avg_revenue_by_product.xlsx)
3. For base &amp; closing base use F_IN_BUNDEL_REV where
4. F_IN_BUNDEL_REV=  F_IN_BUNDEL_REV - F_DISCOUNT_CST</t>
  </si>
  <si>
    <t>stg_cpa_fixed_store_q_usl</t>
  </si>
  <si>
    <t>`vfie_dh_lake_finance_mc2_presentation_processed_s`.`CPA_FIXEDLINE_R_IR_CPA_PNL_DTLD_FL` C left join `vf-ie-datahub`.`vfie_dh_lake_finance_mc2_presentation_processed_s`.`AVG_REVENUE_BY_PRODUCT` A</t>
  </si>
  <si>
    <t>1. If transaction type is Inflow, retention, outflow then use S_OUTBUNDLE_REV column
2. S_OUTBUNDLE_REV =is   "OOB Revenue"   direct field from  (avg_revenue_by_product.xlsx)
3. For base &amp; closing base use F_Outbundle revenue, this is also a direct field</t>
  </si>
  <si>
    <t>1. If transaction type is Inflow, retention, outflow then use S_ADD_SERVICE_REV revenue column
2. For base &amp; closing base use F_ADDL_SERVICE_REV revenue
3. S_ADD_SERVICE_REV =   is  "Additional Service Revenue"  direct field from  (avg_revenue_by_product.xlsx)
4.F_ADDL_SERVICE_REV is direct field</t>
  </si>
  <si>
    <t>Monthly access fee+ OOB rev + Add serv rev + Discount*(-1)</t>
  </si>
  <si>
    <t>Fixed line Customer Revenue</t>
  </si>
  <si>
    <t>a.(avg_revenue_by_product.xlsx)
b.`vfie_dh_lake_finance_mc2_presentation_processed_s`.`CPA_FIXEDLINE_R_IR_CPA_PNL_DTLD_FL`</t>
  </si>
  <si>
    <r>
      <t>1.if transaction type is inflow or retention then use [CHANNEL TOTAL REVENUE]</t>
    </r>
    <r>
      <rPr>
        <b/>
        <sz val="9"/>
        <color theme="1"/>
        <rFont val="Vodafone Rg"/>
        <family val="2"/>
      </rPr>
      <t xml:space="preserve">
</t>
    </r>
    <r>
      <rPr>
        <sz val="9"/>
        <color theme="1"/>
        <rFont val="Vodafone Rg"/>
        <family val="2"/>
      </rPr>
      <t>else for other transaction type use [Total Revenue]</t>
    </r>
    <r>
      <rPr>
        <b/>
        <sz val="9"/>
        <color theme="1"/>
        <rFont val="Vodafone Rg"/>
        <family val="2"/>
      </rPr>
      <t xml:space="preserve"> 
</t>
    </r>
    <r>
      <rPr>
        <sz val="9"/>
        <color theme="1"/>
        <rFont val="Vodafone Rg"/>
        <family val="2"/>
      </rPr>
      <t>where 
2.[CHANNEL TOTAL REVENUE] = sum(S_INBUNDLE_REV,S_OUTBUNDLE_REV,S_ADD_SERVICE_REV) 
3.</t>
    </r>
    <r>
      <rPr>
        <b/>
        <sz val="9"/>
        <color theme="1"/>
        <rFont val="Vodafone Rg"/>
        <family val="2"/>
      </rPr>
      <t xml:space="preserve"> </t>
    </r>
    <r>
      <rPr>
        <sz val="9"/>
        <color theme="1"/>
        <rFont val="Vodafone Rg"/>
        <family val="2"/>
      </rPr>
      <t xml:space="preserve">[Total Revenue] = </t>
    </r>
    <r>
      <rPr>
        <b/>
        <sz val="9"/>
        <color theme="1"/>
        <rFont val="Vodafone Rg"/>
        <family val="2"/>
      </rPr>
      <t xml:space="preserve">Monthly access fee+ OOB rev + Add serv rev + Discount*(-1)
</t>
    </r>
    <r>
      <rPr>
        <sz val="9"/>
        <color theme="1"/>
        <rFont val="Vodafone Rg"/>
        <family val="2"/>
      </rPr>
      <t>4. S_INBUNDLE_REV  = is    "Inbundle Revenue" a direct field from (avg_revenue_by_product.xlsx),
S_OUTBUNDLE_REV =is   "OOB Revenue"   direct field from  (avg_revenue_by_product.xlsx),
 S_ADD_SERVICE_REV =   is  "Additional Service Revenue"  direct field from  (avg_revenue_by_product.xlsx)</t>
    </r>
  </si>
  <si>
    <t>INTERGER</t>
  </si>
  <si>
    <t>1. If transaction type is Inflow, retention then use S_DISCOUNT_CST column
2. S_DISCOUNT_CST =  is  "Discount" field,a direct field from  (avg_revenue_by_product.xlsx)
3. For base &amp; closing base and outflow use F_DISCOUNT_CST
4. F_DISCOUNT_CST = direct field</t>
  </si>
  <si>
    <t>`vfie_dh_lake_finance_mc2_presentation_processed_s`.`CPA_FIXEDLINE_R_IR_CPA_PNL_DTLD_FL C` left join `vf-ie-datahub`.`vfie_dh_lake_finance_mc2_presentation_processed_s`.`AVG_REVENUE_BY_PRODUCT` A</t>
  </si>
  <si>
    <t>1. If transaction type is Inflow, retention then use Est_F_CREDIT_AMT
2. Est_F_CREDIT_AMT = [CHANNEL TOTAL REVENUE]*0.05 *-1  
3. CHANNEL TOTAL REVENUE = sum(S_INBUNDLE_REV,S_OUTBUNDLE_REV,S_ADD_SERVICE_REV)  
4. For base &amp; closing base and outflow use F_CREDIT_AMT , calculation: F_NET_CREDIT_AMT*(-1) 
5. F_NET_CREDIT_AMT= Direct field
where
6.S_INBUNDLE_REV= "Inbundle Revenue" ,S_OUTBUNDLE_REV =  "OOB Revenue",S_ADD_SERVICE_REV =  "Additional Service Revenue" are fields  from  (avg_revenue_by_product.xlsx)</t>
  </si>
  <si>
    <t>Fixed line customer revenue + Discount + Credit</t>
  </si>
  <si>
    <t>Fixed line Customer service Revenue</t>
  </si>
  <si>
    <t>1.if transaction type is inflow or retention then use [CHANNEL NET REVENUE]
2. For base &amp; closing base and outflow use Fixed line customer revenue + Discount + Credit
3. [CHANNEL NET REVENUE] = Sum([CHANNEL TOTAL REVENUE],S_DISCOUNT_CST,Est_F_CREDIT_AMT) 
where
4.[CHANNEL TOTAL REVENUE] = sum(S_INBUNDLE_REV,S_OUTBUNDLE_REV,S_ADD_SERVICE_REV)   
5. S_INBUNDLE_REV  = is    "Inbundle Revenue" a direct field from (avg_revenue_by_product.xlsx),
6.S_OUTBUNDLE_REV =is   "OOB Revenue"   direct field from  (avg_revenue_by_product.xlsx),
 7.S_ADD_SERVICE_REV =   is  "Additional Service Revenue"  direct field from  (avg_revenue_by_product.xlsx)</t>
  </si>
  <si>
    <t>`vfie_dh_lake_finance_mc2_presentation_processed_s`.`CPA_FIXEDLINE_R_IR_CPA_PNL_DTLD_FL`</t>
  </si>
  <si>
    <t>1.If transaction type is Inflow, retention then use 
If(SUB_SERVICE_PROVIDER_DESC='Eircom' and F_WLR_CST&gt;40,F_WLR_CST/2 else 
2.For base &amp; closing base and outflow use If(SUB_SERVICE_PROVIDER_DESC='Eircom' and F_WLR_CST&gt;40,F_WLR_CST)
3.F_WLR_CST*-1
4.F_WLR_CST - direct field</t>
  </si>
  <si>
    <t>Wholesale Line Rental Cost</t>
  </si>
  <si>
    <t>1.[Total Interconnect Cost]  = Sum(F_IC_NTL_CST,F_IC_INTL_CST)*-1 
2.F_IC_NTL_CST =  F_IC_NTL_CST*(-1)
3. F_IC_NTL_CST= If transaction type is Inflow, retention then use S_IC_NAT_CST else use F_IC_NTL_CST 
4.S_IC_NAT_CST = is  "IC Nat Cost"  , a direct field from  (avg_revenue_by_product.xlsx)
5.F_IC_INTL_CST =  F_IC_INTL_CST*(-1)
6.F_IC_INTL_CST = If transaction type is Inflow, retention then use S_IC_NAT_CST else use F_IC_INTL_CST</t>
  </si>
  <si>
    <t>Interconnect Cost</t>
  </si>
  <si>
    <t>1.F_CHARGE_AMT = direct field</t>
  </si>
  <si>
    <t>TV Content Cost</t>
  </si>
  <si>
    <t xml:space="preserve"> [Total Wholesale Cost] &amp; ([Total Wholesale Cost]/Fixed line Customer service Revenue) 
where [Total Wholesale Cost] = (TV Content Cost + Interconnect Cost + Wholesale Line Rental Cost) </t>
  </si>
  <si>
    <t xml:space="preserve"> 'Monthly Wholesale &amp; IC Cost' 
or
  'Total Wholesale &amp; Interconnect Cost'</t>
  </si>
  <si>
    <t>1.If transaction type is Inflow, retention then use [Monthly Fixed Line margin],   
2.If transaction type is outflow then use [C_Monthly Fixed Line margin] 
3. else if If transaction type is base or closing base use [Monthly_CB Fixed Line margin]
4.[Monthly Fixed Line margin] = Sum([CHANNEL NET REVENUE], [Total Wholesale Cost])  
5.[CHANNEL NET REVENUE] = Sum([CHANNEL TOTAL REVENUE],S_DISCOUNT_CST,Est_F_CREDIT_AMT)   
6.[CHANNEL TOTAL REVENUE] = Sum(S_INBUNDLE_REV,S_OUTBUNDLE_REV,S_ADD_SERVICE_REV)  
7.S_INBUNDLE_REV= "Inbundle Revenue" ,S_OUTBUNDLE_REV =  "OOB Revenue",S_ADD_SERVICE_REV =  "Additional Service Revenue",S_DISCOUNT_CST="Discount" are fields from  (avg_revenue_by_product.xlsx)</t>
  </si>
  <si>
    <t>Monthly Fixed Line Margin</t>
  </si>
  <si>
    <t>a.(avg_revenue_by_product.xlsx)
b.`vfie_dh_lake_finance_mc2_presentation_processed_s`.`CPA_FIXEDLINE_R_IR_CPA_PNL_DTLD_FL`
c.LegacyData.xlsx</t>
  </si>
  <si>
    <t xml:space="preserve">1.[Est. PnL Margin]= Monthly Fixed Line Margin * alt([PP Tenure],18)) 
2.PP Tenure = Direct Field from External file (LegacyData.xlsx)
3. for alt it works like if first parameter of the function is a rounded value it will populate the same other wise it takes second argument.	</t>
  </si>
  <si>
    <t>Est. Margin</t>
  </si>
  <si>
    <t>1. If(CHNL_LEVEL_2 is 'CPW' or 'VF Retail' or 'VIS Outbound' or 'VF Online Sales') then 0 else F_COMMISSION_CST*(-1)) 
2.F_COMMISSION_CST is direct field</t>
  </si>
  <si>
    <t>Commission</t>
  </si>
  <si>
    <t xml:space="preserve">1. If(Transaction type is inflow and ([Product Type]) is 'BB + TV' or 'BB + Voice + TV' then -150,
If([Transaction type is inflow and ([Product Type]) is not any one these  ('BB + TV','BB + Voice + TV') then  -80,
If([Transaction type is retention then -20 else F_INSTALLATION_CST))) 
 where F_INSTALLATION_CST =  F_INSTALLATION_CST*-1 </t>
  </si>
  <si>
    <t>Installation Cost</t>
  </si>
  <si>
    <t>use Installation Cost + Commission</t>
  </si>
  <si>
    <t>Total A&amp;R Cost
 or
 Total Acquistion Cost
or
Total Retention Cost</t>
  </si>
  <si>
    <t>`vfie_dh_lake_finance_mc2_presentation_processed_s`.`CPA_FIXEDLINE_R_IR_CPA_PNL_DTLD_FL`CP left join
 `vfie_dh_lake_finance_mc2_presentation_processed_s`.`CPA_FIXEDLINE_R_IR_CPA_FIXED_COST_FL` CPA</t>
  </si>
  <si>
    <t>1.F_MAPP_CST = if(CHARGE_DESC like '*Missed Appointment' then sum( F_CHARGE_AMT )
2.F_MAPP_CST = Sum(F_MAPP_CST/MAPP_Cust)*-1
3.MAPP_Cust =Count(CUS_CUSTOMER_CD)
4.F_CHARGE_AMT = direct field</t>
  </si>
  <si>
    <t>Missed Appointment</t>
  </si>
  <si>
    <t xml:space="preserve">use Total A&amp;R Cost +  [Total Wholesale Cost]  + Missed Appointment    
where [Total Wholesale Cost] = (TV Content Cost + Interconnect Cost + Wholesale Line Rental Cost) </t>
  </si>
  <si>
    <t>Total Cost</t>
  </si>
  <si>
    <t>1.use [Gross Margin] &amp; ([Gross Margin]/[%GrossMargin]) where 
[Gross Margin]= 'Fixed Line Customer Revenue' + Discount  + Credit + F_INCOMING_REV +  [Total Wholesale Cost] + Missed Appointment + Total A&amp;R Cost    
and
2.[%Gross Margin]= If transaction type is Inflow, retention then use [Est. PnL Margin] else  If transaction type is outflow,base or closing base  use "Net Revenue"
3.[Est. PnL Margin]= Monthly Fixed Line Margin * alt([PP Tenure],18)) 
4. for alt it works like if first parameter of the function is a rounded value it will populate the same other wise it takes second argument.	
5.PP Tenure = Direct Field from External file (LegacyData.xlsx)
6."Net Revenue" =  If transaction type is Inflow, retention then use "CHANNEL NET REVENUE" else  If transaction type is outflow = "C_CHANNEL NET REVENUE" else use "Net Revenue"
7.[CHANNEL NET REVENUE] = Sum([CHANNEL TOTAL REVENUE],S_DISCOUNT_CST,Est_F_CREDIT_AMT)   w
where
8.[CHANNEL TOTAL REVENUE] = Sum(S_INBUNDLE_REV,S_OUTBUNDLE_REV,S_ADD_SERVICE_REV)  
9.S_INBUNDLE_REV= "Inbundle Revenue" ,S_OUTBUNDLE_REV =  "OOB Revenue",S_ADD_SERVICE_REV =  "Additional Service Revenue",S_DISCOUNT_CST="Discount" are fields from  (avg_revenue_by_product.xlsx)
10.[C_CHANNEL NET REVENUE] = sum([CHANNEL TOTAL REVENUE] + Discount + Credit)   
11.[Net Revenue] = Sum([CHANNEL TOTAL REVENUE],S_DISCOUNT_CST,Est_F_CREDIT_AMT)   
where  
13.Est_F_CREDIT_AMT = [CHANNEL TOTAL REVENUE]*0.05 *-1  
14.F_INCOMING_REV is Direct Field</t>
  </si>
  <si>
    <t>Est. Gross Margin' 
or
'Fixed Line Gross Margin'</t>
  </si>
  <si>
    <t>1.if(DAT_MONTH_ID&gt; 202103,((F_DURATIO_SUM/60)*9.3)*-1,((F_DURATIO_SUM/60)*8.5)*-1)	
2..F_DURATIO_SUM = direct field</t>
  </si>
  <si>
    <t>a.Opex_File.xlsx
b.`vfie_dh_lake_finance_mc2_presentation_processed_s`.`CPA_FIXEDLINE_R_IR_CPA_PNL_DTLD_FL`</t>
  </si>
  <si>
    <t>1. If transaction type is Inflow, retention then use( AvgCost*-1) 	else 0
2.AvgCost = Retail_Cost/Subs 
3.Retail_Cost = Sum([Cost in Euro])
4.[Cost in Euro] =Opex_File.xlsx from external file
5.Subs = Count(SUB_SUBSCRIPTION_CD)</t>
  </si>
  <si>
    <t>1.Cost to Service + Vodafone Retail Cost</t>
  </si>
  <si>
    <t>1. EBITDA&amp; (EBITDA/[%GrossMargin]) where 
EBITDA = ([Gross Margin] + Total Opex Cost) 
2.[Gross Margin]= 'Fixed Line Customer Revenue' + Discount  + Credit + F_INCOMING_REV +  [Total Wholesale Cost] + Missed Appointment + Total A&amp;R Cost   
 where F_INCOMING_REV is Direct Field
3.[%Gross Margin]= If transaction type is Inflow, retention then use [Est. PnL Margin] else  If transaction type is outflow,base or closing base  use "Net Revenue"
4.[Est. PnL Margin]= Monthly Fixed Line Margin * alt([PP Tenure],18)) 
5. for alt it works like if first parameter of the function is a rounded value it will populate the same other wise it takes second argument.	
6.PP Tenure = Direct Field from External file (LegacyData.xlsx)
7."Net Revenue" =  If transaction type is Inflow, retention then use "CHANNEL NET REVENUE" else  If transaction type is outflow = "C_CHANNEL NET REVENUE" else use "Net Revenue"
8.[CHANNEL NET REVENUE] = Sum([CHANNEL TOTAL REVENUE],S_DISCOUNT_CST,Est_F_CREDIT_AMT)   w
where
9.[CHANNEL TOTAL REVENUE] = Sum(S_INBUNDLE_REV,S_OUTBUNDLE_REV,S_ADD_SERVICE_REV)  
10.S_INBUNDLE_REV= "Inbundle Revenue" ,S_OUTBUNDLE_REV =  "OOB Revenue",S_ADD_SERVICE_REV =  "Additional Service Revenue",S_DISCOUNT_CST="Discount" are fields from  (avg_revenue_by_product.xlsx)
11.[C_CHANNEL NET REVENUE] = sum([CHANNEL TOTAL REVENUE] + Discount + Credit)   
12.[Net Revenue] = Sum([CHANNEL TOTAL REVENUE],S_DISCOUNT_CST,Est_F_CREDIT_AMT)   
where  
13.Est_F_CREDIT_AMT = [CHANNEL TOTAL REVENUE]*0.05 *-1  
14.F_INCOMING_REV is Direct Field</t>
  </si>
  <si>
    <t>Est. EBITDA'
or
'Fixed Line EBITDA'</t>
  </si>
  <si>
    <t>`vfie_dh_lake_finance_mc2_presentation_processed_s`.`CPA_FIXEDLINE_R_IR_CPA_DISCOUNT_FL` C left join
`vfie_dh_lake_finance_mc2_presentation_processed_s`.`CPA_FIXEDLINE_R_IR_CPA_PNL_DTLD_FL`CP</t>
  </si>
  <si>
    <t>1.Sum(F_Modem_Cost/MODEM_STB_Cust)*-1
2.F_Modem_Cost = If(F_COST_AMT=0, then 50 else  sum(F_COST_AMT)
3.MODEM_STB_Cust = Count(CUS_CUSTOMER_CD)
4. CUS_CUSTOMER_CD - Direct Field
5.F_COST_AMT  is Direct Field</t>
  </si>
  <si>
    <t>Modem</t>
  </si>
  <si>
    <t>`vfie_dh_lake_finance_mc2_presentation_processed_s`.`CPA_FIXEDLINE_R_IR_CPA_DISCOUNT_FL`C left join
`vfie_dh_lake_finance_mc2_presentation_processed_s`.`CPA_FIXEDLINE_R_IR_CPA_PNL_DTLD_FL` CP</t>
  </si>
  <si>
    <t>1.Sum(F_STB_Cost/MODEM_STB_Cust)*-1
2.MODEM_STB_Cust = Count(CUS_CUSTOMER_CD)
3. CUS_CUSTOMER_CD - Direct Field
4.F_STB_Cost = If(F_COST_AMT=0, then 109 else sum(F_COST_AMT)
5.F_COST_AMT  is Direct Field</t>
  </si>
  <si>
    <t>Set Top Box</t>
  </si>
  <si>
    <t>1. F_OUTSTANDING_AMT*(-1) 
2.F_OUTSTANDING_AMT is direct field</t>
  </si>
  <si>
    <t>Fixed Line Customer Service Revenue/ Customer Volume</t>
  </si>
  <si>
    <t>Monthly Fixed Line margin/ Customer Volume</t>
  </si>
  <si>
    <t>AMPU</t>
  </si>
  <si>
    <t>a.`vfie_dh_lake_finance_mc2_presentation_processed_s`.`CPA_FIXEDLINE_R_IR_CPA_PNL_DTLD_FL`
b.LegacyData.xlsx</t>
  </si>
  <si>
    <t>[Gross Margin]/ Customer Volume  where  
[Gross Margin]= 'Fixed Line Customer Revenue' + Discount  + Credit + F_INCOMING_REV +  [Total Wholesale Cost] + Missed Appointment + Total A&amp;R Cost   
 where F_INCOMING_REV is Direct Field</t>
  </si>
  <si>
    <t>GMPU</t>
  </si>
  <si>
    <t>1.avg([F_Tenure])
2.[F_Tenure]= If transaction type is Inflow, retention then use [PP Tenure] else If transaction type is outflow,base,closing base use "Contract Tenure"
3.PP Tenure = Direct Field from External file (LegacyData.xlsx)
4."Contract Tenure" =  CONTRACT_TENURE, a Direct Field</t>
  </si>
  <si>
    <t>Est.Tenure'
or
 'Average Tenure'</t>
  </si>
  <si>
    <t>Count(distinct  CUS_CUSTOMER_CD)</t>
  </si>
  <si>
    <t>Customer Volume</t>
  </si>
  <si>
    <t>1.Count(Distinct CUS_CUSTOMER_CD)
2.CUS_CUSTOMER_CD = direct field</t>
  </si>
  <si>
    <t>Customers</t>
  </si>
  <si>
    <t xml:space="preserve">1.if  no transaction type is selected or transaction type is inflow or retention use Cust_LT_Value else use  [Net Revenue]
2.Cust_LT_Value = Sum([CHANNEL NET REVENUE]*alt([PP Tenure],18)) 	
3.[PP Tenure]  = direct field from external file (LegacyData.xlsx)
4. for alt it works like if first parameter of the function is a rounded value it will populate the same other wise it takes second argument.	
5.[Net Revenue] = Total revenue +  Discount + Credit
 where Total revenue = Monthly access fee+ OOB rev + Add serv rev + Discount*(-1)  where 
Monthly access  is 
1. If transaction type is Inflow, retention, outflow then useS_INBUNDLE_REV revenue column
2. S_INBUNDLE_REV  = is    "Inbundle Revenue" a direct field from (avg_revenue_by_product.xlsx)
3. For base &amp; closing base use F_IN_BUNDEL_REV where
4. F_IN_BUNDEL_REV=  F_IN_BUNDEL_REV - F_DISCOUNT_CST
OOB rev is 
1. If transaction type is Inflow, retention, outflow then use S_OUTBUNDLE_REV column
2. S_OUTBUNDLE_REV =is   "OOB Revenue"   direct field from  (avg_revenue_by_product.xlsx)
3. For base &amp; closing base use F_Outbundle revenue, this is also a direct field
Add serv rev is 
1. If transaction type is Inflow, retention, outflow then use S_ADD_SERVICE_REV revenue column
2. For base &amp; closing base use F_ADDL_SERVICE_REV revenue
3. S_ADD_SERVICE_REV =   is  "Additional Service Revenue"  direct field from  (avg_revenue_by_product.xlsx)
4.F_ADDL_SERVICE_REV are direct fields
Discount is 
1. If transaction type is Inflow, retention then use S_DISCOUNT_CST column
2. S_DISCOUNT_CST =  is  Discount field,a direct field from  (avg_revenue_by_product.xlsx)
3. For base &amp; closing base and outflow use F_DISCOUNT_CST
4. F_DISCOUNT_CST = direct field
Credit is
1. If transaction type is Inflow, retention then use Est_F_CREDIT_AMT
2. Est_F_CREDIT_AMT = [CHANNEL TOTAL REVENUE]*0.05 *-1  
3. CHANNEL TOTAL REVENUE = sum(S_INBUNDLE_REV,S_OUTBUNDLE_REV,S_ADD_SERVICE_REV)  
4. For base &amp; closing base and outflow use F_CREDIT_AMT , calculation: F_NET_CREDIT_AMT*(-1) 
5. F_NET_CREDIT_AMT= Direct field
6.S_INBUNDLE_REV,S_OUTBUNDLE_REV,S_ADD_SERVICE_REV are direct fields  from  (avg_revenue_by_product.xlsx)
6.[CHANNEL NET REVENUE] = Sum([CHANNEL TOTAL REVENUE],S_DISCOUNT_CST,Est_F_CREDIT_AMT)   
7.[CHANNEL TOTAL REVENUE] = Sum(S_INBUNDLE_REV,S_OUTBUNDLE_REV,S_ADD_SERVICE_REV)  
8..S_INBUNDLE_REV,S_OUTBUNDLE_REV,S_ADD_SERVICE_REV,S_DISCOUNT_CST are direct fields from  (avg_revenue_by_product.xlsx)
9. Est_F_CREDIT_AMT = [CHANNEL TOTAL REVENUE]*0.05 *-1  </t>
  </si>
  <si>
    <t>Est.Life Time Value
Note : 
(for Per Sub  value of Est.Life Time Value : divide its  absolute value by Customers)</t>
  </si>
  <si>
    <t>1.Fabs(sum([Total CI Cost]))
2.[Total CI Cost] = Sum(F_INSTALLATION_CST,F_COMMISSION_CST)   
3. F_INSTALLATION_CST = If(Transaction type is inflow and ([Product Type]) is 'BB + TV' or 'BB + Voice + TV' then -150,
If([Transaction type is inflow and ([Product Type]) is not any one these  ('BB + TV','BB + Voice + TV') then  -80,
If(Transaction type is retention then -20 else F_INSTALLATION_CST
 where F_INSTALLATION_CST =  F_INSTALLATION_CST*-1 
4.F_COMMISSION_CST =  If(CHNL_LEVEL_2 is 'CPW' or 'VF Retail' or 'VIS Outbound' or 'VF Online Sales') then 0 else  use  F_COMMISSION_CST*(-1)
where  F_COMMISSION_CST is direct field</t>
  </si>
  <si>
    <t>Acq &amp; Installation Cost'
or
'Retention &amp; Installation Cost'
or
'A&amp;R &amp; Installation Cost'
Note : 
(for Per Sub  value of this KPI : divide its  absolute value by Customers)</t>
  </si>
  <si>
    <r>
      <t xml:space="preserve">1.Sum([Gross Margin]) 
2.[Gross Margin]= </t>
    </r>
    <r>
      <rPr>
        <b/>
        <sz val="11"/>
        <color theme="1"/>
        <rFont val="Calibri"/>
        <family val="2"/>
        <scheme val="minor"/>
      </rPr>
      <t>'Fixed Line Customer Revenue' + Discount  + Credit + F_INCOMING_REV +  [Total Wholesale Cost] + Missed Appointment + Acq &amp; Installation Cost</t>
    </r>
    <r>
      <rPr>
        <sz val="11"/>
        <color theme="1"/>
        <rFont val="Calibri"/>
        <family val="2"/>
        <scheme val="minor"/>
      </rPr>
      <t xml:space="preserve">
 where F_INCOMING_REV is Direct Field
3.</t>
    </r>
    <r>
      <rPr>
        <b/>
        <sz val="11"/>
        <color theme="1"/>
        <rFont val="Calibri"/>
        <family val="2"/>
        <scheme val="minor"/>
      </rPr>
      <t xml:space="preserve">Fixed Line Customer Revenue' = Monthly access fee+ OOB rev + Add serv rev + Discount*(-1) </t>
    </r>
    <r>
      <rPr>
        <sz val="11"/>
        <color theme="1"/>
        <rFont val="Calibri"/>
        <family val="2"/>
        <scheme val="minor"/>
      </rPr>
      <t>where</t>
    </r>
    <r>
      <rPr>
        <b/>
        <sz val="11"/>
        <color theme="1"/>
        <rFont val="Calibri"/>
        <family val="2"/>
        <scheme val="minor"/>
      </rPr>
      <t xml:space="preserve">
Monthly acces</t>
    </r>
    <r>
      <rPr>
        <sz val="11"/>
        <color theme="1"/>
        <rFont val="Calibri"/>
        <family val="2"/>
        <scheme val="minor"/>
      </rPr>
      <t xml:space="preserve">s  is 
1. If transaction type is Inflow, retention, outflow then useS_INBUNDLE_REV revenue column
2. S_INBUNDLE_REV  = is    "Inbundle Revenue" a direct field from (avg_revenue_by_product.xlsx)
3. For base &amp; closing base use F_IN_BUNDEL_REV where
4. F_IN_BUNDEL_REV=  F_IN_BUNDEL_REV - F_DISCOUNT_CST
</t>
    </r>
    <r>
      <rPr>
        <b/>
        <sz val="11"/>
        <color theme="1"/>
        <rFont val="Calibri"/>
        <family val="2"/>
        <scheme val="minor"/>
      </rPr>
      <t>OOB rev</t>
    </r>
    <r>
      <rPr>
        <sz val="11"/>
        <color theme="1"/>
        <rFont val="Calibri"/>
        <family val="2"/>
        <scheme val="minor"/>
      </rPr>
      <t xml:space="preserve"> is 
1. If transaction type is Inflow, retention, outflow then use S_OUTBUNDLE_REV column
2. S_OUTBUNDLE_REV =is   "OOB Revenue"   direct field from  (avg_revenue_by_product.xlsx)
3. For base &amp; closing base use F_Outbundle revenue, this is also a direct field
</t>
    </r>
    <r>
      <rPr>
        <b/>
        <sz val="11"/>
        <color theme="1"/>
        <rFont val="Calibri"/>
        <family val="2"/>
        <scheme val="minor"/>
      </rPr>
      <t>Add serv rev</t>
    </r>
    <r>
      <rPr>
        <sz val="11"/>
        <color theme="1"/>
        <rFont val="Calibri"/>
        <family val="2"/>
        <scheme val="minor"/>
      </rPr>
      <t xml:space="preserve"> is 
1. If transaction type is Inflow, retention, outflow then use S_ADD_SERVICE_REV revenue column
2. For base &amp; closing base use F_ADDL_SERVICE_REV revenue
3. S_ADD_SERVICE_REV =   is  "Additional Service Revenue"  direct field from  (avg_revenue_by_product.xlsx)
4.F_ADDL_SERVICE_REV are D6 fields
</t>
    </r>
    <r>
      <rPr>
        <b/>
        <sz val="11"/>
        <color theme="1"/>
        <rFont val="Calibri"/>
        <family val="2"/>
        <scheme val="minor"/>
      </rPr>
      <t>Discount</t>
    </r>
    <r>
      <rPr>
        <sz val="11"/>
        <color theme="1"/>
        <rFont val="Calibri"/>
        <family val="2"/>
        <scheme val="minor"/>
      </rPr>
      <t xml:space="preserve"> is 
1. If transaction type is Inflow, retention then use S_DISCOUNT_CST column
2. S_DISCOUNT_CST =  is  Discount field,a direct field from  (avg_revenue_by_product.xlsx)
3. For base &amp; closing base and outflow use F_DISCOUNT_CST
4. F_DISCOUNT_CST = direct field
</t>
    </r>
    <r>
      <rPr>
        <b/>
        <sz val="11"/>
        <color theme="1"/>
        <rFont val="Calibri"/>
        <family val="2"/>
        <scheme val="minor"/>
      </rPr>
      <t>Credit</t>
    </r>
    <r>
      <rPr>
        <sz val="11"/>
        <color theme="1"/>
        <rFont val="Calibri"/>
        <family val="2"/>
        <scheme val="minor"/>
      </rPr>
      <t xml:space="preserve"> is
1. If transaction type is Inflow, retention then use Est_F_CREDIT_AMT
2. Est_F_CREDIT_AMT = [CHANNEL TOTAL REVENUE]*0.05 *-1  
3. CHANNEL TOTAL REVENUE = sum(S_INBUNDLE_REV,S_OUTBUNDLE_REV,S_ADD_SERVICE_REV)  
4. For base &amp; closing base and outflow use F_CREDIT_AMT , calculation: F_NET_CREDIT_AMT*(-1) 
5. F_NET_CREDIT_AMT= Direct field
6.S_INBUNDLE_REV,S_OUTBUNDLE_REV,S_ADD_SERVICE_REV are direct fields  from  (avg_revenue_by_product.xlsx)
4. where [Total Wholesale Cost] = (F</t>
    </r>
    <r>
      <rPr>
        <b/>
        <sz val="11"/>
        <color theme="1"/>
        <rFont val="Calibri"/>
        <family val="2"/>
        <scheme val="minor"/>
      </rPr>
      <t xml:space="preserve">_CHARGE_AMT + Interconnect Cost + Wholesale Line Rental Cost) </t>
    </r>
    <r>
      <rPr>
        <sz val="11"/>
        <color theme="1"/>
        <rFont val="Calibri"/>
        <family val="2"/>
        <scheme val="minor"/>
      </rPr>
      <t xml:space="preserve">
F_CHARGE_AMT = direct field
1. Interconnect Cost  = Sum(F_IC_NTL_CST,F_IC_INTL_CST)*-1 
2.F_IC_NTL_CST =  F_IC_NTL_CST*(-1)
3. F_IC_NTL_CST= If transaction type is Inflow, retention then use S_IC_NAT_CST else use F_IC_NTL_CST 
4.S_IC_NAT_CST ]= is direct field from External file
5.F_IC_INTL_CST =  F_IC_INTL_CST*(-1)
6.F_IC_INTL_CST = If transaction type is Inflow, retention then use S_IC_NAT_CST else use F_IC_INTL_CST
 Wholesale Line Rental Cost = 1.If transaction type is Inflow, retention then use 
If(SUB_SERVICE_PROVIDER_DESC='Eircom' and F_WLR_CST&gt;40,F_WLR_CST/2 else 
2.For base &amp; closing base and outflow use If(SUB_SERVICE_PROVIDER_DESC='Eircom' and F_WLR_CST&gt;40,F_WLR_CST)
3.F_WLR_CST*-1
4.F_WLR_CST - direct field
Missed Appointment= 1.F_MAPP_CST = if(CHARGE_DESC like '*Missed Appointment' then sum( F_CHARGE_AMT )
2.F_MAPP_CST = Sum(F_MAPP_CST/MAPP_Cust)*-1
3.MAPP_Cust =Count(CUS_CUSTOMER_CD)
4.F_CHARGE_AMT = direct field</t>
    </r>
  </si>
  <si>
    <r>
      <t xml:space="preserve">Est.Gross Margin
</t>
    </r>
    <r>
      <rPr>
        <b/>
        <i/>
        <u/>
        <sz val="11"/>
        <color theme="1"/>
        <rFont val="Calibri"/>
        <family val="2"/>
        <scheme val="minor"/>
      </rPr>
      <t xml:space="preserve">Note : </t>
    </r>
    <r>
      <rPr>
        <sz val="11"/>
        <color theme="1"/>
        <rFont val="Calibri"/>
        <family val="2"/>
        <scheme val="minor"/>
      </rPr>
      <t xml:space="preserve">
(for </t>
    </r>
    <r>
      <rPr>
        <b/>
        <i/>
        <sz val="11"/>
        <color theme="1"/>
        <rFont val="Calibri"/>
        <family val="2"/>
        <scheme val="minor"/>
      </rPr>
      <t xml:space="preserve">Per Sub </t>
    </r>
    <r>
      <rPr>
        <sz val="11"/>
        <color theme="1"/>
        <rFont val="Calibri"/>
        <family val="2"/>
        <scheme val="minor"/>
      </rPr>
      <t xml:space="preserve"> value of this KPI : divide its  absolute value by </t>
    </r>
    <r>
      <rPr>
        <b/>
        <sz val="11"/>
        <color theme="1"/>
        <rFont val="Calibri"/>
        <family val="2"/>
        <scheme val="minor"/>
      </rPr>
      <t>Customers</t>
    </r>
    <r>
      <rPr>
        <sz val="11"/>
        <color theme="1"/>
        <rFont val="Calibri"/>
        <family val="2"/>
        <scheme val="minor"/>
      </rPr>
      <t>)</t>
    </r>
  </si>
  <si>
    <t>1.Avg(F_Tenure)
2.F_Tenure = If transaction type is Inflow, retention then use [PP Tenure] else  use Contract Tenure
3.[PP Tenure] = Direct Field from External file (LegacyData.xlsx)
4."Contract Tenure" = CONTRACT_TENURE( direct field)</t>
  </si>
  <si>
    <t>1.Discount/count(distinct [ SUB_SUBSCRIPTION_CD 	])</t>
  </si>
  <si>
    <t>Avg Discount</t>
  </si>
  <si>
    <t>1.Discount/sum([Total Revenue]) where
2.where Total revenue = Monthly access fee+ OOB rev + Add serv rev + Discount*(-1) 
 where 
Monthly access  is 
1. If transaction type is Inflow, retention, outflow then useS_INBUNDLE_REV revenue column
2. S_INBUNDLE_REV  = is    "Inbundle Revenue" a direct field from (avg_revenue_by_product.xlsx)
3. For base &amp; closing base use F_IN_BUNDEL_REV where
4. F_IN_BUNDEL_REV=  F_IN_BUNDEL_REV - F_DISCOUNT_CST
OOB rev is 
1. If transaction type is Inflow, retention, outflow then use S_OUTBUNDLE_REV column
2. S_OUTBUNDLE_REV =is   "OOB Revenue"   direct field from  (avg_revenue_by_product.xlsx)
3. For base &amp; closing base use F_Outbundle revenue, this is also a direct field
Add serv rev is 
1. If transaction type is Inflow, retention, outflow then use S_ADD_SERVICE_REV revenue column
2. For base &amp; closing base use F_ADDL_SERVICE_REV revenue
3. S_ADD_SERVICE_REV =   is  "Additional Service Revenue"  direct field from  (avg_revenue_by_product.xlsx)
4.F_ADDL_SERVICE_REV are direct fields
Discount is 
1. If transaction type is Inflow, retention then use S_DISCOUNT_CST column
2. S_DISCOUNT_CST =  is  Discount field,a direct field from  (avg_revenue_by_product.xlsx)
3. For base &amp; closing base and outflow use F_DISCOUNT_CST
4. F_DISCOUNT_CST = direct field</t>
  </si>
  <si>
    <t>Revenue Impact</t>
  </si>
  <si>
    <r>
      <t>(</t>
    </r>
    <r>
      <rPr>
        <b/>
        <sz val="11"/>
        <color theme="1"/>
        <rFont val="Calibri"/>
        <family val="2"/>
        <scheme val="minor"/>
      </rPr>
      <t>Discount</t>
    </r>
    <r>
      <rPr>
        <sz val="11"/>
        <color theme="1"/>
        <rFont val="Calibri"/>
        <family val="2"/>
        <scheme val="minor"/>
      </rPr>
      <t xml:space="preserve"> for this month - </t>
    </r>
    <r>
      <rPr>
        <b/>
        <sz val="11"/>
        <color theme="1"/>
        <rFont val="Calibri"/>
        <family val="2"/>
        <scheme val="minor"/>
      </rPr>
      <t>Discount</t>
    </r>
    <r>
      <rPr>
        <sz val="11"/>
        <color theme="1"/>
        <rFont val="Calibri"/>
        <family val="2"/>
        <scheme val="minor"/>
      </rPr>
      <t xml:space="preserve"> for Previous Month) /  </t>
    </r>
    <r>
      <rPr>
        <b/>
        <sz val="11"/>
        <color theme="1"/>
        <rFont val="Calibri"/>
        <family val="2"/>
        <scheme val="minor"/>
      </rPr>
      <t xml:space="preserve">Discount </t>
    </r>
    <r>
      <rPr>
        <sz val="11"/>
        <color theme="1"/>
        <rFont val="Calibri"/>
        <family val="2"/>
        <scheme val="minor"/>
      </rPr>
      <t>for Previous Month</t>
    </r>
  </si>
  <si>
    <t>Vs  Last Month</t>
  </si>
  <si>
    <t>`vfie_dh_lake_finance_mc2_presentation_processed_s`.`CPA_FIXEDLINE_R_IR_CPA_CREDIT_DTLD_FL`</t>
  </si>
  <si>
    <t>1.count(distinct [Subscriber ID]) for [Activation Ind]={1} 
2.Subscriber ID = SUB_SUBSCRIPTION_CD
3.[Activation Ind] = if(ACR_CREDIT_REASON_DESC='Write off') use 0 else 1
4.ACR_CREDIT_REASON_DESC = direct field</t>
  </si>
  <si>
    <t>1.sum([Gross Credit Amt])*-1 for [Activation Ind]={1} 
2.[Gross Credit Amt] = Sum(GROSS_CREDIT_AMT)
3.GROSS_CREDIT_AMT = Direct field</t>
  </si>
  <si>
    <t>Gross Credit</t>
  </si>
  <si>
    <t>1.sum([Tax Amt]) for [Activation Ind]={1} 
2.[Tax Amt]=Sum(TAX_AMT)</t>
  </si>
  <si>
    <t>Tax</t>
  </si>
  <si>
    <t>1.sum([Net Credit Amt])*-1 for {[Activation Ind]={1}
2.[Net Credit Amt]=Sum(NET_CREDIT_AMT)</t>
  </si>
  <si>
    <t>Net Credit</t>
  </si>
  <si>
    <t>1.(sum([Net Credit Amt]) for {[Activation Ind]={1} )/count(distinct [Subscriber ID]))*-1 for {[Activation Ind]={1} where 
[Net Credit Amt]=Sum(NET_CREDIT_AMT) where NET_CREDIT_AMT is direct field and Subscriber ID = SUB_SUBSCRIPTION_CD</t>
  </si>
  <si>
    <t>Avg Net Credit</t>
  </si>
  <si>
    <t>1.Sum(F_DURATIO_SUM)/60
2.F_DURATIO_SUM = if(DAT_MONTH_ID&gt; 202103 use ((F_DURATIO_SUM/60)*9.3)*-1 else use ((F_DURATIO_SUM/60)*8.5)*-1)
3.F_DURATIO_SUM = direct field</t>
  </si>
  <si>
    <t>Call Hours</t>
  </si>
  <si>
    <t>1.(sum(F_DURATIO_SUM)/60)*(if no MonthYear is selected or if num(MonthYear)&gt;='44287' then multiply by '9.3' else multiply by '8.5')*-1 where
2.F_DURATIO_SUM = if(DAT_MONTH_ID&gt; 202103 use ((F_DURATIO_SUM/60)*9.3)*-1 else use ((F_DURATIO_SUM/60)*8.5)*-1)
3..F_DURATIO_SUM = direct field</t>
  </si>
  <si>
    <t>Call Cost</t>
  </si>
  <si>
    <t xml:space="preserve">1.(Count(if [NPS Category]={0,1,2} distinct [Subscriber ID]) )
/count(distinct [Subscriber ID])   where Subscriber ID = SUB_SUBSCRIPTION_CD
2.[NPS Category] = IF(TNPS_SCORE&gt;=0 AND TNPS_SCORE&lt;=6) then  0 else
     if(TNPS_SCORE=7) then  1  else
     if(TNPS_SCORE&gt;7 and TNPS_SCORE&lt;=10) then  2  else null()	
3.TNPS_SCORE = direct field </t>
  </si>
  <si>
    <t>Response Rate</t>
  </si>
  <si>
    <t>1.((Count(distinct{[NPS Category]={2} CUS_CUSTOMER_CD))/(Count(distinct{[NPS Category]={0,1,2} CUS_CUSTOMER_CD))) 
where CUS_CUSTOMER_CD = direct field
 2.[NPS Category] = IF(TNPS_SCORE&gt;=0 AND TNPS_SCORE&lt;=6) then  0 else
     if(TNPS_SCORE=7) then  1  else
     if(TNPS_SCORE&gt;7 and TNPS_SCORE&lt;=10) then  2  else null()	
3.TNPS_SCORE = direct field</t>
  </si>
  <si>
    <t>Promoters</t>
  </si>
  <si>
    <t xml:space="preserve">1.((Count(distinct [NPS Category]={0} CUS_CUSTOMER_CD))
/(Count(distinct{[NPS Category]={0,1,2} CUS_CUSTOMER_CD)))
where CUS_CUSTOMER_CD = direct field
 2.[NPS Category] = IF(TNPS_SCORE&gt;=0 AND TNPS_SCORE&lt;=6) then  0 else
     if(TNPS_SCORE=7) then  1  else
     if(TNPS_SCORE&gt;7 and TNPS_SCORE&lt;=10) then  2  else null()	
3.TNPS_SCORE = direct field
</t>
  </si>
  <si>
    <t>Detractors</t>
  </si>
  <si>
    <t>1.(((Count(distinct [NPS Category]={2} CUS_CUSTOMER_CD))- 
(Count(distinct{[NPS Category]={0} CUS_CUSTOMER_CD)))
/(Count(distinct{ 
[NPS Category]={0,1,2} CUS_CUSTOMER_CD)))*100
where CUS_CUSTOMER_CD = direct field
 2.[NPS Category] = IF(TNPS_SCORE&gt;=0 AND TNPS_SCORE&lt;=6) then  0 else
     if(TNPS_SCORE=7) then  1  else
     if(TNPS_SCORE&gt;7 and TNPS_SCORE&lt;=10) then  2  else null()	
3.TNPS_SCORE = direct field</t>
  </si>
  <si>
    <t>NPS Score</t>
  </si>
  <si>
    <t>Step 1:
SELECT 
DLR_DEALER_SRC_CD,
Sum([Cost in Euro]) As Retail_Cost
vf-ie-mc2-nonlive.vfie_mc2_nonlive_ie_lake_mc2_presentation_processed_s.retail_opex_rc
Group by Dealer ID</t>
  </si>
  <si>
    <t>1.if transaction type is inflow,retention, outflow then use [Store Total Revenue] else use [Total Revenue]
where 
2.[Store Total Revenue] = STORE_TOTAL_REVENUE_S
3. [Total Revenue ] = Sum(F_IN_BUNDEL_REV,F_OUTBUNDLE_REV,F_CONTENT_REV*-1,F_ADDL_SERVICE_REV,F_CONTENT_REV,F_DISCOUNT_CST*-1)  
where 
    a.F_IN_BUNDEL_REV = F_IN_BUNDEL_REV_Q
    b.F_OUTBUNDLE_REV = F_OUTBUNDLE_REV_Q
4.F_IN_BUNDEL_REV_Q,F_OUTBUNDLE_REV_Q,F_CONTENT_REV,F_ADDL_SERVICE_REV,F_DISCOUNT_CST are direct fields</t>
  </si>
  <si>
    <t>1. If transaction type is Inflow, retention, outflow then use [Store Total Revenue Inc]  else for other transaction type use [Total Revenue Inc]
where
   a.[Store Total Revenue Inc] = STORE_TOTAL_REVENUE_INC_S
2.[Total Revenue Inc] = Sum([Total Revenue],F_DISCOUNT_CST,F_CREDIT_AMT_Q)	
where
3.[Total Revenue] =  Sum(F_IN_BUNDEL_REV,F_OUTBUNDLE_REV,F_CONTENT_REV*-1,F_ADDL_SERVICE_REV,F_CONTENT_REV,F_DISCOUNT_CST*-1)  
where
   a.F_IN_BUNDEL_REV = F_IN_BUNDEL_REV_Q
   b.F_OUTBUNDLE_REV = F_OUTBUNDLE_REV_Q
4.STORE_TOTAL_REVENUE_INC_S,F_IN_BUNDEL_REV_Q,F_OUTBUNDLE_REV_Q,F_CONTENT_REV,F_ADDL_SERVICE_REV,F_DISCOUNT_CST,F_CREDIT_AMT_Q
 are direct fields</t>
  </si>
  <si>
    <t>Mobile_Customer_Revenue_D_C</t>
  </si>
  <si>
    <t>Mobile_Customer_Revenue_ICR</t>
  </si>
  <si>
    <t>Airtime_Margin</t>
  </si>
  <si>
    <t>1.[LT Direct Margin]= If transaction type is Inflow, retention then use Est_Lifetime_Margin
2.For Outflow,use AIRTIME_MARGIN, else For Base, use AIRTIME_MARGIN_CB
where Est_Lifetime_Margin,AIRTIME_MARGIN and AIRTIME_MARGIN_CB are direct fields</t>
  </si>
  <si>
    <t>1.alt(Airtime Margin/'Mobile Service Revenue + ICR' , Airtime Margin/100)
for alt it works like if first parameter of the function is a not null value it will populate the same other wise it takes second argument.</t>
  </si>
  <si>
    <t>Airtime_Margin_Percentage</t>
  </si>
  <si>
    <t>1.Avg Gross Margin = If Transaction  type is inflow,retention,outflow then use Est_Gross_Margin else for transaction type  base use Est_Gross_Margin_CB
Est_Gross_Margin, Est_Gross_Margin_CB are direct fields</t>
  </si>
  <si>
    <t>1.alt(Est Gross Margin/Est. Lifetime Margin,Est Gross Margin/100) 
for alt it works like if first parameter of the function is a not null value it will populate the same other wise it takes second argument.</t>
  </si>
  <si>
    <t>Gross_Margin_Percentage</t>
  </si>
  <si>
    <r>
      <rPr>
        <sz val="11"/>
        <color rgb="FF000000"/>
        <rFont val="Calibri"/>
        <family val="2"/>
        <scheme val="minor"/>
      </rPr>
      <t xml:space="preserve">1.Avg EBIDTA = If Transaction type is inflow,retention,outflow  then use </t>
    </r>
    <r>
      <rPr>
        <sz val="11"/>
        <color rgb="FFFF0000"/>
        <rFont val="Calibri"/>
        <family val="2"/>
        <scheme val="minor"/>
      </rPr>
      <t xml:space="preserve">EBITDA_Q </t>
    </r>
    <r>
      <rPr>
        <sz val="11"/>
        <color theme="1"/>
        <rFont val="Calibri"/>
        <family val="2"/>
        <scheme val="minor"/>
      </rPr>
      <t>els</t>
    </r>
    <r>
      <rPr>
        <sz val="11"/>
        <color rgb="FF000000"/>
        <rFont val="Calibri"/>
        <family val="2"/>
        <scheme val="minor"/>
      </rPr>
      <t xml:space="preserve">e use </t>
    </r>
    <r>
      <rPr>
        <sz val="11"/>
        <color rgb="FFFF0000"/>
        <rFont val="Calibri"/>
        <family val="2"/>
        <scheme val="minor"/>
      </rPr>
      <t>EBITDA_CB</t>
    </r>
    <r>
      <rPr>
        <sz val="11"/>
        <color rgb="FF000000"/>
        <rFont val="Calibri"/>
        <family val="2"/>
        <scheme val="minor"/>
      </rPr>
      <t xml:space="preserve">
where </t>
    </r>
    <r>
      <rPr>
        <sz val="11"/>
        <color rgb="FFFF0000"/>
        <rFont val="Calibri"/>
        <family val="2"/>
        <scheme val="minor"/>
      </rPr>
      <t xml:space="preserve">EBITDA_CB,EBITDA_Q </t>
    </r>
    <r>
      <rPr>
        <sz val="11"/>
        <color rgb="FF000000"/>
        <rFont val="Calibri"/>
        <family val="2"/>
        <scheme val="minor"/>
      </rPr>
      <t>are direct fields</t>
    </r>
  </si>
  <si>
    <t>Est_EBIDTA</t>
  </si>
  <si>
    <t xml:space="preserve">alt(Est EBIDTA/Est. Lifetime Margin,Est EBIDTA/100)
for alt it works like if first parameter of the function is a not null value it will populate the same other wise it takes second argument.
</t>
  </si>
  <si>
    <t>Est_EBIDTA_Percentage</t>
  </si>
  <si>
    <t>1. If transaction type is Inflow, retention, outflow then use S_INBUNDLE_REV column
2. S_INBUNDLE_REV ="Inbundle_Revenue" taken from AVG_REVENUE_BY_PRODUCT` 
3. For base &amp; closing base use F_IN_BUNDEL_REV_Q  revenue</t>
  </si>
  <si>
    <t>Monthly_Access_Fee</t>
  </si>
  <si>
    <t>1. If transaction type is Inflow, retention, outflow then use S_OUTBUNDLE revenue column
2. S_OUTBUNDLE = ''OOB_Revenue'' taken from AVG_REVENUE_BY_PRODUCT` 
3. For base &amp; closing base use  F_OUTBUNDLE_REV_Q</t>
  </si>
  <si>
    <t>Out_of_Bundle_Revenue</t>
  </si>
  <si>
    <r>
      <rPr>
        <sz val="12"/>
        <color rgb="FF000000"/>
        <rFont val="Calibri"/>
        <family val="2"/>
      </rPr>
      <t>1. If transaction type is Inflow, retention, outflow then use S_ADD_SERVICE_REV revenue column
2.S_ADD_SERVICE_REV = "</t>
    </r>
    <r>
      <rPr>
        <sz val="12"/>
        <color rgb="FFFF0000"/>
        <rFont val="Calibri"/>
        <family val="2"/>
      </rPr>
      <t>Additional_Service_Revenue</t>
    </r>
    <r>
      <rPr>
        <sz val="12"/>
        <color rgb="FF000000"/>
        <rFont val="Calibri"/>
        <family val="2"/>
      </rPr>
      <t xml:space="preserve">" taken from AVG_REVENUE_BY_PRODUCT` 
3. For base &amp; closing base use </t>
    </r>
    <r>
      <rPr>
        <sz val="12"/>
        <color rgb="FFFF0000"/>
        <rFont val="Calibri"/>
        <family val="2"/>
      </rPr>
      <t>F_ADDL_SERVICE_REV</t>
    </r>
    <r>
      <rPr>
        <sz val="12"/>
        <color rgb="FF000000"/>
        <rFont val="Calibri"/>
        <family val="2"/>
      </rPr>
      <t xml:space="preserve"> revenue, this is a direct field from semantic </t>
    </r>
  </si>
  <si>
    <t>Additional_Service_Revenue</t>
  </si>
  <si>
    <r>
      <rPr>
        <sz val="12"/>
        <color rgb="FF000000"/>
        <rFont val="Calibri"/>
        <family val="2"/>
      </rPr>
      <t>1. If transaction type is Inflow, retention, outflow then use S_DISCOUNT_CST column
2. S_DISCOUNT_CST : "</t>
    </r>
    <r>
      <rPr>
        <sz val="12"/>
        <color rgb="FFFF0000"/>
        <rFont val="Calibri"/>
        <family val="2"/>
      </rPr>
      <t>Discount</t>
    </r>
    <r>
      <rPr>
        <sz val="12"/>
        <color rgb="FF000000"/>
        <rFont val="Calibri"/>
        <family val="2"/>
      </rPr>
      <t>" taken from `AVG_REVENUE_BY_PRODUCT` 
3. For base &amp; closing base use</t>
    </r>
    <r>
      <rPr>
        <sz val="12"/>
        <color rgb="FFFF0000"/>
        <rFont val="Calibri"/>
        <family val="2"/>
      </rPr>
      <t xml:space="preserve"> F_DISCOUNT_CST</t>
    </r>
    <r>
      <rPr>
        <sz val="12"/>
        <color rgb="FF000000"/>
        <rFont val="Calibri"/>
        <family val="2"/>
      </rPr>
      <t xml:space="preserve">, this is a direct field from semantic </t>
    </r>
    <r>
      <rPr>
        <sz val="12"/>
        <color theme="1"/>
        <rFont val="Calibri"/>
        <family val="2"/>
      </rPr>
      <t>(GBD_IE_CPA_PNL_STORE)</t>
    </r>
  </si>
  <si>
    <r>
      <rPr>
        <sz val="12"/>
        <color rgb="FF000000"/>
        <rFont val="Calibri"/>
        <family val="2"/>
      </rPr>
      <t xml:space="preserve">1. If transaction type is Inflow, retention, outflow then use Store_Credit_Amt
2. Store_credit_Amt= </t>
    </r>
    <r>
      <rPr>
        <sz val="12"/>
        <color rgb="FFFF0000"/>
        <rFont val="Calibri"/>
        <family val="2"/>
      </rPr>
      <t xml:space="preserve">"STORE_CREDIT_AMT_S"
</t>
    </r>
    <r>
      <rPr>
        <sz val="12"/>
        <color rgb="FF000000"/>
        <rFont val="Calibri"/>
        <family val="2"/>
      </rPr>
      <t xml:space="preserve">3. F_CREDIT_AMT = </t>
    </r>
    <r>
      <rPr>
        <sz val="12"/>
        <color rgb="FFFF0000"/>
        <rFont val="Calibri"/>
        <family val="2"/>
      </rPr>
      <t>"F_CREDIT_AMT_Q"</t>
    </r>
    <r>
      <rPr>
        <sz val="12"/>
        <color rgb="FF000000"/>
        <rFont val="Calibri"/>
        <family val="2"/>
      </rPr>
      <t xml:space="preserve"> 
</t>
    </r>
  </si>
  <si>
    <t>Incoming_Revenue</t>
  </si>
  <si>
    <t>1. If transaction type is Inflow, retention, outflow then use S_IC_INT_CST  column
2. S_IC_INT_CST = "IC_Int_Cost" *-1 taken from `AVG_REVENUE_BY_PRODUCT`, 
3. For base &amp; closing base use F_IC_INTL_CST_Q  revenue</t>
  </si>
  <si>
    <t>Interconnect_International_Cost</t>
  </si>
  <si>
    <t>1. If transaction type is Inflow, retention, outflow then use S_IC_NAT_CST  column
2.S_IC_NAT_CST = "IC_Nat_Cost" taken from `AVG_REVENUE_BY_PRODUCT`,
3. For base &amp; closing base use F_IC_NTL_CST_Q revenue</t>
  </si>
  <si>
    <t>Interconnect_National_Cost</t>
  </si>
  <si>
    <t>1. If transaction type is Inflow, retention, outflow then use S_ROAMING_VOICE  column
2.  S_ROAMING_VOICE = "Roaming Voice"  taken from `AVG_REVENUE_BY_PRODUCT`,
3. For base &amp; closing base use F_ROAMING_VOICE_CST_Q revenue</t>
  </si>
  <si>
    <t>Roaming_Voice_Cost</t>
  </si>
  <si>
    <t>1. If transaction type is Inflow, retention, outflow then use S_ROAMING_DATA  column
2. S_ROAMING_DATA  = "Roaming Data"  taken from `AVG_REVENUE_BY_PRODUCT`,
3. For base &amp; closing base use F_ROAMING_DATA_CST_Q revenue</t>
  </si>
  <si>
    <t>Roaming_Data_Cost</t>
  </si>
  <si>
    <t>1. If transaction type is Inflow, retention, outflow then use S_ROAMING_SMS  column
2. S_ROAMING_SMS = "Roaming SMS" taken from `AVG_REVENUE_BY_PRODUCT`,
3. For base &amp; closing base use F_ROAMING_SMS_CST_Q revenue</t>
  </si>
  <si>
    <t>Roaming_SMS_Cost</t>
  </si>
  <si>
    <r>
      <rPr>
        <sz val="12"/>
        <color rgb="FF000000"/>
        <rFont val="Calibri"/>
        <family val="2"/>
      </rPr>
      <t>For rpt_month&gt;=Jan 2020,use(</t>
    </r>
    <r>
      <rPr>
        <sz val="12"/>
        <color rgb="FFFF0000"/>
        <rFont val="Calibri"/>
        <family val="2"/>
      </rPr>
      <t xml:space="preserve"> F_INSURANCE_REV</t>
    </r>
    <r>
      <rPr>
        <sz val="12"/>
        <color rgb="FF000000"/>
        <rFont val="Calibri"/>
        <family val="2"/>
      </rPr>
      <t>*.69)*-1  else (</t>
    </r>
    <r>
      <rPr>
        <sz val="12"/>
        <color rgb="FFFF0000"/>
        <rFont val="Calibri"/>
        <family val="2"/>
      </rPr>
      <t>F_INSURANCE_REV</t>
    </r>
    <r>
      <rPr>
        <sz val="12"/>
        <color rgb="FF000000"/>
        <rFont val="Calibri"/>
        <family val="2"/>
      </rPr>
      <t>*.91  )*-1</t>
    </r>
  </si>
  <si>
    <t>Insurance_Cost</t>
  </si>
  <si>
    <t>Content_Cost</t>
  </si>
  <si>
    <r>
      <rPr>
        <sz val="12"/>
        <color rgb="FF000000"/>
        <rFont val="Calibri"/>
        <family val="2"/>
      </rPr>
      <t xml:space="preserve">1. If transaction type is Inflow, retention, outflow then use </t>
    </r>
    <r>
      <rPr>
        <sz val="12"/>
        <color rgb="FFFF0000"/>
        <rFont val="Calibri"/>
        <family val="2"/>
      </rPr>
      <t xml:space="preserve">DIRECT_COST  </t>
    </r>
    <r>
      <rPr>
        <sz val="12"/>
        <color theme="1"/>
        <rFont val="Calibri"/>
        <family val="2"/>
      </rPr>
      <t>else</t>
    </r>
    <r>
      <rPr>
        <sz val="12"/>
        <color rgb="FFFF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For base &amp; closing base  </t>
    </r>
    <r>
      <rPr>
        <sz val="12"/>
        <color rgb="FFFF0000"/>
        <rFont val="Calibri"/>
        <family val="2"/>
      </rPr>
      <t>DIRECT_COST_CB</t>
    </r>
  </si>
  <si>
    <t>Total_Direct_Cost</t>
  </si>
  <si>
    <r>
      <rPr>
        <sz val="12"/>
        <color rgb="FF000000"/>
        <rFont val="Calibri"/>
        <family val="2"/>
      </rPr>
      <t xml:space="preserve">1. If transaction type is Inflow,Retention  use </t>
    </r>
    <r>
      <rPr>
        <sz val="12"/>
        <color rgb="FFFF0000"/>
        <rFont val="Calibri"/>
        <family val="2"/>
      </rPr>
      <t>F_SUBSIDY</t>
    </r>
    <r>
      <rPr>
        <sz val="12"/>
        <color rgb="FF000000"/>
        <rFont val="Calibri"/>
        <family val="2"/>
      </rPr>
      <t xml:space="preserve">*(-1)  
2.  If transaction type is Base,Outflow </t>
    </r>
    <r>
      <rPr>
        <sz val="12"/>
        <color rgb="FFFF0000"/>
        <rFont val="Calibri"/>
        <family val="2"/>
      </rPr>
      <t>F_AMORT_SUBSIDY</t>
    </r>
    <r>
      <rPr>
        <sz val="12"/>
        <color rgb="FF000000"/>
        <rFont val="Calibri"/>
        <family val="2"/>
      </rPr>
      <t xml:space="preserve">*(-1)       
where                                                                                                                                                                                            
</t>
    </r>
    <r>
      <rPr>
        <sz val="12"/>
        <color rgb="FFFF0000"/>
        <rFont val="Calibri"/>
        <family val="2"/>
      </rPr>
      <t xml:space="preserve">F_AMORT_SUBSIDY = </t>
    </r>
    <r>
      <rPr>
        <sz val="12"/>
        <color theme="1"/>
        <rFont val="Calibri"/>
        <family val="2"/>
      </rPr>
      <t>if transaction type is inflow or retention within Closing Base use</t>
    </r>
    <r>
      <rPr>
        <sz val="12"/>
        <color rgb="FFFF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FF0000"/>
        <rFont val="Calibri"/>
        <family val="2"/>
      </rPr>
      <t xml:space="preserve">F_SUBSIDY/24 </t>
    </r>
    <r>
      <rPr>
        <sz val="12"/>
        <color theme="1"/>
        <rFont val="Calibri"/>
        <family val="2"/>
      </rPr>
      <t>else use</t>
    </r>
    <r>
      <rPr>
        <sz val="12"/>
        <color rgb="FFFF0000"/>
        <rFont val="Calibri"/>
        <family val="2"/>
      </rPr>
      <t xml:space="preserve"> F_AMORT_SUBSIDY,SUBSIDY   </t>
    </r>
    <r>
      <rPr>
        <sz val="12"/>
        <color rgb="FF000000"/>
        <rFont val="Calibri"/>
        <family val="2"/>
      </rPr>
      <t>are direct fields</t>
    </r>
  </si>
  <si>
    <r>
      <rPr>
        <sz val="12"/>
        <color rgb="FF000000"/>
        <rFont val="Calibri"/>
        <family val="2"/>
      </rPr>
      <t xml:space="preserve"> </t>
    </r>
    <r>
      <rPr>
        <sz val="12"/>
        <color rgb="FFFF0000"/>
        <rFont val="Calibri"/>
        <family val="2"/>
      </rPr>
      <t>F_AMORT_SUBSIDY</t>
    </r>
    <r>
      <rPr>
        <sz val="12"/>
        <color rgb="FF000000"/>
        <rFont val="Calibri"/>
        <family val="2"/>
      </rPr>
      <t xml:space="preserve">*(-1)       
</t>
    </r>
  </si>
  <si>
    <t>Subsidy_CB</t>
  </si>
  <si>
    <r>
      <rPr>
        <sz val="12"/>
        <color rgb="FF000000"/>
        <rFont val="Calibri"/>
        <family val="2"/>
      </rPr>
      <t xml:space="preserve">1. If </t>
    </r>
    <r>
      <rPr>
        <sz val="12"/>
        <color rgb="FFFF0000"/>
        <rFont val="Calibri"/>
        <family val="2"/>
      </rPr>
      <t xml:space="preserve">CHNL_LEVEL_2 </t>
    </r>
    <r>
      <rPr>
        <sz val="12"/>
        <color rgb="FF000000"/>
        <rFont val="Calibri"/>
        <family val="2"/>
      </rPr>
      <t xml:space="preserve">=('VF Retail','VIS Outbound','VF Online Sales') use 0 else if transaction type is Inflow,Retention use </t>
    </r>
    <r>
      <rPr>
        <sz val="12"/>
        <color rgb="FFFF0000"/>
        <rFont val="Calibri"/>
        <family val="2"/>
      </rPr>
      <t>F_COMMISSION_CST</t>
    </r>
    <r>
      <rPr>
        <sz val="12"/>
        <color rgb="FF000000"/>
        <rFont val="Calibri"/>
        <family val="2"/>
      </rPr>
      <t xml:space="preserve">*(-1) else use  </t>
    </r>
    <r>
      <rPr>
        <sz val="12"/>
        <color rgb="FFFF0000"/>
        <rFont val="Calibri"/>
        <family val="2"/>
      </rPr>
      <t>F_AMORT_COMMISSION_CST*(-1)</t>
    </r>
    <r>
      <rPr>
        <sz val="12"/>
        <color rgb="FF000000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where  
</t>
    </r>
    <r>
      <rPr>
        <sz val="12"/>
        <color rgb="FFFF0000"/>
        <rFont val="Calibri"/>
        <family val="2"/>
      </rPr>
      <t>F_AMORT_COMMISSION_CST</t>
    </r>
    <r>
      <rPr>
        <sz val="12"/>
        <color rgb="FF000000"/>
        <rFont val="Calibri"/>
        <family val="2"/>
      </rPr>
      <t>=</t>
    </r>
    <r>
      <rPr>
        <sz val="12"/>
        <color rgb="FFFF0000"/>
        <rFont val="Calibri"/>
        <family val="2"/>
      </rPr>
      <t>F_COMMISSION_CST</t>
    </r>
    <r>
      <rPr>
        <sz val="12"/>
        <color rgb="FF000000"/>
        <rFont val="Calibri"/>
        <family val="2"/>
      </rPr>
      <t xml:space="preserve"> for </t>
    </r>
    <r>
      <rPr>
        <sz val="12"/>
        <color rgb="FFFF0000"/>
        <rFont val="Calibri"/>
        <family val="2"/>
      </rPr>
      <t>PRICEPLAN_DESC</t>
    </r>
    <r>
      <rPr>
        <sz val="12"/>
        <color rgb="FF000000"/>
        <rFont val="Calibri"/>
        <family val="2"/>
      </rPr>
      <t xml:space="preserve">='RED 30 Day', else
for Inflow,Retention </t>
    </r>
    <r>
      <rPr>
        <b/>
        <sz val="12"/>
        <color rgb="FF000000"/>
        <rFont val="Calibri"/>
        <family val="2"/>
      </rPr>
      <t>and</t>
    </r>
    <r>
      <rPr>
        <sz val="12"/>
        <color rgb="FF000000"/>
        <rFont val="Calibri"/>
        <family val="2"/>
      </rPr>
      <t xml:space="preserve"> </t>
    </r>
    <r>
      <rPr>
        <sz val="12"/>
        <color rgb="FFFF0000"/>
        <rFont val="Calibri"/>
        <family val="2"/>
      </rPr>
      <t>SIMO_DEVICE_IND</t>
    </r>
    <r>
      <rPr>
        <sz val="12"/>
        <color rgb="FF000000"/>
        <rFont val="Calibri"/>
        <family val="2"/>
      </rPr>
      <t xml:space="preserve">='S' within 
ClosingBase use  </t>
    </r>
    <r>
      <rPr>
        <sz val="12"/>
        <color rgb="FFFF0000"/>
        <rFont val="Calibri"/>
        <family val="2"/>
      </rPr>
      <t>F_COMMISSION_CST</t>
    </r>
    <r>
      <rPr>
        <sz val="12"/>
        <color rgb="FF000000"/>
        <rFont val="Calibri"/>
        <family val="2"/>
      </rPr>
      <t xml:space="preserve">/12..
for Inflow,Retention and </t>
    </r>
    <r>
      <rPr>
        <sz val="12"/>
        <color rgb="FFFF0000"/>
        <rFont val="Calibri"/>
        <family val="2"/>
      </rPr>
      <t>SIMO_DEVICE_IND</t>
    </r>
    <r>
      <rPr>
        <sz val="12"/>
        <color rgb="FF000000"/>
        <rFont val="Calibri"/>
        <family val="2"/>
      </rPr>
      <t xml:space="preserve">='S' within 
ClosingBase use </t>
    </r>
    <r>
      <rPr>
        <sz val="12"/>
        <color rgb="FFFF0000"/>
        <rFont val="Calibri"/>
        <family val="2"/>
      </rPr>
      <t>F_COMMISSION_CST</t>
    </r>
    <r>
      <rPr>
        <sz val="12"/>
        <color rgb="FF000000"/>
        <rFont val="Calibri"/>
        <family val="2"/>
      </rPr>
      <t xml:space="preserve">/24,For 
Base within ClosingBase use </t>
    </r>
    <r>
      <rPr>
        <sz val="12"/>
        <color rgb="FFFF0000"/>
        <rFont val="Calibri"/>
        <family val="2"/>
      </rPr>
      <t>F_AMORT_COMMISSION_CST</t>
    </r>
    <r>
      <rPr>
        <sz val="12"/>
        <color rgb="FF000000"/>
        <rFont val="Calibri"/>
        <family val="2"/>
      </rPr>
      <t xml:space="preserve">,For others use </t>
    </r>
    <r>
      <rPr>
        <sz val="12"/>
        <color rgb="FFFF0000"/>
        <rFont val="Calibri"/>
        <family val="2"/>
      </rPr>
      <t>F_COMMISSION_CST</t>
    </r>
    <r>
      <rPr>
        <sz val="12"/>
        <color rgb="FF000000"/>
        <rFont val="Calibri"/>
        <family val="2"/>
      </rPr>
      <t>/24
2 .</t>
    </r>
    <r>
      <rPr>
        <sz val="12"/>
        <color rgb="FFFF0000"/>
        <rFont val="Calibri"/>
        <family val="2"/>
      </rPr>
      <t xml:space="preserve">F_AMORT_COMMISSION_CST,F_COMMISSION_CST </t>
    </r>
    <r>
      <rPr>
        <sz val="12"/>
        <color rgb="FF000000"/>
        <rFont val="Calibri"/>
        <family val="2"/>
      </rPr>
      <t xml:space="preserve"> are  direct fields</t>
    </r>
  </si>
  <si>
    <r>
      <rPr>
        <sz val="12"/>
        <color rgb="FF000000"/>
        <rFont val="Calibri"/>
        <family val="2"/>
      </rPr>
      <t>if transaction type is inflow or retention or outflow use</t>
    </r>
    <r>
      <rPr>
        <sz val="12"/>
        <color rgb="FFFF0000"/>
        <rFont val="Calibri"/>
        <family val="2"/>
      </rPr>
      <t xml:space="preserve"> INDIRECT_CST</t>
    </r>
    <r>
      <rPr>
        <sz val="12"/>
        <color rgb="FF000000"/>
        <rFont val="Calibri"/>
        <family val="2"/>
      </rPr>
      <t xml:space="preserve"> else use </t>
    </r>
    <r>
      <rPr>
        <sz val="12"/>
        <color rgb="FFFF0000"/>
        <rFont val="Calibri"/>
        <family val="2"/>
      </rPr>
      <t>INDIRECT_CST_CB</t>
    </r>
    <r>
      <rPr>
        <b/>
        <sz val="12"/>
        <color rgb="FF000000"/>
        <rFont val="Calibri"/>
        <family val="2"/>
      </rPr>
      <t xml:space="preserve">
</t>
    </r>
  </si>
  <si>
    <t>Total_Indirect_Cost</t>
  </si>
  <si>
    <t xml:space="preserve">`vfie_dh_lake_finance_mc2_presentation_processed_s`.`GBD_IE_CPA_PNL_STORE` S
LEFT JOIN 
vf-ie-mc2-nonlive.vfie_mc2_nonlive_ie_lake_mc2_presentation_processed_s.retail_opex_rc 
ON </t>
  </si>
  <si>
    <t xml:space="preserve">1. If transaction type is Inflow, retention use AvgCost*(-1) else 0
2.AvgCost=  Retail_Cost/Subs	
3.Retail_Cost = "Sum(Cost in Euro)" is taken from Opex.xlsx file group by [Dealer ID]
4.Subs = Count(SUB_SUBSCRIPTION_CD)            </t>
  </si>
  <si>
    <t>Vodafone_Retail_Cost</t>
  </si>
  <si>
    <t xml:space="preserve">Need to be checked </t>
  </si>
  <si>
    <t>Cost_to_Carry</t>
  </si>
  <si>
    <t>Cost_to_Service</t>
  </si>
  <si>
    <t>Cost to Carry+Cost to Service</t>
  </si>
  <si>
    <t>Total_Opex_Cost</t>
  </si>
  <si>
    <t>1.Avg EBIDTA = If Transaction type is inflow,retention,outflow  then use EBITDA_Q else use EBITDA_CB
where EBITDA_CB,EBITDA_Q are direct fields
and for %
alt(Est EBIDTA/Est. Lifetime Margin,Est EBIDTA/100)
for alt it works like if first parameter of the function is a not null value it will populate the same other wise it takes second argument.</t>
  </si>
  <si>
    <t>Est. EBITDA</t>
  </si>
  <si>
    <t>1.[Total Revenue] = Sum([Total Usage Revenue],[Total Roaming Revenue],[Topup Offer Drawdown],[Other Revenue])  
where 
2.[Total Usage Revenue]  = Sum(F_OB_NTL_VOICE_REV, F_OB_INTL_VOICE_REV, F_OB_DATA_REV,F_OB_NTL_SMS_REV,F_OB_INTL_SMS_REV)
3.[Total Roaming Revenue] = Sum(F_ROAMING_SMS_REV,F_ROAMING_DATA_REV, F_ROAMING_VOICE_REV)  
4.[Topup Offer Drawdown] = F_TUP_DRAWDOWN_AMT = direct field
5.[Other Revenue] = Sum(F_OPENING_BALANCE_AMT,[Contributory Amount]*(-1),[Total Usage Revenue]*(-1),[Topup Offer Drawdown]*(-1),[Noncontributory Credit]*(-1), F_CLOSING_BALANCE_AMT*(-1)  )
where
       6.[Contributory Amount] = F_TOPUP_CONTRIBUTORY_AMT*(-1)	
       7.[Noncontributory Credit] = F_TOPUP_NONCONTRIBUTORY_AMT*(-1)
       8.F_OB_NTL_VOICE_REV,F_OB_INTL_VOICE_REV,F_OB_DATA_REV,F_OB_NTL_SMS_REV
,F_OB_INTL_SMS_REV ,F_ROAMING_SMS_REV,F_ROAMING_DATA_REV,F_ROAMING_VOICE_REV , F_OPENING_BALANCE_AMT, F_CLOSING_BALANCE_AMT , F_TOPUP_CONTRIBUTORY_AMT ,       F_TOPUP_NONCONTRIBUTORY_AMT are all  direct fields.</t>
  </si>
  <si>
    <t>Mobile Customer Revenue</t>
  </si>
  <si>
    <t>used in Executive Mobile Prepay Pnl</t>
  </si>
  <si>
    <t>1.Sum(Mobile Customer Revenue , [Noncontributory Credit])  
where 
[Noncontributory Credit] = F_TOPUP_NONCONTRIBUTORY_AMT*(-1)
here F_TOPUP_NONCONTRIBUTORY_AMT is a direct field</t>
  </si>
  <si>
    <t>Mobile Customer Revenue - C</t>
  </si>
  <si>
    <t>1.Sum(Mobile Customer Revenue - C , F_INCOMING_REV) 
where 
F_INCOMING_REV = direct field</t>
  </si>
  <si>
    <t>1. Sum(Mobile Service Revenue,[Total Direct Cost])	
where 
2.[Total Direct Cost] = Sum([Roaming Cost],[Interconnect Cost],F_CONTENT_CST)  
 where
3.[Roaming Cost] = Sum(F_ROAMING_VOICE_CST,F_ROAMING_SMS_CST,F_ROAMING_DATA_CST)*-1  	
4.Interconnect Cost = Sum(F_IC_NTL_CST,F_IC_INTL_CST)*-1	
5.F_CONTENT_CST = (F_CONTENT_CST)*-1</t>
  </si>
  <si>
    <t xml:space="preserve">1.use  :  alt(Airtime Margin/Mobile Service Revenue , Airtime Margin/100)
where
2. for alt, it works like if first parameter of the function is a rounded value it will populate the same other wise it takes second argument.	</t>
  </si>
  <si>
    <t>Airtime Margin %'</t>
  </si>
  <si>
    <t xml:space="preserve">1.Sum(Airtime Margin,[Total Indirect Cost])
2.[Total Indirect Cost] = SUM(F_AMORT_SUBSIDY,F_AMORT_COMMISSION_CST)
where
3.F_AMORT_SUBSIDY = if(TRANSACTION_TYPE) is 'INFLOW' or 'RETENTION') then use
	F_SUBSIDY*(-1) else use F_AMORT_SUBSIDY*(-1)
    ) 
and 
4.F_AMORT_COMMISSION_CST =If(CHNL_LEVEL_2 matches with 'CPW' or 'VF Retail' or 'VIS Outbound' or 'VF Online Sales') then use 0, else
	If(TRANSACTION_TYPE) is 'INFLOW' or 'RETENTION') then use F_COMMISSION_CST*(-1) else use
    F_AMORT_COMMISSION_CST*(-1))
    )  </t>
  </si>
  <si>
    <t>1. use :  alt([Gross Margin])/Mobile Service Revenue , ([Gross Margin]/100))
where
2. for alt, it works like if first parameter of the function is a rounded value it will populate the same other wise it takes second argument.</t>
  </si>
  <si>
    <t>Gross Margin %'</t>
  </si>
  <si>
    <r>
      <t>vfie_mc2_nonlive_ie_lake_mc2_presentation_processed_s.CPA_PREPAID_R_IR_CPA_PNL_DTLD_PP`</t>
    </r>
    <r>
      <rPr>
        <sz val="8"/>
        <color rgb="FFFF0000"/>
        <rFont val="Vodafone Rg"/>
        <family val="2"/>
      </rPr>
      <t xml:space="preserve"> left joined with
Opex File.xlsx</t>
    </r>
  </si>
  <si>
    <t>check it</t>
  </si>
  <si>
    <t xml:space="preserve">Step 1 :
select
    [Dealer ID] As DLR_DEALER_SRC_CD,
    Sum([Cost in Euro]) As Retail_Cost
FROM Opex File.xlsx
Group by [Dealer ID];
Join
Select 	
DAT_MONTH_ID,
DLR_DEALER_SRC_CD,
Count(SUB_SUBSCRIPTION_CD) as Subs
  from PNL Table
Where 
Match(TRANSACTION_TYPE,'INFLOW','RETENTION')
and DLR_DEALER_SRC_CD ='RVF01'
GROUP BY DAT_MONTH_ID,
  DLR_DEALER_SRC_CD
;
Step 2: PNL table is left joined with OPEX File.xlsx using joininh key : (DAT_MONTH_ID&amp;DLR_DEALER_SRC_CD)
AvgCost : Retail_Cost/Subs 
Step 3 : 
1.EBITDA1: Sum(Gross Margin,F_USED_DATA,F_DURATIO_SUM) 
where 	
2.F_USED_DATA = ((F_USED_DATA/1024)*.35)*-1 
3.F_DURATIO_SUM = if(DAT_MONTH_ID&gt; 202103, then use ((F_DURATIO_SUM/60)*9.3)*-1 else use ((F_DURATIO_SUM/60)*8.5)*-1)		
where F_DURATIO_SUM = direct field
Step 4 : 
EBITDA : Sum(EBITDA1,[Retail Cost])
where 
 [Retail Cost]: If(match([Transaction Type],'Inflow','Retention'),AvgCost)*-1 else 0 
</t>
  </si>
  <si>
    <t>EBIDTA</t>
  </si>
  <si>
    <t xml:space="preserve">1. use : alt([EBITDA]/Mobile Service Revenue],([EBITDA]/100))
where
2. for alt, it works like if first parameter of the function is a rounded value it will populate the same other wise it takes second argument.	</t>
  </si>
  <si>
    <t>EBIDTA %</t>
  </si>
  <si>
    <t xml:space="preserve">1.[Contributory Amount] = F_TOPUP_CONTRIBUTORY_AMT*-1 
where  
F_TOPUP_CONTRIBUTORY_AMT is direct field		</t>
  </si>
  <si>
    <t>Top Up Contributory Amount</t>
  </si>
  <si>
    <t>1.Sum(F_OB_NTL_VOICE_REV,F_OB_INTL_VOICE_REV,F_OB_DATA_REV,F_OB_NTL_SMS_REV,F_OB_INTL_SMS_REV)
where 
(F_OB_NTL_VOICE_REV,
F_OB_INTL_VOICE_REV,
F_OB_DATA_REV,
F_OB_NTL_SMS_REV
,F_OB_INTL_SMS_REV)    are direct fields</t>
  </si>
  <si>
    <t>Usage Revenue</t>
  </si>
  <si>
    <t>Used Summary P&amp;L</t>
  </si>
  <si>
    <t>1.Sum(F_ROAMING_SMS_REV,F_ROAMING_DATA_REV,F_ROAMING_VOICE_REV)  
where
(F_ROAMING_SMS_REV,F_ROAMING_DATA_REV,F_ROAMING_VOICE_REV)   are direct fields</t>
  </si>
  <si>
    <t>F_TUP_DRAWDOWN_AMT = direct field</t>
  </si>
  <si>
    <t>Topup Offer Drawdown</t>
  </si>
  <si>
    <t>1.Sum(F_OPENING_BALANCE_AMT,[Contributory Amount]*-1,Usage Revenue*-1,Topup Offer Drawdown*(-1),[Noncontributory Credit]*(-1),F_CLOSING_BALANCE_AMT*(-1)  )
where
2.[Contributory Amount] = F_TOPUP_CONTRIBUTORY_AMT*-1	
3.[Noncontributory Credit] = F_TOPUP_NONCONTRIBUTORY_AMT*-1
4.F_OPENING_BALANCE_AMT, F_CLOSING_BALANCE_AMT , F_TOPUP_CONTRIBUTORY_AMT , F_TOPUP_NONCONTRIBUTORY_AMT are  direct fields.</t>
  </si>
  <si>
    <t>Other Revenue</t>
  </si>
  <si>
    <t>1.Usage Revenue + Roaming Revenue + Topup Offer Drawdown + Other Revenue</t>
  </si>
  <si>
    <t>Prepay Customer Revenue</t>
  </si>
  <si>
    <t>F_TOPUP_NONCONTRIBUTORY_AMT*(-1)
where 
F_TOPUP_NONCONTRIBUTORY_AMT = direct field</t>
  </si>
  <si>
    <t>Non-contributory Credit</t>
  </si>
  <si>
    <t>1.Prepay Customer Revenue + Non-contributory Credit</t>
  </si>
  <si>
    <t>Prepay Customer Revenue - C</t>
  </si>
  <si>
    <t>F_INCOMING_REV = direct field</t>
  </si>
  <si>
    <t>Incoming Revenue</t>
  </si>
  <si>
    <t>1.(Prepay Customer Revenue - C) + Incoming Revenue</t>
  </si>
  <si>
    <t>Prepay Service Revenue</t>
  </si>
  <si>
    <t>F_IC_NTL_CST*(-1)
 where
 F_IC_NTL_CST = direct field</t>
  </si>
  <si>
    <t>F_IC_INTL_CST*(-1)
 where 
F_IC_INTL_CST = direct field</t>
  </si>
  <si>
    <t>F_ROAMING_VOICE_CST*(-1)
where
F_ROAMING_VOICE_CST = direct field</t>
  </si>
  <si>
    <t>F_ROAMING_DATA_CST*(-1)
where
F_ROAMING_DATA_CST = direct field</t>
  </si>
  <si>
    <t xml:space="preserve">F_ROAMING_SMS_CST*(-1)
where
F_ROAMING_SMS_CST = direct field	</t>
  </si>
  <si>
    <t xml:space="preserve">1.Sum([Roaming Cost],[Interconnect Cost],F_CONTENT_CST)   
where 
2.[Roaming Cost] = (Roaming Voice Cost + Roaming Data Cost + Roaming SMS Cost)*-1	
3.[Interconnect Cost] = Sum(F_IC_NTL_CST , F_IC_INTL_CST)*-1
where  (F_IC_NTL_CST and F_IC_INTL_CST  are direct fields,
4.F_CONTENT_CST = (F_CONTENT_CST)*-1 
where F_CONTENT_CST = direct field	
</t>
  </si>
  <si>
    <t xml:space="preserve">1.[Direct Margin]&amp; (alt([Direct Margin]/ Prepay Service Revenue),([Direct Margin]))/100))
where
2.[Direct Margin]= (Prepay Service Revenue + Total Direct Cost) 
3. for alt it works like if first parameter of the function is a rounded value it will populate the same other wise it takes second argument.	
</t>
  </si>
  <si>
    <t xml:space="preserve">1. if transaction type is 'INFLOW','RETENTION', then use   F_SUBSIDY*(-1)
 else if transaction type is outflow,base or closing base use   F_AMORT_SUBSIDY*(-1)	
where
  F_SUBSIDY	, F_AMORT_SUBSIDY  =  direct fields									</t>
  </si>
  <si>
    <t>1.If(CHNL_LEVEL_2  matches  'CPW' or 'VF Retail' or 'VIS Outbound' or 'VF Online Sales') then  0,
else
 if transaction type is 'INFLOW','RETENTION', then use F_COMMISSION_CST*(-1), 
else 
    F_AMORT_COMMISSION_CST*(-1)
    where
 2.F_COMMISSION_CST = F_COMMISSION_CST*(-1)
 where F_COMMISSION_CST is direct field
3.F_AMORT_COMMISSION_CST = direct field</t>
  </si>
  <si>
    <t>COMMISSION</t>
  </si>
  <si>
    <t>Subsidy + COMMISSION</t>
  </si>
  <si>
    <t xml:space="preserve">1.[Gross Margin]&amp;alt([Gross Margin]/Prepay Service Revenue,[Gross Margin]/100)
where
2.[Gross Margin]= Prepay Service Revenue + Total Direct Cost + Total Indirect Cost
3. for alt it works like if first parameter of the function is a rounded value it will populate the same other wise it takes second argument.	</t>
  </si>
  <si>
    <t xml:space="preserve"> 1.if transaction type is 'INFLOW','RETENTION', then use (AvgCost)*(-1) 
else 0
where
2.AvgCost = Retail_Cost/Subs
3. Retail_Cost = Sum([Cost in Euro])  
4.[Cost in Euro] = direct field from external file  named  (Opex File.xlsx)
5.Subs = Count(SUB_SUBSCRIPTION_CD)  where SUB_SUBSCRIPTION_CD = direct field</t>
  </si>
  <si>
    <t>1.if(DAT_MONTH_ID&gt; 202103,((F_DURATIO_SUM/60)*9.3)*-1,((F_DURATIO_SUM/60)*8.5)*-1)		
where F_DURATIO_SUM = direct field</t>
  </si>
  <si>
    <t>Cost to Carry + Cost to Service</t>
  </si>
  <si>
    <t xml:space="preserve">1.[EBITDA]&amp;alt([EBITDA]/Prepay Service Revenue,[EBITDA]/100)
where 
2.[EBITDA] = Prepay Service Revenue + Total Direct Cost + Total Indirect Cost + Cost to Carry + Cost to Service
3. for alt it works like if first parameter of the function is a rounded value it will populate the same other wise it takes second argument.	</t>
  </si>
  <si>
    <t>Top up Contributory Amount</t>
  </si>
  <si>
    <t>Pega Charges</t>
  </si>
  <si>
    <t>Opening Balance Amount</t>
  </si>
  <si>
    <t xml:space="preserve">F_CLOSING_BALANCE_AMT </t>
  </si>
  <si>
    <t>Closing Balance Amount</t>
  </si>
  <si>
    <t>`vfie_dh_lake_finance_mc2_presentation_processed_s`.`CPA_PREPAID_R_IR_CPA_COHORT_SMRY_PP`</t>
  </si>
  <si>
    <t>Usage Revenue_Cohort</t>
  </si>
  <si>
    <t>used in Cohort Monthly Prepay PnL</t>
  </si>
  <si>
    <t>Roaming Revenue_Cohort</t>
  </si>
  <si>
    <t>Topup Offer Drawdown_Cohort</t>
  </si>
  <si>
    <t>1.Sum([C Revenue OB to CB],Usage Revenue*-1,Roaming Revenue*-1,Topup Offer Drawdown*-1,[C Noncontributory Credit])
where
2[C Revenue OB to CB] : Sum(F_OPENING_BALANCE_AMT,F_TOPUP_CONTRIBUTORY_AMT,F_CLOSING_BALANCE_AMT*-1)	
3.[C Noncontributory Credit] = F_TOPUP_NONCONTRIBUTORY_AMT*-1
4.F_OPENING_BALANCE_AMT, F_CLOSING_BALANCE_AMT , F_TOPUP_CONTRIBUTORY_AMT , F_TOPUP_NONCONTRIBUTORY_AMT are  direct fields.</t>
  </si>
  <si>
    <t>Other Revenue_Cohort</t>
  </si>
  <si>
    <t>Prepay Customer Revenue_Cohort</t>
  </si>
  <si>
    <t>Non-contributory Credit_Cohort</t>
  </si>
  <si>
    <t>Prepay Customer Revenue - C_Cohort</t>
  </si>
  <si>
    <t>Incoming Revenue_Cohort</t>
  </si>
  <si>
    <t>Prepay Service Revenue_Cohort</t>
  </si>
  <si>
    <t>Interconnect National Cost_Cohort</t>
  </si>
  <si>
    <t>Interconnect International Cost_Cohort</t>
  </si>
  <si>
    <t>Roaming Voice Cost_Cohort</t>
  </si>
  <si>
    <t>Roaming Data Cost_Cohort</t>
  </si>
  <si>
    <t>Roaming SMS Cost_Cohort</t>
  </si>
  <si>
    <t xml:space="preserve">1.Sum([Roaming Cost],[Interconnect Cost],F_CONTENT_CST)   
where 
2.[Roaming Cost] = (F_ROAMING_VOICE_CST + F_ROAMING_DATA_CST  + F_ROAMING_SMS_CST)*-1	
3.[Interconnect Cost] = Sum(F_IC_NTL_CST , F_IC_INTL_CST)*-1
where  (F_IC_NTL_CST and F_IC_INTL_CST  are direct fields,
4.F_CONTENT_CST = (F_CONTENT_CST)*-1 
where F_CONTENT_CST,F_ROAMING_VOICE_CST, F_ROAMING_DATA_CST, F_ROAMING_SMS_CST = direct fields	
</t>
  </si>
  <si>
    <t>Total Direct Cost_Cohort</t>
  </si>
  <si>
    <t>Airtime Margin_Cohort</t>
  </si>
  <si>
    <t>Subsidy_Cohort</t>
  </si>
  <si>
    <t>COMMISSION_Cohort</t>
  </si>
  <si>
    <t>Total Indirect Cost_Cohort</t>
  </si>
  <si>
    <t>Gross Margin_Cohort</t>
  </si>
  <si>
    <t>`vfie_dh_lake_finance_mc2_presentation_processed_s`.`CPA_PREPAID_R_IR_CPA_PNL_DTLD_PP`
left joined with
Opex File.xlsx</t>
  </si>
  <si>
    <t xml:space="preserve"> 1.if transaction type is 'INFLOW','RETENTION', then use (AvgCost)*(-1) 
else 0
where
2.AvgCost = Retail_Cost/Subs
where
3. Retail_Cost = Sum([Cost in Euro])  
4.[Cost in Euro] = direct field from external file  named  (Opex File.xlsx)
5.Subs = Count(SUB_SUBSCRIPTION_CD)  where SUB_SUBSCRIPTION_CD = direct field</t>
  </si>
  <si>
    <t>Vodafone Retail Cost_Cohort</t>
  </si>
  <si>
    <t>Cost to Carry_Cohort</t>
  </si>
  <si>
    <t>Cost to Service_Cohort</t>
  </si>
  <si>
    <t>Total Opex Cost_Cohort</t>
  </si>
  <si>
    <t>EBITDA_Cohort</t>
  </si>
  <si>
    <t>Top up Contributory Amount_Cohort</t>
  </si>
  <si>
    <t>Tenure_Cohort</t>
  </si>
  <si>
    <t>`vfie_dh_lake_finance_mc2_presentation_processed_s`.`CPA_PREPAID_R_IR_CPA_PNL_DTLD_PP`
Census Data.xlsx</t>
  </si>
  <si>
    <t>Sum([Subs_Vol]) for Closing base / avg(population) irrespective of any transaction type
 where 
subs_vol = in transformation, we defined [Subs_Vol] as 1 (initialized to 1..pick the row count from PnL table)
and 
population is from  mapping file Census Data 
(ApplyMap('CensusData',[County ],0)</t>
  </si>
  <si>
    <t>Market Share by County</t>
  </si>
  <si>
    <t>used in Geographical Analysis</t>
  </si>
  <si>
    <t>`vfie_dh_lake_finance_mc2_presentation_processed_s`.`CPA_PREPAID_R_IR_CPA_PNL_DTLD_PP`</t>
  </si>
  <si>
    <t>Sum([Subs_Vol])  / no of total rows
 where 
subs_vol = in transformation, we defined [Subs_Vol] as 1 (initialized to 1..pick the row count from PnL table)</t>
  </si>
  <si>
    <t>Acquistion(Selected Transaction Type) by County</t>
  </si>
  <si>
    <t xml:space="preserve">`vfie_dh_lake_finance_mc2_presentation_processed_s`.`CPA_PREPAID_R_IR_CPA_PNL_DTLD_PP`
dealer_branch.xlsx 
Store File-Ireland .xlsx
</t>
  </si>
  <si>
    <t>Acquistion(Selected Transaction Type) by Store</t>
  </si>
  <si>
    <t>`vfie_dh_lake_finance_mc2_presentation_processed_s`.`CPA_PREPAID_R_IR_CPA_INTERCONNECT_PP`</t>
  </si>
  <si>
    <t xml:space="preserve">Sum(F_CHARGE_AMT)*-1  for  [CALL_CLASSIFICATIONN_IND ]={'I'}
</t>
  </si>
  <si>
    <t>International IC Cost</t>
  </si>
  <si>
    <t>used in International Calling County An</t>
  </si>
  <si>
    <t>International IC Cost/Customers</t>
  </si>
  <si>
    <t>Avg International IC Cost</t>
  </si>
  <si>
    <r>
      <t>a. for</t>
    </r>
    <r>
      <rPr>
        <i/>
        <sz val="11"/>
        <color theme="1"/>
        <rFont val="Calibri"/>
        <family val="2"/>
        <scheme val="minor"/>
      </rPr>
      <t xml:space="preserve"> F_CHARGE_AMT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CALL_CLASSIFICATIONN_IND</t>
    </r>
    <r>
      <rPr>
        <sz val="11"/>
        <color theme="1"/>
        <rFont val="Calibri"/>
        <family val="2"/>
        <scheme val="minor"/>
      </rPr>
      <t xml:space="preserve">  : `vfie_dh_lake_finance_mc2_presentation_processed_s`.`CPA_PREPAID_R_IR_CPA_INTERCONNECT_PP`
b.`vfie_dh_lake_finance_mc2_presentation_processed_s`.`CPA_PREPAID_R_IR_CPA_PNL_DTLD_PP`</t>
    </r>
  </si>
  <si>
    <r>
      <t>1. (</t>
    </r>
    <r>
      <rPr>
        <b/>
        <sz val="11"/>
        <color theme="1"/>
        <rFont val="Calibri"/>
        <family val="2"/>
        <scheme val="minor"/>
      </rPr>
      <t xml:space="preserve"> International IC Cost </t>
    </r>
    <r>
      <rPr>
        <sz val="11"/>
        <color theme="1"/>
        <rFont val="Calibri"/>
        <family val="2"/>
        <scheme val="minor"/>
      </rPr>
      <t xml:space="preserve"> )/sum([Net Revenue])  
where 
2.[Net Revenue] = Sum([Total Usage Revenue],[Total Roaming Revenue],[Topup Offer Drawdown],[Other Revenue],[Noncontributory Credit],F_INCOMING_REV) 	
where 
    3.[Total Usage Revenue]  = Sum(F_OB_NTL_VOICE_REV, F_OB_INTL_VOICE_REV, F_OB_DATA_REV,F_OB_NTL_SMS_REV,F_OB_INTL_SMS_REV),
     4.[Total Roaming Revenue] = Sum(F_ROAMING_SMS_REV,F_ROAMING_DATA_REV, F_ROAMING_VOICE_REV)  
     5.[Topup Offer Drawdown] = F_TUP_DRAWDOWN_AMT = direct field
     6.[Other Revenue] = Sum(F_OPENING_BALANCE_AMT,[Contributory Amount]*(-1),[Total Usage Revenue]*(-1),[Topup Offer Drawdown]*(-1),[Noncontributory Credit]*(-1), F_CLOSING_BALANCE_AMT*(-1)  )
where
      7.[Contributory Amount] = F_TOPUP_CONTRIBUTORY_AMT*(-1)	
       8.[Noncontributory Credit] = F_TOPUP_NONCONTRIBUTORY_AMT*(-1)
       9.F_OB_NTL_VOICE_REV,F_OB_INTL_VOICE_REV,F_OB_DATA_REV,F_OB_NTL_SMS_REV
,F_OB_INTL_SMS_REV , F_ROAMING_SMS_REV, F_ROAMING_DATA_REV, F_ROAMING_VOICE_REV , F_OPENING_BALANCE_AMT, F_CLOSING_BALANCE_AMT , F_TOPUP_CONTRIBUTORY_AMT ,  F_TOPUP_NONCONTRIBUTORY_AMT, F_INCOMING_REV are all  direct fields.
 </t>
    </r>
  </si>
  <si>
    <t>% of service Revenue</t>
  </si>
  <si>
    <t>interconnect_costs_202002.xlsx
`vfie_dh_lake_finance_mc2_presentation_processed_s`.`CPA_PREPAID_R_IR_CPA_INTERCONNECT_PP`</t>
  </si>
  <si>
    <t>International IC Cost by country</t>
  </si>
  <si>
    <t>International IC Cost
Customers
'Avg International IC Cost</t>
  </si>
  <si>
    <t>`vfie_dh_lake_finance_mc2_presentation_processed_s.CPA_PREPAID_R_IR_CPA_ROAMING_PP`</t>
  </si>
  <si>
    <t xml:space="preserve">sum(F_CHARGE_EURO) *-1   for  [RO Subs_Vol]={1}
</t>
  </si>
  <si>
    <t>Roaming Cost</t>
  </si>
  <si>
    <t>used in Roaming County Analysis</t>
  </si>
  <si>
    <r>
      <t>((</t>
    </r>
    <r>
      <rPr>
        <b/>
        <sz val="11"/>
        <color theme="1"/>
        <rFont val="Calibri"/>
        <family val="2"/>
        <scheme val="minor"/>
      </rPr>
      <t>Roaming Cost</t>
    </r>
    <r>
      <rPr>
        <sz val="11"/>
        <color theme="1"/>
        <rFont val="Calibri"/>
        <family val="2"/>
        <scheme val="minor"/>
      </rPr>
      <t>)/</t>
    </r>
    <r>
      <rPr>
        <b/>
        <sz val="11"/>
        <color theme="1"/>
        <rFont val="Calibri"/>
        <family val="2"/>
        <scheme val="minor"/>
      </rPr>
      <t>Roamers</t>
    </r>
    <r>
      <rPr>
        <sz val="11"/>
        <color theme="1"/>
        <rFont val="Calibri"/>
        <family val="2"/>
        <scheme val="minor"/>
      </rPr>
      <t xml:space="preserve">)
</t>
    </r>
  </si>
  <si>
    <t>Avg Roaming Cost</t>
  </si>
  <si>
    <r>
      <rPr>
        <b/>
        <sz val="11"/>
        <color theme="1"/>
        <rFont val="Calibri"/>
        <family val="2"/>
        <scheme val="minor"/>
      </rPr>
      <t xml:space="preserve">Roaming Cost </t>
    </r>
    <r>
      <rPr>
        <sz val="11"/>
        <color theme="1"/>
        <rFont val="Calibri"/>
        <family val="2"/>
        <scheme val="minor"/>
      </rPr>
      <t xml:space="preserve">and   [CALL_TYPE]={'VOICE'}
</t>
    </r>
  </si>
  <si>
    <t>Voice Cost</t>
  </si>
  <si>
    <r>
      <rPr>
        <b/>
        <sz val="11"/>
        <color theme="1"/>
        <rFont val="Calibri"/>
        <family val="2"/>
        <scheme val="minor"/>
      </rPr>
      <t xml:space="preserve">Roaming Cost </t>
    </r>
    <r>
      <rPr>
        <sz val="11"/>
        <color theme="1"/>
        <rFont val="Calibri"/>
        <family val="2"/>
        <scheme val="minor"/>
      </rPr>
      <t xml:space="preserve">and  [CALL_TYPE]={'DATA'}
</t>
    </r>
  </si>
  <si>
    <t>Data Cost</t>
  </si>
  <si>
    <r>
      <rPr>
        <b/>
        <sz val="11"/>
        <color theme="1"/>
        <rFont val="Calibri"/>
        <family val="2"/>
        <scheme val="minor"/>
      </rPr>
      <t xml:space="preserve">Roaming Cost  </t>
    </r>
    <r>
      <rPr>
        <sz val="11"/>
        <color theme="1"/>
        <rFont val="Calibri"/>
        <family val="2"/>
        <scheme val="minor"/>
      </rPr>
      <t xml:space="preserve">and  [CALL_TYPE]={'SMS'}
</t>
    </r>
  </si>
  <si>
    <t>SMS Cost</t>
  </si>
  <si>
    <t>Roaming Cost by Country/Operator</t>
  </si>
  <si>
    <t>Roaming Cost + Voice Cost +  Data Cost + SMS Cost</t>
  </si>
  <si>
    <t>Total Usage Cost</t>
  </si>
  <si>
    <t xml:space="preserve">Count(distinct [Subscriber ID]) for  [RO Subs_Vol]={1} and [Call Type]={'VOICE'}
where [Subscriber ID] = SUB_SUBSCRIPTION_CD
</t>
  </si>
  <si>
    <t>Roaming Voice Volume</t>
  </si>
  <si>
    <t xml:space="preserve">Count(distinct [Subscriber ID]) for  [RO Subs_Vol]={1} and [Call Type]={'DATA'}
where [Subscriber ID] = SUB_SUBSCRIPTION_CD
</t>
  </si>
  <si>
    <t>Roaming Data Volume</t>
  </si>
  <si>
    <t xml:space="preserve">Count(distinct [Subscriber ID]) for  [RO Subs_Vol]={1} and [Call Type]={'SMS'}
where [Subscriber ID] = SUB_SUBSCRIPTION_CD
</t>
  </si>
  <si>
    <t>Roaming SMS Volume</t>
  </si>
  <si>
    <t>Roaming Voice Volume + Roaming Data Volume + Roaming SMS Volume</t>
  </si>
  <si>
    <t>Total Roaming  Volume</t>
  </si>
  <si>
    <t>sum([Noncontributory Credit]) where
[Noncontributory Credit] = F_TOPUP_NONCONTRIBUTORY_AMT*-1 and  F_TOPUP_NONCONTRIBUTORY_AMT = direct field</t>
  </si>
  <si>
    <t>Noncontributory Credit</t>
  </si>
  <si>
    <t>used in Credit Reason</t>
  </si>
  <si>
    <t>Noncontributory Credit/Customers</t>
  </si>
  <si>
    <t>Avg Credits</t>
  </si>
  <si>
    <r>
      <rPr>
        <b/>
        <sz val="11"/>
        <color theme="1"/>
        <rFont val="Calibri"/>
        <family val="2"/>
        <scheme val="minor"/>
      </rPr>
      <t>Noncontributory Credit</t>
    </r>
    <r>
      <rPr>
        <sz val="11"/>
        <color theme="1"/>
        <rFont val="Calibri"/>
        <family val="2"/>
        <scheme val="minor"/>
      </rPr>
      <t xml:space="preserve"> with current selected month
/
</t>
    </r>
    <r>
      <rPr>
        <b/>
        <sz val="11"/>
        <color theme="1"/>
        <rFont val="Calibri"/>
        <family val="2"/>
        <scheme val="minor"/>
      </rPr>
      <t>Noncontributory Credit</t>
    </r>
    <r>
      <rPr>
        <sz val="11"/>
        <color theme="1"/>
        <rFont val="Calibri"/>
        <family val="2"/>
        <scheme val="minor"/>
      </rPr>
      <t xml:space="preserve"> with previous month of selected month</t>
    </r>
  </si>
  <si>
    <t>Vs last Month</t>
  </si>
  <si>
    <t>Noncontributory Credit by Top up</t>
  </si>
  <si>
    <t>Customers and Noncontributory Credit</t>
  </si>
  <si>
    <t>Noncontributory Credit by Month</t>
  </si>
  <si>
    <t>`vfie_dh_lake_finance_mc2_presentation_processed_s`.`CPA_PREPAID_R_IR_CPA_BAD_DEBT_PP`</t>
  </si>
  <si>
    <t>Sum(F_TRANSACTION_NET_AMT)*(-1)</t>
  </si>
  <si>
    <t>Bad Debt</t>
  </si>
  <si>
    <t>used in Bad Debt</t>
  </si>
  <si>
    <t>Bad Debt/Customers</t>
  </si>
  <si>
    <t>Avg Bad Debt</t>
  </si>
  <si>
    <t xml:space="preserve"> Bad Debt table: 
`vfie_dh_lake_finance_mc2_presentation_processed_s`.`CPA_PREPAID_R_IR_CPA_BAD_DEBT_PP`
Credit Table:
`vfie_dh_lake_finance_mc2_presentation_processed_s`.`CPA_PREPAID_R_IR_CPA_CREDIT_DTLD_PP`</t>
  </si>
  <si>
    <t>(Sum(F_TRANSACTION_NET_AMT) for [BD Activation Ind]={0}) from Bad Debt table
 /
(Sum(NET_CREDIT_AMT) for [Activation Ind]={1}) from Credit Table
where [BD Activation Ind] : if(ACR_CREDIT_REASON_DESC='Write off',0,1) 
and 
[Activation Ind] : if(ACR_CREDIT_REASON_DESC='Write off',0,1)</t>
  </si>
  <si>
    <t>% of Credit</t>
  </si>
  <si>
    <t>Bad Debt by Category</t>
  </si>
  <si>
    <t>Bad Debt by County</t>
  </si>
  <si>
    <t>Customers
Bad Debt
Avg Bad Debt</t>
  </si>
  <si>
    <t>`vfie_dh_lake_finance_mc2_presentation_processed_s`.`CPA_PREPAID_R_IR_CPA_CALL_CENTER_PP`</t>
  </si>
  <si>
    <t xml:space="preserve">1.sum(F_DURATIO_SUM)/60   for  CC_Subs_Vol={1}
where 
2.F_DURATIO_SUM = if(DAT_MONTH_ID&gt; 202103,((F_DURATIO_SUM/60)*9.3)*-1,((F_DURATIO_SUM/60)*8.5)*-1)	</t>
  </si>
  <si>
    <t>used in Call Reason</t>
  </si>
  <si>
    <t xml:space="preserve">1.sum(F_DURATIO_SUM)/60)*9.3)*-1  
Where
2.F_DURATIO_SUM = if(DAT_MONTH_ID&gt; 202103,((F_DURATIO_SUM/60)*9.3)*-1,((F_DURATIO_SUM/60)*8.5)*-1)	</t>
  </si>
  <si>
    <t>if(MonthYear&gt;='44287') then '9.3' else '8.5' 
if no monthyear is selected then use  '9.3'</t>
  </si>
  <si>
    <t>Cost Per Hour</t>
  </si>
  <si>
    <t xml:space="preserve">Count([NPS Category]={0,1,2} distinct [Subscriber ID])/Count(distinct [Subscriber ID])
where
[NPS Category] = If(TNPS_SCORE&gt;=0 AND TNPS_SCORE&lt;=6) then  0 else 
	if(TNPS_SCORE=7  then  1 else
	if(TNPS_SCORE&gt;7 and TNPS_SCORE&lt;=10 then 2 else null()))
    ) 
where TNPS_SCORE = direct field and [Subscriber ID] = SUB_SUBSCRIPTION_CD		</t>
  </si>
  <si>
    <t xml:space="preserve">(((Count([NPS Category]={2}distinct [Subscriber ID]))- Count([NPS Category]={0} distinct [Subscriber ID])))/(Count([NPS Category]={0,1,2}distinct [Subscriber ID])))*100
where
[NPS Category] = If(TNPS_SCORE&gt;=0 AND TNPS_SCORE&lt;=6) then  0 else 
	if(TNPS_SCORE=7  then  1 else
	if(TNPS_SCORE&gt;7 and TNPS_SCORE&lt;=10 then 2 else null()))
    ) 
where TNPS_SCORE = direct field and [Subscriber ID] = SUB_SUBSCRIPTION_CD	</t>
  </si>
  <si>
    <t xml:space="preserve">Call Hours
Call Cost
</t>
  </si>
  <si>
    <t>Call Cost and Hours Trend by Reason</t>
  </si>
  <si>
    <t>Sno.</t>
  </si>
  <si>
    <t>comment</t>
  </si>
  <si>
    <t>Contarct IBRO</t>
  </si>
  <si>
    <t>after_annual_price_adj</t>
  </si>
  <si>
    <t>after_fmly_discount_unitry</t>
  </si>
  <si>
    <t>after_soho_disc_unitry</t>
  </si>
  <si>
    <t>after_subscr_count_cb</t>
  </si>
  <si>
    <t>before_fmly_discount_unitry</t>
  </si>
  <si>
    <t>before_soho_disc_unitry</t>
  </si>
  <si>
    <t>Delivered in 1st phase</t>
  </si>
  <si>
    <t>Business IBRO</t>
  </si>
  <si>
    <t>curr_mobile_ib_revenue</t>
  </si>
  <si>
    <t>curr_mobile_oob_domestic_data_revenue</t>
  </si>
  <si>
    <t>curr_mobile_oob_domestic_mssg_revenue</t>
  </si>
  <si>
    <t>curr_mobile_oob_domestic_voice_revenue</t>
  </si>
  <si>
    <t>curr_mobile_oob_other_revenue</t>
  </si>
  <si>
    <t>curr_mobile_oob_revenue</t>
  </si>
  <si>
    <t>curr_oob_roaming_data_revenue</t>
  </si>
  <si>
    <t>curr_oob_roaming_mssg_revenue</t>
  </si>
  <si>
    <t>curr_oob_roaming_voice_revenue</t>
  </si>
  <si>
    <t>curr_s15_revenue</t>
  </si>
  <si>
    <t>delta_fmly_discount_unitry</t>
  </si>
  <si>
    <t>delta_soho_disc_unitry</t>
  </si>
  <si>
    <t xml:space="preserve">f_onceoff_rev_amt </t>
  </si>
  <si>
    <t>missed appointments</t>
  </si>
  <si>
    <t>est_tenure</t>
  </si>
  <si>
    <t>log_debt_sale_cst</t>
  </si>
  <si>
    <t>f_used_data_calc</t>
  </si>
  <si>
    <t>f_duratio_sum_calc</t>
  </si>
  <si>
    <t>prev_mobile_ib_revenue</t>
  </si>
  <si>
    <t>prev_mobile_oob_revenue</t>
  </si>
  <si>
    <t>prev_mobile_oob_domestic_voice_revenue</t>
  </si>
  <si>
    <t>prev_mobile_oob_domestic_mssg_revenue</t>
  </si>
  <si>
    <t>prev_mobile_oob_domestic_data_revenue</t>
  </si>
  <si>
    <t>prev_oob_roaming_voice_revenue</t>
  </si>
  <si>
    <t>prev_oob_roaming_mssg_revenue</t>
  </si>
  <si>
    <t>prev_oob_roaming_data_revenue</t>
  </si>
  <si>
    <t>prev_mobile_oob_other_revenue</t>
  </si>
  <si>
    <t>prev_s15_revenue</t>
  </si>
  <si>
    <t>Step 1 :</t>
  </si>
  <si>
    <t>Count_subscribers</t>
  </si>
  <si>
    <t xml:space="preserve">Step 2 : </t>
  </si>
  <si>
    <t xml:space="preserve">Step3 </t>
  </si>
  <si>
    <t>1206000 / 10000 = 120.6</t>
  </si>
  <si>
    <t>Sample Query</t>
  </si>
  <si>
    <r>
      <t>ref_fin_adjustment_mrt file filter records for CUS_CUSTOMER_SUB_TYPE_GROUP=SME</t>
    </r>
    <r>
      <rPr>
        <strike/>
        <sz val="10"/>
        <rFont val="Vodafone Rg"/>
        <family val="2"/>
      </rPr>
      <t xml:space="preserve"> </t>
    </r>
    <r>
      <rPr>
        <sz val="10"/>
        <rFont val="Vodafone Rg"/>
        <family val="2"/>
      </rPr>
      <t xml:space="preserve">for </t>
    </r>
    <r>
      <rPr>
        <b/>
        <sz val="10"/>
        <rFont val="Vodafone Rg"/>
        <family val="2"/>
      </rPr>
      <t>curr and prev month</t>
    </r>
    <r>
      <rPr>
        <sz val="10"/>
        <rFont val="Vodafone Rg"/>
        <family val="2"/>
      </rPr>
      <t xml:space="preserve"> and get F_CHARGE_AMT</t>
    </r>
  </si>
  <si>
    <t>Reporting_month</t>
  </si>
  <si>
    <t>abs(f_charge_amt)</t>
  </si>
  <si>
    <t>From Step 1 Negate the previous Month Subsidy from Previous to previous Month</t>
  </si>
  <si>
    <t xml:space="preserve">Delta Subsidy  </t>
  </si>
  <si>
    <t>from stg_app_subscriber_ibro_src_usl where CUS_CUSTOMER_SUB_TYPE_DESC='SME' and transaction_type in (Inflow and Retention)</t>
  </si>
  <si>
    <t>Count(subscribers)</t>
  </si>
  <si>
    <t>Sum(f_recurr_revenue_amt) as rec_agg</t>
  </si>
  <si>
    <t>Inflow</t>
  </si>
  <si>
    <t>SME</t>
  </si>
  <si>
    <t>Retention</t>
  </si>
  <si>
    <t>Step 4</t>
  </si>
  <si>
    <t>rec_agg</t>
  </si>
  <si>
    <t>sum(rec_agg) over(partition by Reporting_month) as total agr</t>
  </si>
  <si>
    <t>rec_rev_pre(rec_agg/total agr)</t>
  </si>
  <si>
    <t>Step 5:</t>
  </si>
  <si>
    <r>
      <t xml:space="preserve">Joining the Step 2 and Step 4 with Reporting_month
</t>
    </r>
    <r>
      <rPr>
        <sz val="10"/>
        <rFont val="Vodafone Rg"/>
        <family val="2"/>
      </rPr>
      <t>And if the value from Step 2 is less than 0 then Make it 0</t>
    </r>
  </si>
  <si>
    <t>Step 6 Subsidy Allocation</t>
  </si>
  <si>
    <t xml:space="preserve"> total agr</t>
  </si>
  <si>
    <t xml:space="preserve">rec_rev_pre </t>
  </si>
  <si>
    <t>subsidy_allocation(rec_rev_pre*Delta subsidy)</t>
  </si>
  <si>
    <t>Step 6 Subsidy Unitary Value</t>
  </si>
  <si>
    <t xml:space="preserve">subsidy_allocation </t>
  </si>
  <si>
    <t>Subsidy_alloc_unitary value(Subsidy alloc /count)</t>
  </si>
  <si>
    <t>KPIName</t>
  </si>
  <si>
    <t>OPEX_COST</t>
  </si>
  <si>
    <t>GROSS_MARGIN</t>
  </si>
  <si>
    <t>INDIRECT_COST</t>
  </si>
  <si>
    <t>NO_CUSTOMERS</t>
  </si>
  <si>
    <t>GROSS MARGIN</t>
  </si>
  <si>
    <t>AIRTIME MARGIN</t>
  </si>
  <si>
    <t>Step No.</t>
  </si>
  <si>
    <t>TARGET_TABLE_NAME</t>
  </si>
  <si>
    <t xml:space="preserve">Step1 : </t>
  </si>
  <si>
    <t>REPORTING_MONTH_CD, AFTER_FMLY_DISCOUNT,
BEFORE_FMLY_DISCOUNT</t>
  </si>
  <si>
    <t>Step 1 :   REPORTING_MONTH_CD, round (sum (ifnull (AFTER_FMLY_DISCOUNT, 0)), 2) as F_FMLY_DISCOUNT_CURR  
Step 2 :   REPORTING_MONTH_CD, round (sum (ifnull (BEFORE_FMLY_DISCOUNT, 0)), 2) as F_FMLY_DISCOUNT_PREV
where CASE WHEN SCENARIO_TYPE='ESTIMATE' AND TRANSACTION_TYPE IN ('INFLOW','RETENTION','OUTFLOW') THEN 1
WHEN SCENARIO_TYPE='ACTUAL' AND TRANSACTION_TYPE ='BASE' THEN 1 ELSE 0 END=1
group by 1</t>
  </si>
  <si>
    <t>we need AFTER_FMLY_DISCOUNT and BEFORE_FMLY_DISCOUNT grouped by the grain REPORTING_MONTH_CD individually</t>
  </si>
  <si>
    <t>FMLY_step_01</t>
  </si>
  <si>
    <t>F_FMLY_DISCOUNT_CURR, 
F_FMLY_DISCOUNT_PREV</t>
  </si>
  <si>
    <t>Step3:</t>
  </si>
  <si>
    <r>
      <t xml:space="preserve">Step 1 : REPORTING_MONTH_CD,  TRANSACTION_TYPE, SUBS_LIFECYCLE_L1_DESC, AFTER_CUS_CUSTOMER_SUB_TYPE_DESC, count (*) as SUBSCR_COUNT_CURR
where UPPER (AFTER_CUS_CUSTOMER_SUB_TYPE_DESC) = 'R'
</t>
    </r>
    <r>
      <rPr>
        <b/>
        <sz val="11"/>
        <color theme="1"/>
        <rFont val="Calibri"/>
        <family val="2"/>
        <scheme val="minor"/>
      </rPr>
      <t xml:space="preserve">AND Initcap(AFTER_OFFER_HIER_LEVEL_3_DESC) NOT IN ('Clear Tariff', 'Mbb' ,'Gov') </t>
    </r>
  </si>
  <si>
    <t>Group by REPORTING_MONTH, TRANSACTION_TYPE, SUBS_LIFECYCLE_L1_DESC, AFTER_CUSTOMER_SUB_TYPE_DESC, to get count of SUBSCRIBERS for AFTER Column case</t>
  </si>
  <si>
    <t>FMLY_step_02_CURR</t>
  </si>
  <si>
    <t>COUNT_SUBSCR_CURR</t>
  </si>
  <si>
    <r>
      <t xml:space="preserve">Step 2 : REPORTING_MONTH_CD,  TRANSACTION_TYPE, SUBS_LIFECYCLE_L1_DESC, BEFORE_CUS_CUSTOMER_SUB_TYPE_DESC, count (*) as SUBSCR_COUNT_PREV
where UPPER (BEFORE_CUS_CUSTOMER_SUB_TYPE_DESC) = 'R'
</t>
    </r>
    <r>
      <rPr>
        <b/>
        <sz val="11"/>
        <color theme="1"/>
        <rFont val="Calibri"/>
        <family val="2"/>
        <scheme val="minor"/>
      </rPr>
      <t xml:space="preserve">AND Initcap(AFTER_OFFER_HIER_LEVEL_3_DESC) NOT IN ('Clear Tariff', 'Mbb' ,'Gov') </t>
    </r>
  </si>
  <si>
    <t>Group by REPORTING_MONTH, TRANSACTION_TYPE, SUBS_LIFECYCLE_L1_DESC, BEFORE_CUSTOMER_SUB_TYPE_DESC, to get count of SUBSCRIBERS for BEFORE Column case</t>
  </si>
  <si>
    <t>FMLY_step_02_PREV</t>
  </si>
  <si>
    <t>COUNT_SUBSCR_PREV</t>
  </si>
  <si>
    <t>step02_04_06_CURR:</t>
  </si>
  <si>
    <t>FMLY_step_01 - Alias : a, 
FMLY_step_03_CURR - Alias : b</t>
  </si>
  <si>
    <t>F_FMLY_DISCOUNT_CURR
,
F_FMLY_DISCOUNT_PREV
,
SUBS_LIFECYCLE_L1_DESC</t>
  </si>
  <si>
    <t>step 1 : (ifnull (a.F_FMLY_DISCOUNT_CURR, 0) - ifnull (a.F_FMLY_DISCOUNT_PREV, 0)) as DELTA_F_FMLY_DISCOUNT_CURR
step 2 : when ifnull (DELTA_F_FMLY_DISCOUNT_CURR, 0) &gt; 0
        then			
          case		
            when UPPER (SUBS_LIFECYCLE_L1_DESC) = 'GROSS ADD'
              then ifnull (DELTA_F_FMLY_DISCOUNT_CURR, 0) * 0.30
            when UPPER (SUBS_LIFECYCLE_L1_DESC) = 'MIGRATION IN'
              then ifnull (DELTA_F_FMLY_DISCOUNT_CURR, 0) * 0.30
            when UPPER (SUBS_LIFECYCLE_L1_DESC) = 'BASE'
              then ifnull (DELTA_F_FMLY_DISCOUNT_CURR, 0) * 0.40
            else 0		
          end
         as fam_disc_L1_allocat_curr
step 3 : fam_disc_L1_allocat_curr / SUBSCR_COUNT_CURR as UNITRY_CURR</t>
  </si>
  <si>
    <t>calculate DELTA_FMLY_DISCOUNT_CURR by sub CURR - PREV which were brought on grain level REPORTING_MONTH_CD from Table_1
LEFT JOIN step_01 and step_03 tables on REPORTING_MONTH_CD
DELTA * PER_ALLOCATION as FAM_DISC_L1_ALLOC_CURR
Calculating unitry_CURR = fam_disc_L1_alloc_curr / SUBSCR_COUNT_CURR</t>
  </si>
  <si>
    <t>FMLY_step_04_06_CURR</t>
  </si>
  <si>
    <t>DELTA_F_FMLY_DISCOUNT_CURR
,
fam_disc_L1_allocat_curr
,
UNITRY_CURR</t>
  </si>
  <si>
    <t>step02_04_06_PREV:</t>
  </si>
  <si>
    <t>FMLY_step_01 - Alias : a, 
FMLY_step_03_PREV - Alias : b</t>
  </si>
  <si>
    <t>step 1 : (ifnull (a.F_FMLY_DISCOUNT_CURR, 0) - ifnull (a.F_FMLY_DISCOUNT_PREV, 0)) as DELTA_F_FMLY_DISCOUNT_PREV
step 2 : when ifnull (DELTA_F_FMLY_DISCOUNT_PREV, 0) &gt; 0
        then			
          case		
            when UPPER (SUBS_LIFECYCLE_L1_DESC) = 'GROSS ADD'
              then ifnull (DELTA_F_FMLY_DISCOUNT_PREV, 0) * 0.30
            when UPPER (SUBS_LIFECYCLE_L1_DESC) = 'MIGRATION IN'
              then ifnull (DELTA_F_FMLY_DISCOUNT_PREV, 0) * 0.30
            when UPPER (SUBS_LIFECYCLE_L1_DESC) = 'BASE'
              then ifnull (DELTA_F_FMLY_DISCOUNT_PREV, 0) * 0.40
            else 0		
          end
         as fam_disc_L1_allocat_prev
step 3 : fam_disc_L1_allocat_PREV / SUBSCR_COUNT_PREV as UNITRY_PREV</t>
  </si>
  <si>
    <t>calculate DELTA_FMLY_DISCOUNT_PREV by sub CURR - PREV which were brought on grain level REPORTING_MONTH_CD from Table_1
LEFT JOIN step_01 and step_03 tables on REPORTING_MONTH_CD
DELTA * PER_ALLOCATION as FAM_DISC_L1_ALLOC_PREV
Calculating unitry_PREV = fam_disc_L1_alloc_prev / SUBSCR_COUNT_PREV</t>
  </si>
  <si>
    <t>FMLY_step_04_06_PREV</t>
  </si>
  <si>
    <t>DELTA_F_FMLY_DISCOUNT_PREV
,
fam_disc_L1_allocat_prev
,
UNITRY_PREV</t>
  </si>
  <si>
    <t>SELECT REPORTING_MONTH_CD,round(sum(F_FMLY_DISCOUNT),2) F_FMLY_DISCOUNT_CUR FROM `vf-ie-mc2-nonlive.vfie_mc2_nonlive_ie_lake_mc2_presentation_processed_s.stg_ibro_01_base_usl` 
where CASE WHEN SCENARIO_TYPE='ESTIMATE' AND TRANSACTION_TYPE IN ('INFLOW','RETENTION','OUTFLOW') THEN 1
WHEN SCENARIO_TYPE='ACTUAL' AND TRANSACTION_TYPE ='BASE' THEN 1 ELSE 0 END=1
group by 1</t>
  </si>
  <si>
    <t>From Step 1 Negate the Current Month Family Discount from Previous Month</t>
  </si>
  <si>
    <t>Delta Family Discount</t>
  </si>
  <si>
    <r>
      <t xml:space="preserve">The Delta Family discount needs to be applied to only </t>
    </r>
    <r>
      <rPr>
        <b/>
        <sz val="12"/>
        <color theme="1"/>
        <rFont val="Calibri"/>
        <family val="2"/>
        <scheme val="minor"/>
      </rPr>
      <t>Consumer Voice</t>
    </r>
    <r>
      <rPr>
        <sz val="12"/>
        <color theme="1"/>
        <rFont val="Calibri"/>
        <family val="2"/>
        <scheme val="minor"/>
      </rPr>
      <t xml:space="preserve"> subscribers. </t>
    </r>
  </si>
  <si>
    <t>SELECT REPORTING_MONTH_CD,TRANSACTION_TYPE, SUBS_LIFECYCLE_L1_DESC, COUNT(*) FROM `vf-ie-mc2-nonlive.vfie_mc2_nonlive_ie_lake_mc2_presentation_processed_s.stg_ibro_01_base_usl` 
WHERE CUS_CUSTOMER_SUB_TYPE_DESC='R' 
AND Initcap(AFTER_OFFER_HIER_LEVEL_3_DESC) NOT IN ('Clear Tariff', 'Mbb' ,'Gov') 
group by 1</t>
  </si>
  <si>
    <t>Filter Condition</t>
  </si>
  <si>
    <t xml:space="preserve">where UPPER (AFTER_CUS_CUSTOMER_SUB_TYPE_DESC) = 'R'
AND Initcap(AFTER_OFFER_HIER_LEVEL_3_DESC) NOT IN ('Clear Tariff', 'Mbb' ,'Gov') </t>
  </si>
  <si>
    <t>Sub Lifecycle l</t>
  </si>
  <si>
    <t>Gross add</t>
  </si>
  <si>
    <t>R</t>
  </si>
  <si>
    <t>Mig in</t>
  </si>
  <si>
    <t>Outflow</t>
  </si>
  <si>
    <t>Deactivation</t>
  </si>
  <si>
    <t>Mig Out</t>
  </si>
  <si>
    <t>Base</t>
  </si>
  <si>
    <t>Step 4:</t>
  </si>
  <si>
    <t>Joining the Step 2 and Step 3 with Reporting_month
And if the value from Step 2 is less than 0 then Make it 0</t>
  </si>
  <si>
    <t>Step 5</t>
  </si>
  <si>
    <t>Allocating the Family discount to the each sub life cycle</t>
  </si>
  <si>
    <t>Fam_disc_L1_allocat</t>
  </si>
  <si>
    <t>Allocation Percentage</t>
  </si>
  <si>
    <t>Step 6</t>
  </si>
  <si>
    <t>Creating the</t>
  </si>
  <si>
    <t>Unitry</t>
  </si>
  <si>
    <t>Step 7</t>
  </si>
  <si>
    <t>Join the Step 6 table to stg_ibro_01_base_usl on Reprting_month,Trasaction_type,Sub Life cycle, CUS_CUSTOMER_SUB_TYPE_DESC</t>
  </si>
  <si>
    <t>Example after Joining</t>
  </si>
  <si>
    <t>Trans</t>
  </si>
  <si>
    <t>L1</t>
  </si>
  <si>
    <t>E</t>
  </si>
  <si>
    <t>Output Aggr Table</t>
  </si>
  <si>
    <t>When I Choose Consumer</t>
  </si>
  <si>
    <t>CUS_CUSTOMER_SUB_TYPE_EXT_CD</t>
  </si>
  <si>
    <t>C</t>
  </si>
  <si>
    <t>Clear</t>
  </si>
  <si>
    <t>C56B</t>
  </si>
  <si>
    <t>Corporate</t>
  </si>
  <si>
    <t>CCOM</t>
  </si>
  <si>
    <t>CDIP</t>
  </si>
  <si>
    <t>CKEY</t>
  </si>
  <si>
    <t>COSB</t>
  </si>
  <si>
    <t>Employee Accounts</t>
  </si>
  <si>
    <t>GOV</t>
  </si>
  <si>
    <t>Government</t>
  </si>
  <si>
    <t>Residential</t>
  </si>
  <si>
    <t>LS56</t>
  </si>
  <si>
    <t>SOHO4</t>
  </si>
  <si>
    <t>LSDI</t>
  </si>
  <si>
    <t>LSME</t>
  </si>
  <si>
    <t>LSOS</t>
  </si>
  <si>
    <t>SM56</t>
  </si>
  <si>
    <t>SMDI</t>
  </si>
  <si>
    <t>SMOS</t>
  </si>
  <si>
    <t>SH56</t>
  </si>
  <si>
    <t>SOHO</t>
  </si>
  <si>
    <t>SHDI</t>
  </si>
  <si>
    <t>SHO</t>
  </si>
  <si>
    <t>SHOS</t>
  </si>
  <si>
    <t>SHOT</t>
  </si>
  <si>
    <t>T</t>
  </si>
  <si>
    <t>Test Accounts</t>
  </si>
  <si>
    <t>VGED</t>
  </si>
  <si>
    <t>VGE</t>
  </si>
  <si>
    <t>VGEL</t>
  </si>
  <si>
    <t>VGEO</t>
  </si>
  <si>
    <r>
      <rPr>
        <b/>
        <sz val="10"/>
        <color theme="1"/>
        <rFont val="Vodafone Rg"/>
        <family val="2"/>
      </rPr>
      <t xml:space="preserve">JOIN DERIVING TABLE TABLE CPA_MOBILE_R_IR_CPA_PNL_DTLD PNL WITH REF_FIN_ADJUSTMENT_MRT REF USING LEFT JOIN ON COLUMNS PNL.CUS_CUSTOMER_SUB_TYPE_DESC = REF.CUS_CUSTOMER_SUB_TYPE_GROUP and
PNL.DAT_MONTH_ID-1 = REF.DAT_MONTH_ID  
</t>
    </r>
    <r>
      <rPr>
        <sz val="10"/>
        <color theme="1"/>
        <rFont val="Vodafone Rg"/>
        <family val="2"/>
      </rPr>
      <t xml:space="preserve">Note: This is applicable for  
1)TRANSACTION_TYPE=BASE only and for Residential(R) the Initcap(AFTER_OFFER_HIER_LEVEL_3_DESC) should NOT be in ('Clear Tariff', 'Mbb' ,'Gov').
1)TRANSACTION_TYPE=BASE only and SOHO (SH56,SHOS,SHO,SHDI,SOHO) </t>
    </r>
    <r>
      <rPr>
        <b/>
        <sz val="10"/>
        <color theme="1"/>
        <rFont val="Vodafone Rg"/>
        <family val="2"/>
      </rPr>
      <t>and Initcap(AFTER_OFFER_HIER_LEVEL_3_DESC) should NOT be in ('Clear Tariff', 'Mbb' ,'Gov') and Please use the Target Transaction_Type of the Base Block (stg_ibro_01_base_usl)</t>
    </r>
  </si>
  <si>
    <r>
      <t xml:space="preserve">Segment values in both the table are present in different names , PNL = R is same as Residential in Fin adjustement, similarly SHO = SOHO. Please handle this in your sql logic.
</t>
    </r>
    <r>
      <rPr>
        <b/>
        <sz val="10"/>
        <color theme="1"/>
        <rFont val="Vodafone Rg"/>
        <family val="2"/>
      </rPr>
      <t>Note : we need to identify SOHO using codes: (SH56,SHOS,SHO,SHDI)</t>
    </r>
    <r>
      <rPr>
        <sz val="10"/>
        <color theme="1"/>
        <rFont val="Vodafone Rg"/>
        <family val="2"/>
      </rPr>
      <t xml:space="preserve">
</t>
    </r>
  </si>
  <si>
    <t>S15_ADJUSTMENT LOGIC :</t>
  </si>
  <si>
    <t xml:space="preserve"> LEFT JOIN</t>
  </si>
  <si>
    <t>REF_FIN_ADJUSTMENT_MRT</t>
  </si>
  <si>
    <t>addjustment s15</t>
  </si>
  <si>
    <t>S1</t>
  </si>
  <si>
    <t>BASE</t>
  </si>
  <si>
    <t>S2</t>
  </si>
  <si>
    <t>S3</t>
  </si>
  <si>
    <t>S4</t>
  </si>
  <si>
    <t>S5</t>
  </si>
  <si>
    <t>S6</t>
  </si>
  <si>
    <t>S7</t>
  </si>
  <si>
    <t>S8</t>
  </si>
  <si>
    <t>Populate the average F_CHARGE_AMT for that month and segment to each subscriber, in above example 202401 has 3 Residential(Consumer) and their F_CHARGE_AMT=  -50 so each R subscriber will have AFTER_S15_ADJUSTMENT = 50/3</t>
  </si>
  <si>
    <t>Comment</t>
  </si>
  <si>
    <t>REPORTING_MONTH_CD, AFTER_SOHO_DISCOUNT,
BEFORE_SOHO_DISCOUNT</t>
  </si>
  <si>
    <t>Step 1 :   REPORTING_MONTH_CD, round (sum (ifnull (BEFORE_SOHO_DISCOUNT, 0)), 2) as SOHO_DISCOUNT_CURR
Step 2 :   REPORTING_MONTH_CD, round (sum (ifnull (BEFORE_SOHO_DISCOUNT, 0)), 2) as SOHO_DISCOUNT_PREV
where CASE WHEN SCENARIO_TYPE='ESTIMATE' AND TRANSACTION_TYPE IN ('INFLOW','RETENTION','OUTFLOW') THEN 1
WHEN SCENARIO_TYPE='ACTUAL' AND TRANSACTION_TYPE ='BASE' THEN 1 ELSE 0 END=1
AND AFTER_CUS_CUSTOMER_SUB_TYPE_DESC  IN ('SH56','SHDI','SHO','SHOS','SOHO')
AND Initcap(IFNULL(AFTER_OFFER_HIER_LEVEL_3_DESC,'Mbb')) NOT IN ('Clear Tariff', 'Mbb' ,'Gov')
group by 1</t>
  </si>
  <si>
    <t xml:space="preserve">getting SOHO_DISCOUNT_CURR grouped by the grain REPORTING_MONTH_CD
</t>
  </si>
  <si>
    <t>SOHO_step_01</t>
  </si>
  <si>
    <t xml:space="preserve">  SOHO_DISCOUNT_CURR
, SOHO_DISCOUNT_PREV</t>
  </si>
  <si>
    <t>SOHO Untry should be applied to SOHO Voice only</t>
  </si>
  <si>
    <t>Step3 :</t>
  </si>
  <si>
    <t>  Step 1 : REPORTING_MONTH_CD,  TRANSACTION_TYPE, SUBS_LIFECYCLE_L1_DESC, CASE WHEN AFTER_CUS_customer_sub_type_desc in (SH56,SHOS,SHO,SHDI)  THEN SOHO ELSE  us_customer_sub_type_desc END AS AFTER_CUS_customer_sub_type_desc ,COUNT(*) as SUBSCR_COUNT_CURR
where  AFTER_CUS_CUSTOMER_SUB_TYPE_DESC  IN ('SH56','SHDI','SHO','SHOS','SOHO')
AND Initcap(IFNULL(AFTER_OFFER_HIER_LEVEL_3_DESC,'Mbb')) NOT IN ('Clear Tariff', 'Mbb' ,'Gov')</t>
  </si>
  <si>
    <t>SOHO_step_02_CURR</t>
  </si>
  <si>
    <t>  Step 2 : REPORTING_MONTH_CD,  TRANSACTION_TYPE, SUBS_LIFECYCLE_L1_DESC, CASE WHEN BEFORE_CUS_customer_sub_type_desc in (SH56,SHOS,SHO,SHDI)  THEN SOHO ELSE  us_customer_sub_type_desc END AS BEFORE_CUS_customer_sub_type_desc ,COUNT(*) as SUBSCR_COUNT_CURR
where  AFTER_CUS_CUSTOMER_SUB_TYPE_DESC  IN ('SH56','SHDI','SHO','SHOS','SOHO')
AND Initcap(IFNULL(AFTER_OFFER_HIER_LEVEL_3_DESC,'Mbb')) NOT IN ('Clear Tariff', 'Mbb' ,'Gov')</t>
  </si>
  <si>
    <t>SOHO_step_02_PREV</t>
  </si>
  <si>
    <t>SOHO_step_01 - Alias : a, 
SOHO_step_03_CURR - Alias : b</t>
  </si>
  <si>
    <t>SOHO_DISCOUNT_CURR
,
SOHO_DISCOUNT_PREV
,
SUBS_LIFECYCLE_L1_DESC</t>
  </si>
  <si>
    <t>step 1 : (ifnull (a.SOHO_DISCOUNT_CURR, 0) - ifnull (a.SOHO_DISCOUNT_PREV, 0)) as DELTA_SOHO_DISCOUNT_CURR
step 2 : when ifnull (DELTA_SOHO_DISCOUNT_CURR, 0) &gt; 0
        then			
          case		
            when UPPER (SUBS_LIFECYCLE_L1_DESC) = 'GROSS ADD'
              then ifnull (DELTA_SOHO_DISCOUNT_CURR, 0) * 0.80
            when UPPER (SUBS_LIFECYCLE_L1_DESC) = 'MIGRATION IN'
              then ifnull (DELTA_SOHO_DISCOUNT_CURR, 0) * 0.15
            when UPPER (SUBS_LIFECYCLE_L1_DESC) = 'RETENTION'
              then ifnull (DELTA_SOHO_DISCOUNT_CURR, 0) * 0.05
            else 0		
          end
         as soho_disc_L1_allocat_curr
step 3 : soho_disc_L1_allocat_curr / SUBSCR_COUNT_CURR as UNITRY_CURR</t>
  </si>
  <si>
    <t>calculate DELTA_SOHO_DISCOUNT_CURR by CURR - PREV which were brought on a grain level REPORTING_MONTH_CD from SOHO_step_01
DELTA * PER_ALLOCATION as soho_DISC_L1_ALLOC_CURR
Calculating unitry_CURR = soho_disc_L1_alloc_curr / SUBSCR_COUNT_CURR</t>
  </si>
  <si>
    <t>SOHO_step_04_06_CURR</t>
  </si>
  <si>
    <t>DELTA_SOHO_DISCOUNT_CURR
,
soho_disc_L1_allocat_curr
,
UNITRY_CURR</t>
  </si>
  <si>
    <t>step 1 : (ifnull (a.SOHO_DISCOUNT_CURR, 0) - ifnull (a.SOHO_DISCOUNT_PREV, 0)) as DELTA_SOHO_DISCOUNT_PREV
step 2 : when ifnull (DELTA_SOHO_DISCOUNT_PREV, 0) &gt; 0
        then			
          case		
            when UPPER (SUBS_LIFECYCLE_L1_DESC) = 'GROSS ADD'
              then ifnull (DELTA_SOHO_DISCOUNT_PREV, 0) * 0.80
            when UPPER (SUBS_LIFECYCLE_L1_DESC) = 'MIGRATION IN'
              then ifnull (DELTA_SOHO_DISCOUNT_PREV, 0) * 0.15
            when UPPER (SUBS_LIFECYCLE_L1_DESC) = 'RETENTION'
              then ifnull (DELTA_SOHO_DISCOUNT_PREV, 0) * 0.05
            else 0		
          end
         as soho_disc_L1_allocat_prev
step 3 : soho_disc_L1_allocat_PREV / SUBSCR_COUNT_PREV as UNITRY_PREV</t>
  </si>
  <si>
    <t>calculate DELTA_SOHO_DISCOUNT_PREV by CURR - PREV which were brought on a  grain level REPORTING_MONTH_CD from SOHO_step_01
DELTA * PER_ALLOCATION as soho_DISC_L1_ALLOC_PREV
Calculating unitry_PREV = soho_disc_L1_alloc_prev / SUBSCR_COUNT_PREV</t>
  </si>
  <si>
    <t>SOHO_step_04_06_PREV</t>
  </si>
  <si>
    <t>DELTA_SOHO_DISCOUNT_PREV
,
soho_disc_L1_allocat_prev
,
UNITRY_PREV</t>
  </si>
  <si>
    <t>Aggrigate the AFTER_SOHO_DISCOUNT WRT REPORTING_MONTH</t>
  </si>
  <si>
    <t>SOHO Discount</t>
  </si>
  <si>
    <t>(IFA + MULTILINE)</t>
  </si>
  <si>
    <t>Delta SOHO Discount</t>
  </si>
  <si>
    <t>NOTE : A.SOHO_DISCOUNT - B.SOHO_DISCOUNT = DELTA_SOHO_DISCOUNT</t>
  </si>
  <si>
    <t xml:space="preserve">Step 3 : </t>
  </si>
  <si>
    <t>SELECT  CURR.REPORTING_MONTH_CD ,IFNULL(F_SOHO_DISCOUNT_CUR,0) AS F_SOHO_DISCOUNT_CUR,IFNULL(F_SOHO_DISCOUNT_PREV,0) AS F_SOHO_DISCOUNT_PREV
FROM(SELECT REPORTING_MONTH_CD,round(sum(IFNULL(AFTER_SOHO_DISCOUNT,0)),2) F_SOHO_DISCOUNT_CUR FROM   vf-ie-mc2-nonlive.vfie_mc2_nonlive_ie_lake_mc2_presentation_processed_s.stg_ibro_01_base_usl_DM0107 
WHERE CASE WHEN UPPER(SCENARIO_TYPE) IN ('ESTIMATE','ACTUAL') AND UPPER(TRANSACTION_TYPE) IN ('INFLOW','RETENTION', 'OUTFLOW')THEN 1
WHEN UPPER(SCENARIO_TYPE)='ACTUAL' AND UPPER(TRANSACTION_TYPE) = 'BASE' THEN 1 ELSE 0
END =1
AND AFTER_CUS_CUSTOMER_SUB_TYPE_DESC  IN ('SH56','SHDI','SHO','SHOS','SOHO')
AND Initcap(IFNULL(AFTER_OFFER_HIER_LEVEL_3_DESC,'Mbb')) NOT IN ('Clear Tariff', 'Mbb' ,'Gov')
group by 1 )CURR
left join(
SELECT REPORTING_MONTH_CD,round(sum(IFNULL(AFTER_SOHO_DISCOUNT,0)),2) F_SOHO_DISCOUNT_PREV FROM   vf-ie-mc2-nonlive.vfie_mc2_nonlive_ie_lake_mc2_presentation_processed_s.stg_ibro_01_base_usl_DM0107 
WHERE CASE WHEN UPPER(SCENARIO_TYPE)='ESTIMATE' AND UPPER(TRANSACTION_TYPE) IN ('INFLOW','RETENTION', 'OUTFLOW')THEN 1
WHEN UPPER(SCENARIO_TYPE)='ACTUAL' AND UPPER(TRANSACTION_TYPE) = 'BASE' THEN 1 ELSE 0
END =1
AND AFTER_CUS_CUSTOMER_SUB_TYPE_DESC  IN ('SH56','SHDI','SHO','SHOS','SOHO')
AND Initcap(IFNULL(AFTER_OFFER_HIER_LEVEL_3_DESC,'Mbb')) NOT IN ('Clear Tariff', 'Mbb' ,'Gov')
group by 1 )PREV 
ON
PREV.REPORTING_MONTH_CD=FORMAT_DATE ('%Y%m' , DATE_SUB(parse_date('%Y%m',cast(CURR.REPORTING_MONTH_CD as string) ),interval 1 month)) ORDER BY 1 DESC;</t>
  </si>
  <si>
    <t>AND AFTER_CUS_CUSTOMER_SUB_TYPE_DESC  IN ('SH56','SHDI','SHO','SHOS','SOHO')
AND Initcap(IFNULL(AFTER_OFFER_HIER_LEVEL_3_DESC,'Mbb')) NOT IN ('Clear Tariff', 'Mbb' ,'Gov')</t>
  </si>
  <si>
    <t>NOTE : COUNT_SUBS = count(distinct(SUB_SUBSCRIPTION_CD)), group by SUB_LIFECYCLE_1</t>
  </si>
  <si>
    <t>NOTE : JOIN DELTA_SOHO_DISCOUNT w/ COUNT(SUBS) column</t>
  </si>
  <si>
    <t>Step 5 :</t>
  </si>
  <si>
    <t>Allocating the SOHO discount to the each sub life cycle for SOHO and Voice only</t>
  </si>
  <si>
    <t>SOHO_disc_L1_allocat</t>
  </si>
  <si>
    <t xml:space="preserve">Step 6 : </t>
  </si>
  <si>
    <t>Creating the unitary value</t>
  </si>
  <si>
    <t>JOIN DIRECTLY w/ TEMP table</t>
  </si>
  <si>
    <t xml:space="preserve">Ex : </t>
  </si>
  <si>
    <t>Reporting_montth</t>
  </si>
  <si>
    <t>SOHO disc</t>
  </si>
  <si>
    <t xml:space="preserve">For Mobile and Prepaid : </t>
  </si>
  <si>
    <t>est_gross_margin_cb</t>
  </si>
  <si>
    <t>negative_margin_ind</t>
  </si>
  <si>
    <t>consistent_negative_margin_ind</t>
  </si>
  <si>
    <t>consistent_negative_margin_months</t>
  </si>
  <si>
    <t>AMD-10002</t>
  </si>
  <si>
    <t>1 Month</t>
  </si>
  <si>
    <t>2 Months</t>
  </si>
  <si>
    <t>For CPA Fixed:</t>
  </si>
  <si>
    <t>Cus_customer_cd</t>
  </si>
  <si>
    <t xml:space="preserve">fixed_line_gross_margin_cb_cpaf_q </t>
  </si>
  <si>
    <t>AMD-506810363</t>
  </si>
  <si>
    <t xml:space="preserve">Filter out condition : </t>
  </si>
  <si>
    <t xml:space="preserve">fixed_line_gross_margin_cb_cpaf_q  &lt; 0 </t>
  </si>
  <si>
    <t>Aggreagted_pnl</t>
  </si>
  <si>
    <t>Dimension_cols</t>
  </si>
  <si>
    <t>subs_cnt</t>
  </si>
  <si>
    <t>Measures</t>
  </si>
  <si>
    <t>cust_cnt</t>
  </si>
  <si>
    <t>ABC</t>
  </si>
  <si>
    <t>INFLOW</t>
  </si>
  <si>
    <t>fl_pnl Distribution</t>
  </si>
  <si>
    <t>Sub_subscription_cd</t>
  </si>
  <si>
    <t>Measure</t>
  </si>
  <si>
    <t>A1</t>
  </si>
  <si>
    <t>A2</t>
  </si>
  <si>
    <t>B1</t>
  </si>
  <si>
    <t>B2</t>
  </si>
  <si>
    <t>f_app_subscriber_enterprise_ibro_am</t>
  </si>
  <si>
    <t>Transformation logic at source</t>
  </si>
  <si>
    <t>New Transformation logic at source</t>
  </si>
  <si>
    <r>
      <t xml:space="preserve">Corresponding table in </t>
    </r>
    <r>
      <rPr>
        <b/>
        <sz val="11"/>
        <color rgb="FF00B0F0"/>
        <rFont val="Calibri"/>
        <family val="2"/>
        <scheme val="minor"/>
      </rPr>
      <t>f_subscriber_ibro_prof_report_s</t>
    </r>
  </si>
  <si>
    <r>
      <t xml:space="preserve">Corresponding columns in </t>
    </r>
    <r>
      <rPr>
        <b/>
        <sz val="11"/>
        <color rgb="FF00B0F0"/>
        <rFont val="Calibri"/>
        <family val="2"/>
        <scheme val="minor"/>
      </rPr>
      <t>f_subscriber_ibro_prof_report_s</t>
    </r>
  </si>
  <si>
    <t>accounting_rpt_month</t>
  </si>
  <si>
    <t>dw_uniq_app_enterprise_ibro_id</t>
  </si>
  <si>
    <t>Conn_Dt</t>
  </si>
  <si>
    <t>Defualt value</t>
  </si>
  <si>
    <t>f_in_bundel_rev + f_outbundle_rev</t>
  </si>
  <si>
    <t>f_ob_ntl_voice_rev +f_ob_ntl_sms_rev+f_ob_data_rev</t>
  </si>
  <si>
    <t xml:space="preserve">F_ROAMING_VOICE_REV + F_ROAMING_SMS_REV + F_ROAMING_DATA_REV </t>
  </si>
  <si>
    <t>num_subs</t>
  </si>
  <si>
    <t>CUS_CUSTOMER_SUB_TYPE</t>
  </si>
  <si>
    <r>
      <t xml:space="preserve">Step 2:
From ie-bds_mc2-c2_cust-td_prod_a_ref_fin_adjustment_mrt-01-*.*  filter records for CUS_CUSTOMER_SUB_TYPE_GROUP=SME </t>
    </r>
    <r>
      <rPr>
        <b/>
        <strike/>
        <sz val="10"/>
        <color rgb="FFFF0000"/>
        <rFont val="Vodafone Rg"/>
        <family val="2"/>
      </rPr>
      <t xml:space="preserve"> </t>
    </r>
    <r>
      <rPr>
        <sz val="10"/>
        <rFont val="Vodafone Rg"/>
        <family val="2"/>
      </rPr>
      <t xml:space="preserve"> and get abs(F_CHARGE_AMT).
</t>
    </r>
  </si>
  <si>
    <t>B.Product Group</t>
  </si>
  <si>
    <t>B.SIMO Indicator</t>
  </si>
  <si>
    <t>priceplan_group</t>
  </si>
  <si>
    <t>simo_ind</t>
  </si>
  <si>
    <t>0.2.33</t>
  </si>
  <si>
    <t>voice_data_ind</t>
  </si>
  <si>
    <t>CASE WHEN upper(PRD_PRODUCT_DESC) LIKE any 
('%BROADBAND%',  '%MBB%', '%PREFERENTIAL%', '%3G_BB%' ,'%MOBILE_BB%', '%TELEMETRY%','%SMS%','%WHOLESALE%','%RED_TAB_PLUS%','%DOMESTIC_DATA%')  
THEN 'DATA' ELSE 'VOICE' END</t>
  </si>
  <si>
    <r>
      <t xml:space="preserve">Updated Sheet : </t>
    </r>
    <r>
      <rPr>
        <sz val="9"/>
        <color theme="1"/>
        <rFont val="Vodafone Rg"/>
        <family val="2"/>
      </rPr>
      <t>Transformation Layer Stage 1</t>
    </r>
    <r>
      <rPr>
        <b/>
        <sz val="9"/>
        <color theme="1"/>
        <rFont val="Vodafone Rg"/>
        <family val="2"/>
      </rPr>
      <t xml:space="preserve">
Updated rows : 
Inserted Rows :  13-15 , 106-108
Updated Sheet : f_subscriber_ibro_prof_report_s
Updated rows : 
Inserted Rows :  591-593</t>
    </r>
  </si>
  <si>
    <t>ie-bds_mc2-c2_cust-ie-bds_mc2-c2_cust-td_prod_a_fac_sub_sum_mrt_last_mth-03-(SUBSCRIBER_FACT_MOBILE) A
Left join ie-bds_mc2-c2_cust-td_prod_a_ref_priceplan_grp_mrt-01 as B  on A.PRD_PRODUCT_DESC=B.Product (use trim and upper while joining)</t>
  </si>
  <si>
    <t>priceplan_group_bi</t>
  </si>
  <si>
    <t>simo_ind_bi</t>
  </si>
  <si>
    <t>voice_data_ind_bi</t>
  </si>
  <si>
    <t xml:space="preserve">`vfie_dh_lake_finance_mc2_presentation_processed_s`.`GBD_IE_CPA_PNL_STORE`  as A  Left Join
 CPA Mobile_dealer_branch.Xlsx  as B on 
case when A.CHNL_LEVEL_2 not in ('VIS Outbound','VSSI','VIS Care','VF Online Sales') and upper(A.TRANSACTION_TYPE)='INFLOW' then trim(A.ACQUISITION_BRANCH_ID)
     when A.CHNL_LEVEL_2 not in ('VIS Outbound','VSSI','VIS Care','VF Online Sales') and upper(A.TRANSACTION_TYPE)='RETENTION' then trim(A.UPGRADE_BRACH_ID)
		else null 
 =  trim(B.DLR_BRANCH_ID)
</t>
  </si>
  <si>
    <t>StoreName = If(len(trim(STORE_NAME))&gt;0,STORE_NAME,'Unknown') 
where "STORE_NAME" is from dealer_branch.xlsx</t>
  </si>
  <si>
    <t>store_name_cpam_q</t>
  </si>
  <si>
    <t>`vfie_dh_lake_finance_mc2_presentation_processed_s`.`GBD_IE_CPA_PNL_STORE`  as A  Left Join
 CPA Mobile_dealer_branch.Xlsx  as B on 
case when A.CHNL_LEVEL_2 not in ('VIS Outbound','VSSI','VIS Care','VF Online Sales') and upper(A.TRANSACTION_TYPE)='INFLOW' then trim(A.ACQUISITION_BRANCH_ID)
     when A.CHNL_LEVEL_2 not in ('VIS Outbound','VSSI','VIS Care','VF Online Sales') and upper(A.TRANSACTION_TYPE)='RETENTION' then trim(A.UPGRADE_BRACH_ID)
		else null 
 =  trim(B.DLR_BRANCH_ID)
Left Join CPA_Mobile_Ireland_county.xlsx as C on B.ADR_POSTAL_COUNTY = C.County</t>
  </si>
  <si>
    <t>CPA_Mobile_Ireland_county.DimCounty</t>
  </si>
  <si>
    <t>INITCAP(DimCounty)</t>
  </si>
  <si>
    <t>store_county_cpam_q</t>
  </si>
  <si>
    <t>CPA_Mobile_Ireland_county.DimTown (Sheet2 of the same file)</t>
  </si>
  <si>
    <t>`vfie_dh_lake_finance_mc2_presentation_processed_s`.`GBD_IE_CPA_PNL_STORE`  as A  Left Join
 CPA Mobile_dealer_branch.Xlsx  as B on 
case when A.CHNL_LEVEL_2 not in ('VIS Outbound','VSSI','VIS Care','VF Online Sales') and upper(A.TRANSACTION_TYPE)='INFLOW' then trim(A.ACQUISITION_BRANCH_ID)
     when A.CHNL_LEVEL_2 not in ('VIS Outbound','VSSI','VIS Care','VF Online Sales') and upper(A.TRANSACTION_TYPE)='RETENTION' then trim(A.UPGRADE_BRACH_ID)
		else null 
 =  trim(B.DLR_BRANCH_ID)
Left Join CPA_Mobile_Ireland_county.xlsx as C on B.ADR_POSTAL_TOWN = C.ADR_POSTAL_TOWN(Sheet2 of the same file)</t>
  </si>
  <si>
    <t>DimTown</t>
  </si>
  <si>
    <t>store_town_cpam_q</t>
  </si>
  <si>
    <t>0.2.34</t>
  </si>
  <si>
    <t>ROAMING_UI  R Left join operator.xlsx O
on R.LU_OPERATOR_CODE=O.LU_OPERATOR_CODE</t>
  </si>
  <si>
    <t>UDR_COUNTRY</t>
  </si>
  <si>
    <t>UDR_OPERATOR_DESC</t>
  </si>
  <si>
    <t>ifnull(UDR_COUNTRY,'Others')</t>
  </si>
  <si>
    <t>ifnull(UDR_OPERATOR_DESC,'Others')</t>
  </si>
  <si>
    <t>roaming_country</t>
  </si>
  <si>
    <t>roaming_operator</t>
  </si>
  <si>
    <r>
      <t xml:space="preserve">Filter   CPA_FIXEDLINE_R_IR_CPA_PNL_DTLD_FL as FL_PNL  : Where SUB_BUNDLE_TYPE_DESC not in ('Mobile','TV','Voice + TV')  .
Join condition bet CPA_FIXEDLINE_R_IR_CPA_PNL_DTLD_FL as FL_PNL and aggregated_pnl : </t>
    </r>
    <r>
      <rPr>
        <sz val="10"/>
        <color theme="1"/>
        <rFont val="Vodafone Rg"/>
        <family val="2"/>
      </rPr>
      <t xml:space="preserve">Use all group by columns as join condition , use upper and handle null while joining.
</t>
    </r>
    <r>
      <rPr>
        <b/>
        <sz val="10"/>
        <color theme="1"/>
        <rFont val="Vodafone Rg"/>
        <family val="2"/>
      </rPr>
      <t xml:space="preserve">Join condition bet aggregated_pnl and avg_revenue_by_product : Use upper while joining </t>
    </r>
    <r>
      <rPr>
        <sz val="10"/>
        <color theme="1"/>
        <rFont val="Vodafone Rg"/>
        <family val="2"/>
      </rPr>
      <t xml:space="preserve">Aggregated_pnl .PRICEPLAN_DESC= A.PRD_PRODUCT_DESC </t>
    </r>
  </si>
  <si>
    <t xml:space="preserve">if CHNL_LEVEL_2 in ('King','T2M','TMPS','Kelco','C&amp;C','TPS','Western Cellular','KPC','VF Retail','CPW','Not Available') then if(len(trim(STORE_NAME))&gt;0,STORE_NAME,'Unknown') </t>
  </si>
  <si>
    <t xml:space="preserve"> IF customer  Transaction_type in ( 'INFLOW', 'RETENTION', 'BASE') populate 1 only for one combination of DAT_MONTH_ID , CUS_CUSTOMER_CDand PRICEPLAN_RATE . </t>
  </si>
  <si>
    <t xml:space="preserve"> IF customer  Transaction_type in ( 'INFLOW', 'RETENTION', 'BASE') populate 1 only for one combination of DAT_MONTH_ID , CUS_CUSTOMER_CD and COUNTY . </t>
  </si>
  <si>
    <t xml:space="preserve"> IF customer  Transaction_type in ( 'INFLOW', 'RETENTION', 'BASE') populate 1 only for one combination of DAT_MONTH_ID , CUS_CUSTOMER_CDand CHNL_LEVEL_3 . </t>
  </si>
  <si>
    <t>total_revenue_bd_cpaf_q + F_DISCOUNT_CST/subs_cnt + (F_NET_CREDIT_AMT  *-1) /subs_cnt</t>
  </si>
  <si>
    <r>
      <t xml:space="preserve">
</t>
    </r>
    <r>
      <rPr>
        <sz val="10"/>
        <rFont val="Vodafone Rg"/>
        <family val="2"/>
      </rPr>
      <t xml:space="preserve"> populate 1 only for one combination of DAT_MONTH_ID , CUS_CUSTOMER_CD and Transaction_type. </t>
    </r>
  </si>
  <si>
    <r>
      <t xml:space="preserve">
</t>
    </r>
    <r>
      <rPr>
        <sz val="10"/>
        <rFont val="Vodafone Rg"/>
        <family val="2"/>
      </rPr>
      <t xml:space="preserve"> IF customer  Transaction_type in ( 'INFLOW', 'RETENTION', 'BASE') populate 1 only for one combination of DAT_MONTH_ID , CUS_CUSTOMER_CD . </t>
    </r>
  </si>
  <si>
    <t xml:space="preserve"> if aggregated_pnl.CHNL_LEVEL_2 in ( 'VF Retail' , 'CPW' ,'King','T2M','TMPS','Kelco','C&amp;C','TPS','Western Cellular','KPC' , 'Not Available') then 1/subs_cnt</t>
  </si>
  <si>
    <t xml:space="preserve">
When TRANSACTION_TYPE in ('INFLOW','RETENTION','BASE') then 
total_wholesale_ic_cost_cb_cpaf_q
</t>
  </si>
  <si>
    <r>
      <t xml:space="preserve">
</t>
    </r>
    <r>
      <rPr>
        <sz val="10"/>
        <rFont val="Vodafone Rg"/>
        <family val="2"/>
      </rPr>
      <t>total_wholesale_ic_cost_cpaf_q</t>
    </r>
  </si>
  <si>
    <t>CPA_FIXEDLINE_R_IR_CPA_PNL_DTLD_FL  fl_pnl  left join cpa fixed_delaer_branch.xslx on 
Case when upper(A.TRANSACTION_TYPE)='INFLOW' then trim(fl_pnl.ACQUISITION_BRANCH_ID)
     when upper(A.TRANSACTION_TYPE)='RETENTION' then trim(fl_pnl.UPGRADE_BRACH_ID)
	 else null =  trim(B.DLR_BRANCH_ID)</t>
  </si>
  <si>
    <t xml:space="preserve">CPA_FIXEDLINE_R_IR_CPA_PNL_DTLD_FL  fl_pnl  left join cpa fixed_ireland_county.xslx B on 
fl_pnl.county=B.county
</t>
  </si>
  <si>
    <t>DimCounty</t>
  </si>
  <si>
    <t>if CHNL_LEVEL_2 in ('King','T2M','TMPS','Kelco','C&amp;C','TPS','Western Cellular','KPC','VF Retail','CPW','Not Available') then DimCounty else NULL</t>
  </si>
  <si>
    <t xml:space="preserve">CPA_FIXEDLINE_R_IR_CPA_PNL_DTLD_FL  fl_pnl  left join cpa fixed_ireland_county.xslx  "Sheet2"  as B on 
fl_pnl.Town=B.ADR_POSTAL_TOWN
</t>
  </si>
  <si>
    <t>if CHNL_LEVEL_2 in ('King','T2M','TMPS','Kelco','C&amp;C','TPS','Western Cellular','KPC','VF Retail','CPW','Not Available') then DimTown else NULL</t>
  </si>
  <si>
    <t>store_name_cpaf_q</t>
  </si>
  <si>
    <t>store_county_cpaf_q</t>
  </si>
  <si>
    <t>store_town_cpaf_q</t>
  </si>
  <si>
    <t>county_cpaf_q</t>
  </si>
  <si>
    <r>
      <t xml:space="preserve">IF TRANSACTION_TYPE in ('INFLOW' , 'BASE','RETENTION') and fixed_line_gross_margin_cb_cpaf_q &lt; 0 then 1 else 0.
</t>
    </r>
    <r>
      <rPr>
        <b/>
        <strike/>
        <sz val="10"/>
        <color rgb="FFFF0000"/>
        <rFont val="Vodafone Rg"/>
        <family val="2"/>
      </rPr>
      <t xml:space="preserve">
</t>
    </r>
    <r>
      <rPr>
        <b/>
        <sz val="10"/>
        <rFont val="Vodafone Rg"/>
        <family val="2"/>
      </rPr>
      <t>Check example sheet : Consistent -ve Margin Example for cpa fixed</t>
    </r>
    <r>
      <rPr>
        <sz val="10"/>
        <color theme="1"/>
        <rFont val="Vodafone Rg"/>
        <family val="2"/>
      </rPr>
      <t xml:space="preserve">
</t>
    </r>
  </si>
  <si>
    <r>
      <t xml:space="preserve">IF TRANSACTION_TYPE in ('INFLOW' , 'BASE','RETENTION') and fixed_line_gross_margin_cb_cpaf_q &lt; 0 for consecutively 2 months then 1 else 0.(fixed_line_gross_margin_cb_cpaf_q &lt; 0 in the current month as well as   previous reporting mnth)
</t>
    </r>
    <r>
      <rPr>
        <b/>
        <strike/>
        <sz val="10"/>
        <color rgb="FFFF0000"/>
        <rFont val="Vodafone Rg"/>
        <family val="2"/>
      </rPr>
      <t xml:space="preserve">
</t>
    </r>
    <r>
      <rPr>
        <b/>
        <sz val="10"/>
        <rFont val="Vodafone Rg"/>
        <family val="2"/>
      </rPr>
      <t>Check example sheet : Consistent -ve Margin Example for cpa fixed</t>
    </r>
    <r>
      <rPr>
        <sz val="10"/>
        <color theme="1"/>
        <rFont val="Vodafone Rg"/>
        <family val="2"/>
      </rPr>
      <t xml:space="preserve">
</t>
    </r>
  </si>
  <si>
    <r>
      <t xml:space="preserve">IF TRANSACTION_TYPE in ('INFLOW' , 'BASE','RETENTION') and  fixed_line_gross_margin_cb_cpaf_q &lt; 0 
then check for the number of months having  fixed_line_gross_margin_cb_cpaf_q &lt; 0 consistently from current reporting month.(Backward months)
If No. of months 1 then "1 Month"
                 2 then  "2 Months"  
  between  3 and 5 then  "3-5 Months"
                &gt;=6 then "&gt;=6 Months" 
</t>
    </r>
    <r>
      <rPr>
        <b/>
        <sz val="10"/>
        <color theme="1"/>
        <rFont val="Vodafone Rg"/>
        <family val="2"/>
      </rPr>
      <t>Check example sheet : Consistent -ve Margin Example for cpa fixed</t>
    </r>
  </si>
  <si>
    <t>roaming_flag</t>
  </si>
  <si>
    <t>consistent_roaming_months</t>
  </si>
  <si>
    <t>commission_cb_cpap_q</t>
  </si>
  <si>
    <t xml:space="preserve">1.If CHNL_LEVEL_2  in ('CPW' or 'VF Retail' or 'VIS Outbound' or 'VF Online Sales') then  0,
else
 if transaction type is 'INFLOW','RETENTION','BASE' then use F_AMORT_COMMISSION_CST*(-1)
</t>
  </si>
  <si>
    <r>
      <t xml:space="preserve">Updated Sheet : </t>
    </r>
    <r>
      <rPr>
        <sz val="9"/>
        <color theme="1"/>
        <rFont val="Vodafone Rg"/>
        <family val="2"/>
      </rPr>
      <t>Transformation Layer Stage 1</t>
    </r>
    <r>
      <rPr>
        <b/>
        <sz val="9"/>
        <color theme="1"/>
        <rFont val="Vodafone Rg"/>
        <family val="2"/>
      </rPr>
      <t xml:space="preserve">
Updated rows : 2248
Inserted Rows : 691-694 , 1620-1622,2210-2213,2246
Updated Sheet : f_subscriber_ibro_prof_report_s
Updated rows : 
Inserted Rows :  </t>
    </r>
  </si>
  <si>
    <r>
      <t xml:space="preserve">subsidy_cb_cpaf_q + </t>
    </r>
    <r>
      <rPr>
        <strike/>
        <sz val="10"/>
        <color rgb="FFFF0000"/>
        <rFont val="Vodafone Rg"/>
        <family val="2"/>
      </rPr>
      <t>commission_cpap_q</t>
    </r>
    <r>
      <rPr>
        <sz val="10"/>
        <color theme="1"/>
        <rFont val="Vodafone Rg"/>
        <family val="2"/>
      </rPr>
      <t xml:space="preserve">   </t>
    </r>
    <r>
      <rPr>
        <b/>
        <sz val="10"/>
        <color theme="1"/>
        <rFont val="Vodafone Rg"/>
        <family val="2"/>
      </rPr>
      <t>commission_cb_cpap_q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</si>
</sst>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#############E+###"/>
  </numFmts>
  <fonts count="103">
    <font>
      <sz val="11"/>
      <color theme="1"/>
      <name val="Calibri"/>
      <family val="2"/>
      <scheme val="minor"/>
    </font>
    <font>
      <sz val="9"/>
      <color theme="1"/>
      <name val="Vodafone Rg"/>
      <family val="2"/>
    </font>
    <font>
      <b/>
      <sz val="9"/>
      <color theme="1"/>
      <name val="Vodafone Rg"/>
      <family val="2"/>
    </font>
    <font>
      <sz val="9"/>
      <name val="Vodafone Rg"/>
      <family val="2"/>
    </font>
    <font>
      <sz val="8"/>
      <name val="Vodafone Rg"/>
      <family val="2"/>
    </font>
    <font>
      <sz val="8"/>
      <name val="Calibri"/>
      <family val="2"/>
      <scheme val="minor"/>
    </font>
    <font>
      <sz val="8"/>
      <color theme="1"/>
      <name val="Vodafone Rg"/>
      <family val="2"/>
    </font>
    <font>
      <sz val="10"/>
      <color theme="1"/>
      <name val="Vodafone Rg"/>
      <family val="2"/>
    </font>
    <font>
      <b/>
      <sz val="8"/>
      <name val="Vodafone Rg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9"/>
      <color theme="1"/>
      <name val="Vodafone Rg"/>
      <family val="2"/>
    </font>
    <font>
      <sz val="8"/>
      <name val="Vodafone Rg"/>
      <family val="2"/>
    </font>
    <font>
      <strike/>
      <sz val="8"/>
      <name val="Vodafone Rg"/>
      <family val="2"/>
    </font>
    <font>
      <b/>
      <sz val="8"/>
      <color theme="1"/>
      <name val="Vodafone Rg"/>
      <family val="2"/>
    </font>
    <font>
      <sz val="8"/>
      <color rgb="FFFF0000"/>
      <name val="Vodafone Rg"/>
      <family val="2"/>
    </font>
    <font>
      <b/>
      <sz val="11"/>
      <color rgb="FF000000"/>
      <name val="Vodafone Rg"/>
      <family val="2"/>
    </font>
    <font>
      <sz val="11"/>
      <color rgb="FF000000"/>
      <name val="Vodafone Rg"/>
      <family val="2"/>
    </font>
    <font>
      <sz val="11"/>
      <color rgb="FFFF0000"/>
      <name val="Calibri"/>
      <family val="2"/>
      <scheme val="minor"/>
    </font>
    <font>
      <sz val="6"/>
      <color rgb="FF202124"/>
      <name val="Arial"/>
      <family val="2"/>
    </font>
    <font>
      <sz val="8"/>
      <color theme="1"/>
      <name val="Vodafone Rg"/>
      <family val="2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6"/>
      <color rgb="FF0D904F"/>
      <name val="Roboto Mono"/>
      <family val="3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i/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9"/>
      <color rgb="FF000000"/>
      <name val="Calibri"/>
      <family val="2"/>
    </font>
    <font>
      <b/>
      <i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Vodafone Rg"/>
      <family val="2"/>
    </font>
    <font>
      <sz val="10"/>
      <color rgb="FF000000"/>
      <name val="Vodafone Rg"/>
      <family val="2"/>
    </font>
    <font>
      <b/>
      <sz val="10"/>
      <color theme="1"/>
      <name val="Vodafone Rg"/>
      <family val="2"/>
    </font>
    <font>
      <b/>
      <sz val="11"/>
      <color theme="1"/>
      <name val="Vodafone Rg"/>
      <family val="2"/>
    </font>
    <font>
      <sz val="10"/>
      <color theme="1"/>
      <name val="Calibri"/>
      <family val="2"/>
      <scheme val="minor"/>
    </font>
    <font>
      <sz val="10"/>
      <color theme="1"/>
      <name val="Inherit"/>
    </font>
    <font>
      <strike/>
      <sz val="10"/>
      <name val="Vodafone Rg"/>
      <family val="2"/>
    </font>
    <font>
      <b/>
      <sz val="10"/>
      <name val="Vodafone Rg"/>
      <family val="2"/>
    </font>
    <font>
      <sz val="10"/>
      <color rgb="FFFF0000"/>
      <name val="Vodafone Rg"/>
      <family val="2"/>
    </font>
    <font>
      <sz val="10"/>
      <name val="Calibri"/>
      <family val="2"/>
      <scheme val="minor"/>
    </font>
    <font>
      <sz val="10"/>
      <color theme="3" tint="-0.499984740745262"/>
      <name val="Vodafone Rg"/>
      <family val="2"/>
    </font>
    <font>
      <strike/>
      <sz val="10"/>
      <color rgb="FF000000"/>
      <name val="Vodafone Rg"/>
      <family val="2"/>
    </font>
    <font>
      <strike/>
      <sz val="10"/>
      <color rgb="FFFF0000"/>
      <name val="Vodafone Rg"/>
      <family val="2"/>
    </font>
    <font>
      <strike/>
      <sz val="10"/>
      <color theme="1"/>
      <name val="Vodafone Rg"/>
      <family val="2"/>
    </font>
    <font>
      <b/>
      <sz val="11"/>
      <name val="Vodafone Rg"/>
      <family val="2"/>
    </font>
    <font>
      <sz val="10"/>
      <name val="Roboto Mono"/>
      <family val="3"/>
    </font>
    <font>
      <vertAlign val="superscript"/>
      <sz val="10"/>
      <color rgb="FFFF0000"/>
      <name val="Vodafone Rg"/>
      <family val="2"/>
    </font>
    <font>
      <sz val="10"/>
      <color rgb="FF242424"/>
      <name val="Aptos Narrow"/>
      <family val="2"/>
    </font>
    <font>
      <strike/>
      <sz val="10"/>
      <color rgb="FFFF0000"/>
      <name val="Aptos Narrow"/>
      <family val="2"/>
    </font>
    <font>
      <sz val="10"/>
      <color theme="1"/>
      <name val="Aptos Narrow"/>
      <family val="2"/>
    </font>
    <font>
      <sz val="10"/>
      <color theme="1"/>
      <name val="Aptos"/>
      <family val="2"/>
    </font>
    <font>
      <sz val="11"/>
      <color theme="1"/>
      <name val="Vodafone Rg"/>
      <family val="2"/>
    </font>
    <font>
      <b/>
      <sz val="12"/>
      <color theme="1"/>
      <name val="Vodafone Rg"/>
      <family val="2"/>
    </font>
    <font>
      <b/>
      <sz val="10"/>
      <color theme="1"/>
      <name val=" Vodafone RG"/>
    </font>
    <font>
      <sz val="10"/>
      <color theme="1"/>
      <name val=" Vodafone RG"/>
    </font>
    <font>
      <sz val="10"/>
      <color rgb="FF0D904F"/>
      <name val=" Vodafone RG"/>
    </font>
    <font>
      <sz val="10"/>
      <name val=" Vodafone RG"/>
    </font>
    <font>
      <sz val="8"/>
      <color theme="1"/>
      <name val="Calibri"/>
      <family val="2"/>
      <scheme val="minor"/>
    </font>
    <font>
      <b/>
      <sz val="10"/>
      <color rgb="FF000000"/>
      <name val="Vodafone Rg"/>
      <family val="2"/>
    </font>
    <font>
      <sz val="10"/>
      <color theme="1"/>
      <name val="Vodafone Rg "/>
    </font>
    <font>
      <b/>
      <sz val="10"/>
      <color theme="1"/>
      <name val="Vodafone Rg "/>
    </font>
    <font>
      <sz val="10"/>
      <name val="Vodafone Rg "/>
    </font>
    <font>
      <b/>
      <sz val="11"/>
      <name val="Vodafone Rg "/>
    </font>
    <font>
      <sz val="11"/>
      <color theme="1"/>
      <name val="Vodafone Rg "/>
    </font>
    <font>
      <sz val="10"/>
      <color rgb="FF000000"/>
      <name val="Vodafone Rg "/>
    </font>
    <font>
      <sz val="10"/>
      <color rgb="FF242424"/>
      <name val="Vodafone Rg "/>
    </font>
    <font>
      <sz val="10"/>
      <color rgb="FF202124"/>
      <name val="Vodafone Rg "/>
    </font>
    <font>
      <sz val="11"/>
      <name val="Vodafone Rg"/>
      <family val="2"/>
    </font>
    <font>
      <strike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color rgb="FF000000"/>
      <name val="Consolas"/>
      <family val="3"/>
    </font>
    <font>
      <b/>
      <sz val="10"/>
      <color theme="1"/>
      <name val="Inherit"/>
    </font>
    <font>
      <b/>
      <strike/>
      <sz val="10"/>
      <color rgb="FFFF0000"/>
      <name val="Vodafone Rg"/>
      <family val="2"/>
    </font>
    <font>
      <strike/>
      <sz val="10"/>
      <color rgb="FFFF0000"/>
      <name val="Calibri"/>
      <family val="2"/>
    </font>
    <font>
      <strike/>
      <sz val="9"/>
      <color rgb="FFFF0000"/>
      <name val="Calibri"/>
      <family val="2"/>
    </font>
    <font>
      <b/>
      <sz val="9"/>
      <color theme="1"/>
      <name val="Calibri"/>
      <family val="2"/>
    </font>
    <font>
      <sz val="9"/>
      <color rgb="FFFF0000"/>
      <name val="Vodafone Rg"/>
      <family val="2"/>
    </font>
    <font>
      <strike/>
      <sz val="9"/>
      <color rgb="FFFF0000"/>
      <name val="Vodafone Rg"/>
      <family val="2"/>
    </font>
    <font>
      <sz val="6"/>
      <color rgb="FF000000"/>
      <name val="Roboto Mono"/>
      <family val="3"/>
    </font>
    <font>
      <strike/>
      <sz val="10"/>
      <color rgb="FFFF0000"/>
      <name val="Vodafone Rg "/>
    </font>
    <font>
      <b/>
      <sz val="10"/>
      <color rgb="FF000000"/>
      <name val="Vodafone Rg "/>
    </font>
    <font>
      <sz val="6"/>
      <color rgb="FF202124"/>
      <name val="Vodafone Rg"/>
      <family val="2"/>
    </font>
    <font>
      <b/>
      <sz val="6"/>
      <color rgb="FF5F6368"/>
      <name val="Vodafone Rg"/>
      <family val="2"/>
    </font>
    <font>
      <sz val="10"/>
      <color rgb="FF202124"/>
      <name val="Vodafone Rg"/>
      <family val="2"/>
    </font>
    <font>
      <sz val="10"/>
      <color rgb="FF000000"/>
      <name val="Roboto Mono"/>
      <family val="3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9" fillId="6" borderId="4" applyNumberFormat="0" applyFont="0" applyAlignment="0" applyProtection="0"/>
    <xf numFmtId="9" fontId="9" fillId="0" borderId="0" applyFont="0" applyFill="0" applyBorder="0" applyAlignment="0" applyProtection="0"/>
  </cellStyleXfs>
  <cellXfs count="573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15" fontId="1" fillId="0" borderId="1" xfId="0" applyNumberFormat="1" applyFont="1" applyBorder="1" applyAlignment="1">
      <alignment horizontal="left" vertical="top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5" borderId="1" xfId="0" applyFill="1" applyBorder="1"/>
    <xf numFmtId="0" fontId="4" fillId="5" borderId="1" xfId="0" applyFont="1" applyFill="1" applyBorder="1" applyAlignment="1">
      <alignment horizontal="left" vertic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15" fontId="7" fillId="0" borderId="1" xfId="0" applyNumberFormat="1" applyFont="1" applyBorder="1" applyAlignment="1">
      <alignment horizontal="left" vertical="top"/>
    </xf>
    <xf numFmtId="0" fontId="6" fillId="0" borderId="1" xfId="0" applyFont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/>
    <xf numFmtId="0" fontId="6" fillId="0" borderId="0" xfId="0" applyFont="1" applyAlignment="1">
      <alignment wrapText="1"/>
    </xf>
    <xf numFmtId="0" fontId="4" fillId="0" borderId="1" xfId="0" applyFont="1" applyBorder="1"/>
    <xf numFmtId="0" fontId="4" fillId="4" borderId="1" xfId="0" applyFont="1" applyFill="1" applyBorder="1"/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horizontal="left" vertical="top"/>
    </xf>
    <xf numFmtId="0" fontId="6" fillId="4" borderId="1" xfId="0" applyFont="1" applyFill="1" applyBorder="1"/>
    <xf numFmtId="0" fontId="10" fillId="0" borderId="0" xfId="0" applyFont="1"/>
    <xf numFmtId="0" fontId="8" fillId="0" borderId="1" xfId="0" applyFont="1" applyBorder="1"/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/>
    <xf numFmtId="0" fontId="8" fillId="0" borderId="0" xfId="0" applyFont="1"/>
    <xf numFmtId="0" fontId="4" fillId="0" borderId="0" xfId="0" applyFont="1"/>
    <xf numFmtId="0" fontId="4" fillId="4" borderId="0" xfId="0" applyFont="1" applyFill="1"/>
    <xf numFmtId="0" fontId="4" fillId="0" borderId="0" xfId="0" applyFont="1" applyAlignment="1">
      <alignment wrapText="1"/>
    </xf>
    <xf numFmtId="0" fontId="6" fillId="0" borderId="0" xfId="0" applyFont="1" applyAlignment="1">
      <alignment horizontal="left" vertical="top"/>
    </xf>
    <xf numFmtId="0" fontId="6" fillId="0" borderId="0" xfId="0" applyFont="1"/>
    <xf numFmtId="0" fontId="6" fillId="4" borderId="0" xfId="0" applyFont="1" applyFill="1"/>
    <xf numFmtId="0" fontId="4" fillId="7" borderId="1" xfId="0" applyFont="1" applyFill="1" applyBorder="1" applyAlignment="1">
      <alignment horizontal="left" vertical="center"/>
    </xf>
    <xf numFmtId="0" fontId="0" fillId="7" borderId="0" xfId="0" applyFill="1"/>
    <xf numFmtId="0" fontId="4" fillId="7" borderId="0" xfId="0" applyFont="1" applyFill="1"/>
    <xf numFmtId="0" fontId="4" fillId="0" borderId="6" xfId="0" applyFont="1" applyBorder="1"/>
    <xf numFmtId="0" fontId="6" fillId="6" borderId="4" xfId="1" applyFont="1"/>
    <xf numFmtId="0" fontId="6" fillId="0" borderId="1" xfId="0" quotePrefix="1" applyFont="1" applyBorder="1" applyAlignment="1">
      <alignment horizontal="left" vertical="top" wrapText="1"/>
    </xf>
    <xf numFmtId="0" fontId="0" fillId="0" borderId="1" xfId="0" applyBorder="1"/>
    <xf numFmtId="0" fontId="4" fillId="6" borderId="4" xfId="1" applyFont="1"/>
    <xf numFmtId="0" fontId="15" fillId="0" borderId="1" xfId="0" applyFont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0" xfId="0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12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wrapText="1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justify" vertical="center" wrapText="1"/>
    </xf>
    <xf numFmtId="0" fontId="18" fillId="0" borderId="11" xfId="0" applyFont="1" applyBorder="1" applyAlignment="1">
      <alignment horizontal="justify" vertical="center" wrapText="1"/>
    </xf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6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/>
    </xf>
    <xf numFmtId="0" fontId="6" fillId="5" borderId="1" xfId="0" applyFont="1" applyFill="1" applyBorder="1"/>
    <xf numFmtId="0" fontId="0" fillId="5" borderId="0" xfId="0" applyFill="1"/>
    <xf numFmtId="0" fontId="6" fillId="0" borderId="1" xfId="0" applyFont="1" applyBorder="1" applyAlignment="1">
      <alignment horizontal="left" vertical="top" wrapText="1"/>
    </xf>
    <xf numFmtId="0" fontId="6" fillId="5" borderId="1" xfId="0" applyFont="1" applyFill="1" applyBorder="1" applyAlignment="1">
      <alignment wrapText="1"/>
    </xf>
    <xf numFmtId="0" fontId="20" fillId="0" borderId="0" xfId="0" applyFont="1"/>
    <xf numFmtId="0" fontId="1" fillId="4" borderId="1" xfId="0" applyFont="1" applyFill="1" applyBorder="1" applyAlignment="1">
      <alignment vertical="top" wrapText="1"/>
    </xf>
    <xf numFmtId="0" fontId="4" fillId="5" borderId="1" xfId="0" applyFont="1" applyFill="1" applyBorder="1"/>
    <xf numFmtId="0" fontId="4" fillId="5" borderId="1" xfId="0" applyFont="1" applyFill="1" applyBorder="1" applyAlignment="1">
      <alignment wrapText="1"/>
    </xf>
    <xf numFmtId="0" fontId="13" fillId="0" borderId="1" xfId="0" applyFont="1" applyBorder="1"/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vertical="center"/>
    </xf>
    <xf numFmtId="0" fontId="0" fillId="10" borderId="0" xfId="0" applyFill="1"/>
    <xf numFmtId="0" fontId="23" fillId="10" borderId="1" xfId="0" applyFont="1" applyFill="1" applyBorder="1" applyAlignment="1">
      <alignment horizontal="center"/>
    </xf>
    <xf numFmtId="0" fontId="0" fillId="12" borderId="0" xfId="0" applyFill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29" fillId="0" borderId="1" xfId="0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/>
    </xf>
    <xf numFmtId="0" fontId="21" fillId="0" borderId="0" xfId="0" applyFont="1" applyAlignment="1">
      <alignment vertical="top" wrapText="1"/>
    </xf>
    <xf numFmtId="0" fontId="29" fillId="5" borderId="3" xfId="0" applyFont="1" applyFill="1" applyBorder="1" applyAlignment="1">
      <alignment horizontal="left" vertical="center" wrapText="1"/>
    </xf>
    <xf numFmtId="0" fontId="29" fillId="5" borderId="1" xfId="0" applyFont="1" applyFill="1" applyBorder="1" applyAlignment="1">
      <alignment horizontal="left" vertical="top" wrapText="1"/>
    </xf>
    <xf numFmtId="0" fontId="29" fillId="16" borderId="1" xfId="0" applyFont="1" applyFill="1" applyBorder="1" applyAlignment="1">
      <alignment horizontal="left" vertical="center" wrapText="1"/>
    </xf>
    <xf numFmtId="0" fontId="31" fillId="16" borderId="1" xfId="0" applyFont="1" applyFill="1" applyBorder="1" applyAlignment="1">
      <alignment horizontal="left" vertical="center" wrapText="1"/>
    </xf>
    <xf numFmtId="0" fontId="29" fillId="16" borderId="1" xfId="0" applyFont="1" applyFill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/>
    </xf>
    <xf numFmtId="0" fontId="29" fillId="16" borderId="1" xfId="0" applyFont="1" applyFill="1" applyBorder="1" applyAlignment="1">
      <alignment horizontal="center" vertical="center" wrapText="1"/>
    </xf>
    <xf numFmtId="0" fontId="31" fillId="16" borderId="1" xfId="0" applyFont="1" applyFill="1" applyBorder="1" applyAlignment="1">
      <alignment horizontal="center" vertical="center" wrapText="1"/>
    </xf>
    <xf numFmtId="0" fontId="28" fillId="16" borderId="1" xfId="0" applyFont="1" applyFill="1" applyBorder="1" applyAlignment="1">
      <alignment horizontal="center" vertical="center" wrapText="1"/>
    </xf>
    <xf numFmtId="0" fontId="34" fillId="16" borderId="1" xfId="0" applyFont="1" applyFill="1" applyBorder="1" applyAlignment="1">
      <alignment horizontal="center" vertical="top" wrapText="1"/>
    </xf>
    <xf numFmtId="0" fontId="29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10" fillId="0" borderId="0" xfId="0" applyFont="1" applyAlignment="1">
      <alignment vertical="top"/>
    </xf>
    <xf numFmtId="0" fontId="10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1" fillId="0" borderId="1" xfId="0" quotePrefix="1" applyFont="1" applyBorder="1" applyAlignment="1">
      <alignment horizontal="left" vertical="top" wrapText="1"/>
    </xf>
    <xf numFmtId="0" fontId="25" fillId="5" borderId="1" xfId="0" applyFont="1" applyFill="1" applyBorder="1" applyAlignment="1">
      <alignment horizontal="center" vertical="center" wrapText="1"/>
    </xf>
    <xf numFmtId="0" fontId="37" fillId="17" borderId="1" xfId="0" applyFont="1" applyFill="1" applyBorder="1" applyAlignment="1">
      <alignment horizontal="center" vertical="center" wrapText="1"/>
    </xf>
    <xf numFmtId="0" fontId="38" fillId="5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wrapText="1"/>
    </xf>
    <xf numFmtId="0" fontId="1" fillId="0" borderId="1" xfId="0" applyFont="1" applyBorder="1" applyAlignment="1">
      <alignment vertical="top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10" fillId="4" borderId="0" xfId="0" applyFont="1" applyFill="1" applyAlignment="1">
      <alignment horizontal="center"/>
    </xf>
    <xf numFmtId="0" fontId="41" fillId="0" borderId="1" xfId="0" applyFont="1" applyBorder="1" applyAlignment="1">
      <alignment horizontal="left" wrapText="1"/>
    </xf>
    <xf numFmtId="0" fontId="43" fillId="2" borderId="1" xfId="0" applyFont="1" applyFill="1" applyBorder="1"/>
    <xf numFmtId="0" fontId="41" fillId="0" borderId="0" xfId="0" applyFont="1" applyAlignment="1">
      <alignment wrapText="1"/>
    </xf>
    <xf numFmtId="0" fontId="43" fillId="2" borderId="1" xfId="0" applyFont="1" applyFill="1" applyBorder="1" applyAlignment="1">
      <alignment horizontal="left" vertical="center"/>
    </xf>
    <xf numFmtId="0" fontId="41" fillId="0" borderId="1" xfId="0" applyFont="1" applyBorder="1"/>
    <xf numFmtId="0" fontId="45" fillId="0" borderId="0" xfId="0" applyFont="1"/>
    <xf numFmtId="0" fontId="41" fillId="0" borderId="12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41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43" fillId="0" borderId="12" xfId="0" applyFont="1" applyBorder="1" applyAlignment="1">
      <alignment wrapText="1"/>
    </xf>
    <xf numFmtId="0" fontId="7" fillId="0" borderId="1" xfId="0" applyFont="1" applyBorder="1"/>
    <xf numFmtId="0" fontId="7" fillId="0" borderId="1" xfId="0" applyFont="1" applyBorder="1" applyAlignment="1">
      <alignment horizontal="left" vertical="top"/>
    </xf>
    <xf numFmtId="0" fontId="41" fillId="0" borderId="1" xfId="0" applyFont="1" applyBorder="1" applyAlignment="1">
      <alignment horizontal="left" vertical="top"/>
    </xf>
    <xf numFmtId="0" fontId="43" fillId="5" borderId="1" xfId="0" applyFont="1" applyFill="1" applyBorder="1"/>
    <xf numFmtId="0" fontId="43" fillId="5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wrapText="1"/>
    </xf>
    <xf numFmtId="0" fontId="7" fillId="5" borderId="1" xfId="0" applyFont="1" applyFill="1" applyBorder="1" applyAlignment="1">
      <alignment horizontal="left" vertical="top"/>
    </xf>
    <xf numFmtId="0" fontId="7" fillId="5" borderId="1" xfId="0" applyFont="1" applyFill="1" applyBorder="1"/>
    <xf numFmtId="0" fontId="43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wrapText="1"/>
    </xf>
    <xf numFmtId="0" fontId="41" fillId="5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center"/>
    </xf>
    <xf numFmtId="0" fontId="41" fillId="5" borderId="1" xfId="0" applyFont="1" applyFill="1" applyBorder="1" applyAlignment="1">
      <alignment wrapText="1"/>
    </xf>
    <xf numFmtId="0" fontId="51" fillId="5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51" fillId="0" borderId="1" xfId="0" applyFont="1" applyBorder="1" applyAlignment="1">
      <alignment horizontal="left" vertical="top" wrapText="1"/>
    </xf>
    <xf numFmtId="0" fontId="7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3" fillId="0" borderId="0" xfId="0" applyFont="1"/>
    <xf numFmtId="0" fontId="43" fillId="11" borderId="1" xfId="0" applyFont="1" applyFill="1" applyBorder="1"/>
    <xf numFmtId="0" fontId="43" fillId="11" borderId="1" xfId="0" applyFont="1" applyFill="1" applyBorder="1" applyAlignment="1">
      <alignment wrapText="1"/>
    </xf>
    <xf numFmtId="0" fontId="7" fillId="0" borderId="1" xfId="0" applyFont="1" applyBorder="1" applyAlignment="1">
      <alignment vertical="center"/>
    </xf>
    <xf numFmtId="0" fontId="51" fillId="0" borderId="1" xfId="0" applyFont="1" applyBorder="1" applyAlignment="1">
      <alignment horizontal="center"/>
    </xf>
    <xf numFmtId="0" fontId="41" fillId="0" borderId="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43" fillId="2" borderId="1" xfId="0" applyFont="1" applyFill="1" applyBorder="1" applyAlignment="1">
      <alignment horizontal="left"/>
    </xf>
    <xf numFmtId="0" fontId="43" fillId="2" borderId="1" xfId="0" applyFont="1" applyFill="1" applyBorder="1" applyAlignment="1">
      <alignment horizontal="left" vertical="center" wrapText="1"/>
    </xf>
    <xf numFmtId="0" fontId="43" fillId="0" borderId="1" xfId="0" applyFont="1" applyBorder="1" applyAlignment="1">
      <alignment horizontal="left" vertical="center" wrapText="1"/>
    </xf>
    <xf numFmtId="0" fontId="43" fillId="0" borderId="1" xfId="0" applyFont="1" applyBorder="1" applyAlignment="1">
      <alignment horizontal="left" vertical="center"/>
    </xf>
    <xf numFmtId="0" fontId="41" fillId="0" borderId="1" xfId="0" quotePrefix="1" applyFont="1" applyBorder="1" applyAlignment="1">
      <alignment horizontal="center" vertical="center" wrapText="1"/>
    </xf>
    <xf numFmtId="0" fontId="7" fillId="5" borderId="0" xfId="0" applyFont="1" applyFill="1"/>
    <xf numFmtId="0" fontId="7" fillId="0" borderId="1" xfId="0" applyFont="1" applyBorder="1" applyAlignment="1">
      <alignment vertical="center" wrapText="1"/>
    </xf>
    <xf numFmtId="0" fontId="7" fillId="0" borderId="0" xfId="0" applyFont="1"/>
    <xf numFmtId="0" fontId="42" fillId="9" borderId="0" xfId="0" applyFont="1" applyFill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43" fillId="2" borderId="1" xfId="0" applyFont="1" applyFill="1" applyBorder="1" applyAlignment="1">
      <alignment vertical="center" wrapText="1"/>
    </xf>
    <xf numFmtId="0" fontId="41" fillId="5" borderId="1" xfId="0" applyFont="1" applyFill="1" applyBorder="1"/>
    <xf numFmtId="0" fontId="7" fillId="0" borderId="1" xfId="0" quotePrefix="1" applyFont="1" applyBorder="1" applyAlignment="1">
      <alignment wrapText="1"/>
    </xf>
    <xf numFmtId="0" fontId="41" fillId="5" borderId="1" xfId="0" applyFont="1" applyFill="1" applyBorder="1" applyAlignment="1">
      <alignment horizontal="left" vertical="top"/>
    </xf>
    <xf numFmtId="0" fontId="41" fillId="5" borderId="1" xfId="0" applyFont="1" applyFill="1" applyBorder="1" applyAlignment="1">
      <alignment horizontal="center" vertical="top" wrapText="1"/>
    </xf>
    <xf numFmtId="0" fontId="41" fillId="0" borderId="1" xfId="0" quotePrefix="1" applyFont="1" applyBorder="1" applyAlignment="1">
      <alignment wrapText="1"/>
    </xf>
    <xf numFmtId="0" fontId="41" fillId="0" borderId="1" xfId="0" applyFont="1" applyBorder="1" applyAlignment="1">
      <alignment horizontal="center" vertical="top" wrapText="1"/>
    </xf>
    <xf numFmtId="0" fontId="7" fillId="0" borderId="12" xfId="0" applyFont="1" applyBorder="1" applyAlignment="1">
      <alignment wrapText="1"/>
    </xf>
    <xf numFmtId="0" fontId="7" fillId="0" borderId="0" xfId="0" applyFont="1" applyAlignment="1">
      <alignment vertical="center"/>
    </xf>
    <xf numFmtId="0" fontId="7" fillId="5" borderId="0" xfId="0" applyFont="1" applyFill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11" borderId="1" xfId="0" applyFont="1" applyFill="1" applyBorder="1"/>
    <xf numFmtId="0" fontId="7" fillId="0" borderId="1" xfId="0" applyFont="1" applyBorder="1" applyAlignment="1">
      <alignment vertical="top"/>
    </xf>
    <xf numFmtId="0" fontId="41" fillId="0" borderId="1" xfId="0" applyFont="1" applyBorder="1" applyAlignment="1">
      <alignment vertical="center"/>
    </xf>
    <xf numFmtId="0" fontId="41" fillId="0" borderId="1" xfId="0" applyFont="1" applyBorder="1" applyAlignment="1">
      <alignment horizontal="center" wrapText="1"/>
    </xf>
    <xf numFmtId="0" fontId="41" fillId="0" borderId="1" xfId="0" applyFont="1" applyBorder="1" applyAlignment="1">
      <alignment vertical="top" wrapText="1"/>
    </xf>
    <xf numFmtId="0" fontId="41" fillId="0" borderId="0" xfId="0" applyFont="1"/>
    <xf numFmtId="0" fontId="41" fillId="0" borderId="13" xfId="0" applyFont="1" applyBorder="1" applyAlignment="1">
      <alignment wrapText="1"/>
    </xf>
    <xf numFmtId="0" fontId="7" fillId="5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3" fillId="2" borderId="1" xfId="0" applyFont="1" applyFill="1" applyBorder="1" applyAlignment="1">
      <alignment horizontal="left" vertical="top" wrapText="1"/>
    </xf>
    <xf numFmtId="0" fontId="7" fillId="0" borderId="0" xfId="0" applyFont="1" applyAlignment="1">
      <alignment horizontal="center" vertical="center"/>
    </xf>
    <xf numFmtId="0" fontId="43" fillId="2" borderId="1" xfId="0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7" fillId="4" borderId="0" xfId="0" applyFont="1" applyFill="1"/>
    <xf numFmtId="0" fontId="41" fillId="5" borderId="1" xfId="0" applyFont="1" applyFill="1" applyBorder="1" applyAlignment="1">
      <alignment horizontal="center" vertical="center" wrapText="1"/>
    </xf>
    <xf numFmtId="0" fontId="7" fillId="3" borderId="0" xfId="0" applyFont="1" applyFill="1"/>
    <xf numFmtId="0" fontId="41" fillId="0" borderId="0" xfId="0" applyFont="1" applyAlignment="1">
      <alignment horizontal="center" vertical="center"/>
    </xf>
    <xf numFmtId="0" fontId="41" fillId="5" borderId="1" xfId="0" applyFont="1" applyFill="1" applyBorder="1" applyAlignment="1">
      <alignment horizontal="left" vertical="center" wrapText="1"/>
    </xf>
    <xf numFmtId="0" fontId="41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/>
    <xf numFmtId="0" fontId="54" fillId="0" borderId="0" xfId="0" applyFont="1"/>
    <xf numFmtId="0" fontId="49" fillId="0" borderId="0" xfId="0" applyFont="1"/>
    <xf numFmtId="0" fontId="41" fillId="5" borderId="0" xfId="0" applyFont="1" applyFill="1" applyAlignment="1">
      <alignment horizontal="center" vertical="center" wrapText="1"/>
    </xf>
    <xf numFmtId="0" fontId="7" fillId="5" borderId="1" xfId="0" applyFont="1" applyFill="1" applyBorder="1" applyAlignment="1">
      <alignment horizontal="left"/>
    </xf>
    <xf numFmtId="0" fontId="41" fillId="18" borderId="0" xfId="0" applyFont="1" applyFill="1"/>
    <xf numFmtId="0" fontId="0" fillId="5" borderId="0" xfId="0" applyFill="1" applyAlignment="1">
      <alignment horizontal="left"/>
    </xf>
    <xf numFmtId="0" fontId="0" fillId="5" borderId="0" xfId="0" applyFill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53" fillId="0" borderId="1" xfId="0" applyFont="1" applyBorder="1" applyAlignment="1">
      <alignment horizontal="left" vertical="top" wrapText="1"/>
    </xf>
    <xf numFmtId="0" fontId="53" fillId="0" borderId="1" xfId="0" applyFont="1" applyBorder="1" applyAlignment="1">
      <alignment horizontal="left" vertical="center" wrapText="1"/>
    </xf>
    <xf numFmtId="0" fontId="7" fillId="18" borderId="1" xfId="0" applyFont="1" applyFill="1" applyBorder="1" applyAlignment="1">
      <alignment horizontal="center" vertical="center"/>
    </xf>
    <xf numFmtId="0" fontId="43" fillId="2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41" fillId="0" borderId="5" xfId="0" applyFont="1" applyBorder="1" applyAlignment="1">
      <alignment horizontal="center" vertical="center"/>
    </xf>
    <xf numFmtId="0" fontId="41" fillId="5" borderId="1" xfId="0" applyFont="1" applyFill="1" applyBorder="1" applyAlignment="1">
      <alignment horizontal="center" vertical="center"/>
    </xf>
    <xf numFmtId="0" fontId="41" fillId="18" borderId="1" xfId="0" applyFont="1" applyFill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58" fillId="0" borderId="1" xfId="0" applyFont="1" applyBorder="1" applyAlignment="1">
      <alignment horizontal="left" wrapText="1"/>
    </xf>
    <xf numFmtId="0" fontId="59" fillId="0" borderId="1" xfId="0" applyFont="1" applyBorder="1" applyAlignment="1">
      <alignment horizontal="left" wrapText="1"/>
    </xf>
    <xf numFmtId="0" fontId="0" fillId="5" borderId="0" xfId="0" applyFill="1" applyAlignment="1">
      <alignment horizontal="left" vertical="top"/>
    </xf>
    <xf numFmtId="0" fontId="62" fillId="0" borderId="1" xfId="0" applyFont="1" applyBorder="1" applyAlignment="1">
      <alignment vertical="center" wrapText="1"/>
    </xf>
    <xf numFmtId="0" fontId="0" fillId="5" borderId="0" xfId="0" applyFill="1" applyAlignment="1">
      <alignment wrapText="1"/>
    </xf>
    <xf numFmtId="0" fontId="7" fillId="2" borderId="1" xfId="0" applyFont="1" applyFill="1" applyBorder="1" applyAlignment="1">
      <alignment wrapText="1"/>
    </xf>
    <xf numFmtId="0" fontId="64" fillId="0" borderId="0" xfId="0" applyFont="1"/>
    <xf numFmtId="0" fontId="65" fillId="0" borderId="0" xfId="0" applyFont="1"/>
    <xf numFmtId="0" fontId="65" fillId="0" borderId="0" xfId="0" applyFont="1" applyAlignment="1">
      <alignment wrapText="1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vertical="center"/>
    </xf>
    <xf numFmtId="0" fontId="65" fillId="0" borderId="0" xfId="0" applyFont="1" applyAlignment="1">
      <alignment horizontal="center" vertical="center"/>
    </xf>
    <xf numFmtId="0" fontId="67" fillId="0" borderId="0" xfId="0" applyFont="1" applyAlignment="1">
      <alignment wrapText="1"/>
    </xf>
    <xf numFmtId="0" fontId="65" fillId="4" borderId="0" xfId="0" applyFont="1" applyFill="1" applyAlignment="1">
      <alignment horizontal="center"/>
    </xf>
    <xf numFmtId="0" fontId="43" fillId="10" borderId="1" xfId="0" applyFont="1" applyFill="1" applyBorder="1" applyAlignment="1">
      <alignment horizontal="center"/>
    </xf>
    <xf numFmtId="0" fontId="7" fillId="10" borderId="0" xfId="0" applyFont="1" applyFill="1"/>
    <xf numFmtId="0" fontId="43" fillId="10" borderId="1" xfId="0" applyFont="1" applyFill="1" applyBorder="1" applyAlignment="1">
      <alignment horizontal="center" wrapText="1"/>
    </xf>
    <xf numFmtId="0" fontId="43" fillId="10" borderId="6" xfId="0" applyFont="1" applyFill="1" applyBorder="1" applyAlignment="1">
      <alignment horizontal="center"/>
    </xf>
    <xf numFmtId="0" fontId="7" fillId="12" borderId="0" xfId="0" applyFont="1" applyFill="1"/>
    <xf numFmtId="0" fontId="43" fillId="13" borderId="1" xfId="0" applyFont="1" applyFill="1" applyBorder="1"/>
    <xf numFmtId="0" fontId="43" fillId="14" borderId="1" xfId="0" applyFont="1" applyFill="1" applyBorder="1"/>
    <xf numFmtId="0" fontId="7" fillId="15" borderId="1" xfId="0" applyFont="1" applyFill="1" applyBorder="1"/>
    <xf numFmtId="0" fontId="7" fillId="4" borderId="1" xfId="0" applyFont="1" applyFill="1" applyBorder="1"/>
    <xf numFmtId="0" fontId="43" fillId="14" borderId="1" xfId="0" applyFont="1" applyFill="1" applyBorder="1" applyAlignment="1">
      <alignment horizontal="left"/>
    </xf>
    <xf numFmtId="0" fontId="7" fillId="15" borderId="1" xfId="0" applyFont="1" applyFill="1" applyBorder="1" applyAlignment="1">
      <alignment horizontal="left"/>
    </xf>
    <xf numFmtId="2" fontId="7" fillId="15" borderId="1" xfId="0" applyNumberFormat="1" applyFont="1" applyFill="1" applyBorder="1" applyAlignment="1">
      <alignment horizontal="left"/>
    </xf>
    <xf numFmtId="2" fontId="7" fillId="0" borderId="1" xfId="0" applyNumberFormat="1" applyFont="1" applyBorder="1" applyAlignment="1">
      <alignment horizontal="left"/>
    </xf>
    <xf numFmtId="0" fontId="68" fillId="0" borderId="0" xfId="0" applyFont="1"/>
    <xf numFmtId="0" fontId="43" fillId="2" borderId="1" xfId="0" applyFont="1" applyFill="1" applyBorder="1" applyAlignment="1">
      <alignment horizontal="left" wrapText="1"/>
    </xf>
    <xf numFmtId="0" fontId="42" fillId="0" borderId="1" xfId="0" applyFont="1" applyBorder="1" applyAlignment="1">
      <alignment vertical="center" wrapText="1"/>
    </xf>
    <xf numFmtId="0" fontId="7" fillId="0" borderId="3" xfId="0" applyFont="1" applyBorder="1"/>
    <xf numFmtId="0" fontId="7" fillId="0" borderId="3" xfId="0" applyFont="1" applyBorder="1" applyAlignment="1">
      <alignment horizontal="left" vertical="top"/>
    </xf>
    <xf numFmtId="0" fontId="70" fillId="5" borderId="0" xfId="0" applyFont="1" applyFill="1"/>
    <xf numFmtId="0" fontId="71" fillId="2" borderId="1" xfId="0" applyFont="1" applyFill="1" applyBorder="1" applyAlignment="1">
      <alignment horizontal="left" vertical="center" wrapText="1"/>
    </xf>
    <xf numFmtId="0" fontId="71" fillId="2" borderId="1" xfId="0" applyFont="1" applyFill="1" applyBorder="1" applyAlignment="1">
      <alignment horizontal="center" vertical="center"/>
    </xf>
    <xf numFmtId="0" fontId="71" fillId="2" borderId="1" xfId="0" applyFont="1" applyFill="1" applyBorder="1" applyAlignment="1">
      <alignment horizontal="left" wrapText="1"/>
    </xf>
    <xf numFmtId="0" fontId="71" fillId="2" borderId="1" xfId="0" applyFont="1" applyFill="1" applyBorder="1"/>
    <xf numFmtId="0" fontId="72" fillId="0" borderId="0" xfId="0" applyFont="1" applyAlignment="1">
      <alignment wrapText="1"/>
    </xf>
    <xf numFmtId="0" fontId="71" fillId="2" borderId="1" xfId="0" applyFont="1" applyFill="1" applyBorder="1" applyAlignment="1">
      <alignment horizontal="center" vertical="center" wrapText="1"/>
    </xf>
    <xf numFmtId="0" fontId="71" fillId="2" borderId="3" xfId="0" applyFont="1" applyFill="1" applyBorder="1" applyAlignment="1">
      <alignment horizontal="center" vertical="center"/>
    </xf>
    <xf numFmtId="0" fontId="70" fillId="0" borderId="1" xfId="0" applyFont="1" applyBorder="1"/>
    <xf numFmtId="0" fontId="70" fillId="0" borderId="5" xfId="0" applyFont="1" applyBorder="1"/>
    <xf numFmtId="0" fontId="70" fillId="0" borderId="1" xfId="0" applyFont="1" applyBorder="1" applyAlignment="1">
      <alignment horizontal="left" vertical="top" wrapText="1"/>
    </xf>
    <xf numFmtId="0" fontId="70" fillId="0" borderId="1" xfId="0" applyFont="1" applyBorder="1" applyAlignment="1">
      <alignment horizontal="left" vertical="center"/>
    </xf>
    <xf numFmtId="0" fontId="76" fillId="0" borderId="1" xfId="0" applyFont="1" applyBorder="1"/>
    <xf numFmtId="0" fontId="71" fillId="2" borderId="1" xfId="0" applyFont="1" applyFill="1" applyBorder="1" applyAlignment="1">
      <alignment horizontal="left" vertical="center"/>
    </xf>
    <xf numFmtId="0" fontId="71" fillId="2" borderId="1" xfId="0" applyFont="1" applyFill="1" applyBorder="1" applyAlignment="1">
      <alignment horizontal="left"/>
    </xf>
    <xf numFmtId="0" fontId="70" fillId="0" borderId="1" xfId="0" applyFont="1" applyBorder="1" applyAlignment="1">
      <alignment vertical="center" wrapText="1"/>
    </xf>
    <xf numFmtId="0" fontId="74" fillId="5" borderId="0" xfId="0" applyFont="1" applyFill="1"/>
    <xf numFmtId="0" fontId="78" fillId="0" borderId="0" xfId="0" applyFont="1" applyAlignment="1">
      <alignment wrapText="1"/>
    </xf>
    <xf numFmtId="0" fontId="75" fillId="0" borderId="0" xfId="0" applyFont="1" applyAlignment="1">
      <alignment wrapText="1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left" wrapText="1"/>
    </xf>
    <xf numFmtId="0" fontId="45" fillId="0" borderId="1" xfId="0" applyFont="1" applyBorder="1" applyAlignment="1">
      <alignment horizontal="left" vertical="top"/>
    </xf>
    <xf numFmtId="0" fontId="43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left" vertical="top" wrapText="1"/>
    </xf>
    <xf numFmtId="0" fontId="41" fillId="0" borderId="1" xfId="0" quotePrefix="1" applyFont="1" applyBorder="1" applyAlignment="1">
      <alignment horizontal="left" vertical="top" wrapText="1"/>
    </xf>
    <xf numFmtId="0" fontId="43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horizontal="left" wrapText="1"/>
    </xf>
    <xf numFmtId="0" fontId="45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left"/>
    </xf>
    <xf numFmtId="0" fontId="7" fillId="0" borderId="1" xfId="0" quotePrefix="1" applyFont="1" applyBorder="1" applyAlignment="1">
      <alignment horizontal="left"/>
    </xf>
    <xf numFmtId="0" fontId="46" fillId="0" borderId="1" xfId="0" applyFont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left" wrapText="1"/>
    </xf>
    <xf numFmtId="0" fontId="45" fillId="0" borderId="1" xfId="0" applyFont="1" applyBorder="1" applyAlignment="1">
      <alignment horizontal="left" vertical="center" wrapText="1"/>
    </xf>
    <xf numFmtId="0" fontId="45" fillId="0" borderId="1" xfId="0" applyFont="1" applyBorder="1" applyAlignment="1">
      <alignment horizontal="left" vertical="top" wrapText="1"/>
    </xf>
    <xf numFmtId="0" fontId="43" fillId="2" borderId="14" xfId="0" applyFont="1" applyFill="1" applyBorder="1" applyAlignment="1">
      <alignment horizontal="center" vertical="center"/>
    </xf>
    <xf numFmtId="0" fontId="70" fillId="0" borderId="0" xfId="0" applyFont="1"/>
    <xf numFmtId="0" fontId="1" fillId="0" borderId="0" xfId="0" applyFont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43" fillId="0" borderId="13" xfId="0" applyFont="1" applyBorder="1" applyAlignment="1">
      <alignment horizontal="center" wrapText="1"/>
    </xf>
    <xf numFmtId="0" fontId="43" fillId="0" borderId="0" xfId="0" applyFont="1" applyAlignment="1">
      <alignment horizontal="center" wrapText="1"/>
    </xf>
    <xf numFmtId="0" fontId="7" fillId="5" borderId="0" xfId="0" applyFont="1" applyFill="1" applyAlignment="1">
      <alignment wrapText="1"/>
    </xf>
    <xf numFmtId="0" fontId="7" fillId="5" borderId="0" xfId="0" applyFont="1" applyFill="1" applyAlignment="1">
      <alignment horizontal="center" vertical="center" wrapText="1"/>
    </xf>
    <xf numFmtId="0" fontId="70" fillId="0" borderId="0" xfId="0" applyFont="1" applyAlignment="1">
      <alignment vertical="center" wrapText="1"/>
    </xf>
    <xf numFmtId="0" fontId="1" fillId="0" borderId="16" xfId="0" applyFont="1" applyBorder="1"/>
    <xf numFmtId="9" fontId="45" fillId="0" borderId="1" xfId="2" applyFont="1" applyFill="1" applyBorder="1" applyAlignment="1">
      <alignment horizontal="center" vertical="center" wrapText="1"/>
    </xf>
    <xf numFmtId="9" fontId="50" fillId="0" borderId="1" xfId="2" applyFont="1" applyFill="1" applyBorder="1" applyAlignment="1">
      <alignment horizontal="center" vertical="center" wrapText="1"/>
    </xf>
    <xf numFmtId="9" fontId="45" fillId="0" borderId="1" xfId="2" quotePrefix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top"/>
    </xf>
    <xf numFmtId="0" fontId="0" fillId="0" borderId="1" xfId="0" quotePrefix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53" fillId="0" borderId="1" xfId="0" applyFont="1" applyBorder="1" applyAlignment="1">
      <alignment vertical="top"/>
    </xf>
    <xf numFmtId="0" fontId="79" fillId="0" borderId="1" xfId="0" applyFont="1" applyBorder="1" applyAlignment="1">
      <alignment horizontal="center" vertical="center" wrapText="1"/>
    </xf>
    <xf numFmtId="0" fontId="79" fillId="0" borderId="1" xfId="0" applyFont="1" applyBorder="1" applyAlignment="1">
      <alignment horizontal="center" vertical="center"/>
    </xf>
    <xf numFmtId="0" fontId="79" fillId="0" borderId="1" xfId="0" applyFont="1" applyBorder="1" applyAlignment="1">
      <alignment horizontal="left" wrapText="1"/>
    </xf>
    <xf numFmtId="0" fontId="53" fillId="0" borderId="1" xfId="0" applyFont="1" applyBorder="1" applyAlignment="1">
      <alignment horizontal="left"/>
    </xf>
    <xf numFmtId="0" fontId="6" fillId="5" borderId="0" xfId="0" applyFont="1" applyFill="1"/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/>
    <xf numFmtId="0" fontId="4" fillId="0" borderId="1" xfId="0" applyFont="1" applyBorder="1" applyAlignment="1">
      <alignment horizontal="left" vertical="top"/>
    </xf>
    <xf numFmtId="0" fontId="4" fillId="4" borderId="1" xfId="0" applyFont="1" applyFill="1" applyBorder="1" applyAlignment="1">
      <alignment wrapText="1"/>
    </xf>
    <xf numFmtId="0" fontId="4" fillId="4" borderId="0" xfId="0" applyFont="1" applyFill="1" applyAlignment="1">
      <alignment wrapText="1"/>
    </xf>
    <xf numFmtId="0" fontId="43" fillId="2" borderId="1" xfId="0" applyFont="1" applyFill="1" applyBorder="1" applyAlignment="1">
      <alignment horizontal="center" vertical="top"/>
    </xf>
    <xf numFmtId="0" fontId="43" fillId="2" borderId="1" xfId="0" applyFont="1" applyFill="1" applyBorder="1" applyAlignment="1">
      <alignment horizontal="center" vertical="top" wrapText="1"/>
    </xf>
    <xf numFmtId="0" fontId="43" fillId="0" borderId="17" xfId="0" applyFont="1" applyBorder="1" applyAlignment="1">
      <alignment vertical="top" wrapText="1"/>
    </xf>
    <xf numFmtId="0" fontId="45" fillId="0" borderId="0" xfId="0" applyFont="1" applyAlignment="1">
      <alignment horizont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wrapText="1"/>
    </xf>
    <xf numFmtId="0" fontId="43" fillId="0" borderId="0" xfId="0" applyFont="1" applyAlignment="1">
      <alignment horizontal="left" vertical="center" wrapText="1"/>
    </xf>
    <xf numFmtId="0" fontId="43" fillId="0" borderId="0" xfId="0" applyFont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43" fillId="0" borderId="0" xfId="0" applyFont="1" applyAlignment="1">
      <alignment horizontal="left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wrapText="1"/>
    </xf>
    <xf numFmtId="0" fontId="88" fillId="0" borderId="0" xfId="0" applyFont="1" applyAlignment="1">
      <alignment vertical="center"/>
    </xf>
    <xf numFmtId="0" fontId="7" fillId="0" borderId="0" xfId="0" applyFont="1" applyAlignment="1">
      <alignment horizontal="center" wrapText="1"/>
    </xf>
    <xf numFmtId="0" fontId="7" fillId="0" borderId="13" xfId="0" applyFont="1" applyBorder="1" applyAlignment="1">
      <alignment horizontal="left" wrapText="1"/>
    </xf>
    <xf numFmtId="0" fontId="7" fillId="0" borderId="0" xfId="0" applyFont="1" applyAlignment="1">
      <alignment vertical="top"/>
    </xf>
    <xf numFmtId="0" fontId="10" fillId="0" borderId="1" xfId="0" applyFont="1" applyBorder="1" applyAlignment="1">
      <alignment horizontal="left" vertical="top"/>
    </xf>
    <xf numFmtId="0" fontId="43" fillId="2" borderId="5" xfId="0" applyFont="1" applyFill="1" applyBorder="1" applyAlignment="1">
      <alignment horizontal="left" vertical="center"/>
    </xf>
    <xf numFmtId="0" fontId="43" fillId="19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14" fontId="0" fillId="0" borderId="22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1" fillId="0" borderId="3" xfId="0" applyFont="1" applyBorder="1"/>
    <xf numFmtId="0" fontId="42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/>
    </xf>
    <xf numFmtId="0" fontId="42" fillId="0" borderId="12" xfId="0" applyFont="1" applyBorder="1" applyAlignment="1">
      <alignment vertical="center" wrapText="1"/>
    </xf>
    <xf numFmtId="0" fontId="7" fillId="0" borderId="12" xfId="0" applyFont="1" applyBorder="1"/>
    <xf numFmtId="0" fontId="41" fillId="0" borderId="2" xfId="0" applyFont="1" applyBorder="1"/>
    <xf numFmtId="0" fontId="7" fillId="0" borderId="1" xfId="0" applyFont="1" applyBorder="1" applyAlignment="1">
      <alignment vertical="top" wrapText="1"/>
    </xf>
    <xf numFmtId="0" fontId="75" fillId="0" borderId="1" xfId="0" applyFont="1" applyBorder="1" applyAlignment="1">
      <alignment vertical="center"/>
    </xf>
    <xf numFmtId="0" fontId="72" fillId="0" borderId="1" xfId="0" applyFont="1" applyBorder="1"/>
    <xf numFmtId="0" fontId="70" fillId="0" borderId="1" xfId="0" applyFont="1" applyBorder="1" applyAlignment="1">
      <alignment horizontal="left" vertical="top"/>
    </xf>
    <xf numFmtId="0" fontId="70" fillId="0" borderId="1" xfId="0" applyFont="1" applyBorder="1" applyAlignment="1">
      <alignment wrapText="1"/>
    </xf>
    <xf numFmtId="0" fontId="70" fillId="0" borderId="1" xfId="0" applyFont="1" applyBorder="1" applyAlignment="1">
      <alignment horizontal="left"/>
    </xf>
    <xf numFmtId="0" fontId="70" fillId="0" borderId="1" xfId="0" quotePrefix="1" applyFont="1" applyBorder="1" applyAlignment="1">
      <alignment horizontal="center" vertical="center" wrapText="1"/>
    </xf>
    <xf numFmtId="0" fontId="70" fillId="0" borderId="3" xfId="0" applyFont="1" applyBorder="1"/>
    <xf numFmtId="0" fontId="75" fillId="0" borderId="3" xfId="0" applyFont="1" applyBorder="1" applyAlignment="1">
      <alignment vertical="center"/>
    </xf>
    <xf numFmtId="0" fontId="72" fillId="0" borderId="3" xfId="0" applyFont="1" applyBorder="1"/>
    <xf numFmtId="0" fontId="70" fillId="0" borderId="3" xfId="0" applyFont="1" applyBorder="1" applyAlignment="1">
      <alignment horizontal="left" vertical="top"/>
    </xf>
    <xf numFmtId="0" fontId="75" fillId="0" borderId="1" xfId="0" applyFont="1" applyBorder="1"/>
    <xf numFmtId="0" fontId="75" fillId="0" borderId="3" xfId="0" applyFont="1" applyBorder="1"/>
    <xf numFmtId="0" fontId="70" fillId="0" borderId="3" xfId="0" applyFont="1" applyBorder="1" applyAlignment="1">
      <alignment vertical="center" wrapText="1"/>
    </xf>
    <xf numFmtId="0" fontId="72" fillId="0" borderId="3" xfId="0" applyFont="1" applyBorder="1" applyAlignment="1">
      <alignment vertical="center" wrapText="1"/>
    </xf>
    <xf numFmtId="0" fontId="70" fillId="0" borderId="3" xfId="0" applyFont="1" applyBorder="1" applyAlignment="1">
      <alignment horizontal="left" vertical="center"/>
    </xf>
    <xf numFmtId="0" fontId="77" fillId="0" borderId="1" xfId="0" quotePrefix="1" applyFont="1" applyBorder="1"/>
    <xf numFmtId="0" fontId="70" fillId="0" borderId="1" xfId="0" applyFont="1" applyBorder="1" applyAlignment="1">
      <alignment horizontal="left" vertical="center" wrapText="1"/>
    </xf>
    <xf numFmtId="0" fontId="70" fillId="0" borderId="1" xfId="0" applyFont="1" applyBorder="1" applyAlignment="1">
      <alignment vertical="center"/>
    </xf>
    <xf numFmtId="0" fontId="45" fillId="0" borderId="1" xfId="0" applyFont="1" applyBorder="1" applyAlignment="1">
      <alignment wrapText="1"/>
    </xf>
    <xf numFmtId="0" fontId="45" fillId="0" borderId="1" xfId="0" applyFont="1" applyBorder="1"/>
    <xf numFmtId="0" fontId="49" fillId="0" borderId="1" xfId="0" applyFont="1" applyBorder="1" applyAlignment="1">
      <alignment wrapText="1"/>
    </xf>
    <xf numFmtId="0" fontId="24" fillId="0" borderId="1" xfId="0" quotePrefix="1" applyFont="1" applyBorder="1" applyAlignment="1">
      <alignment horizontal="left" vertical="top"/>
    </xf>
    <xf numFmtId="0" fontId="24" fillId="0" borderId="1" xfId="0" applyFont="1" applyBorder="1" applyAlignment="1">
      <alignment horizontal="left" vertical="top"/>
    </xf>
    <xf numFmtId="0" fontId="7" fillId="0" borderId="12" xfId="0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" xfId="0" quotePrefix="1" applyFont="1" applyBorder="1" applyAlignment="1">
      <alignment horizontal="left" vertical="top"/>
    </xf>
    <xf numFmtId="0" fontId="7" fillId="0" borderId="17" xfId="0" applyFont="1" applyBorder="1" applyAlignment="1">
      <alignment vertical="top" wrapText="1"/>
    </xf>
    <xf numFmtId="0" fontId="7" fillId="0" borderId="18" xfId="0" applyFont="1" applyBorder="1" applyAlignment="1">
      <alignment vertical="top" wrapText="1"/>
    </xf>
    <xf numFmtId="0" fontId="88" fillId="0" borderId="1" xfId="0" applyFont="1" applyBorder="1" applyAlignment="1">
      <alignment vertical="center"/>
    </xf>
    <xf numFmtId="0" fontId="43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center" wrapText="1"/>
    </xf>
    <xf numFmtId="0" fontId="46" fillId="0" borderId="1" xfId="0" applyFont="1" applyBorder="1" applyAlignment="1">
      <alignment vertical="center" wrapText="1"/>
    </xf>
    <xf numFmtId="0" fontId="0" fillId="0" borderId="0" xfId="0" applyAlignment="1">
      <alignment horizontal="left" wrapText="1"/>
    </xf>
    <xf numFmtId="0" fontId="72" fillId="0" borderId="1" xfId="0" applyFont="1" applyBorder="1" applyAlignment="1">
      <alignment wrapText="1"/>
    </xf>
    <xf numFmtId="164" fontId="0" fillId="0" borderId="1" xfId="0" applyNumberFormat="1" applyBorder="1"/>
    <xf numFmtId="0" fontId="7" fillId="0" borderId="12" xfId="0" applyFont="1" applyBorder="1" applyAlignment="1">
      <alignment horizontal="left" wrapText="1"/>
    </xf>
    <xf numFmtId="0" fontId="43" fillId="0" borderId="1" xfId="0" applyFont="1" applyBorder="1" applyAlignment="1">
      <alignment vertical="top" wrapText="1"/>
    </xf>
    <xf numFmtId="0" fontId="8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0" fillId="0" borderId="27" xfId="0" applyNumberFormat="1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/>
    </xf>
    <xf numFmtId="0" fontId="76" fillId="0" borderId="1" xfId="0" applyFont="1" applyBorder="1" applyAlignment="1">
      <alignment wrapText="1"/>
    </xf>
    <xf numFmtId="0" fontId="43" fillId="2" borderId="14" xfId="0" applyFont="1" applyFill="1" applyBorder="1" applyAlignment="1">
      <alignment horizontal="left" vertical="center"/>
    </xf>
    <xf numFmtId="0" fontId="43" fillId="2" borderId="14" xfId="0" applyFont="1" applyFill="1" applyBorder="1"/>
    <xf numFmtId="0" fontId="7" fillId="0" borderId="0" xfId="0" applyFont="1" applyAlignment="1">
      <alignment horizontal="left" vertical="top"/>
    </xf>
    <xf numFmtId="0" fontId="4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86" fillId="0" borderId="1" xfId="0" applyFont="1" applyBorder="1" applyAlignment="1">
      <alignment horizontal="left" vertical="top" wrapText="1"/>
    </xf>
    <xf numFmtId="0" fontId="50" fillId="0" borderId="1" xfId="0" applyFont="1" applyBorder="1" applyAlignment="1">
      <alignment horizontal="left" vertical="top" wrapText="1"/>
    </xf>
    <xf numFmtId="0" fontId="41" fillId="0" borderId="1" xfId="0" applyFont="1" applyBorder="1" applyAlignment="1">
      <alignment horizontal="left" vertical="center"/>
    </xf>
    <xf numFmtId="0" fontId="45" fillId="0" borderId="1" xfId="0" applyFont="1" applyBorder="1" applyAlignment="1">
      <alignment vertical="top" wrapText="1"/>
    </xf>
    <xf numFmtId="0" fontId="50" fillId="0" borderId="1" xfId="0" applyFont="1" applyBorder="1" applyAlignment="1">
      <alignment vertical="top" wrapText="1"/>
    </xf>
    <xf numFmtId="0" fontId="45" fillId="0" borderId="1" xfId="0" quotePrefix="1" applyFont="1" applyBorder="1" applyAlignment="1">
      <alignment horizontal="center" vertical="center" wrapText="1"/>
    </xf>
    <xf numFmtId="0" fontId="87" fillId="0" borderId="1" xfId="0" applyFont="1" applyBorder="1" applyAlignment="1">
      <alignment horizontal="left" vertical="top" wrapText="1"/>
    </xf>
    <xf numFmtId="0" fontId="80" fillId="0" borderId="1" xfId="0" applyFont="1" applyBorder="1" applyAlignment="1">
      <alignment horizontal="left" vertical="center" wrapText="1"/>
    </xf>
    <xf numFmtId="0" fontId="80" fillId="0" borderId="1" xfId="0" applyFont="1" applyBorder="1"/>
    <xf numFmtId="0" fontId="3" fillId="0" borderId="1" xfId="0" applyFont="1" applyBorder="1" applyAlignment="1">
      <alignment horizontal="left" vertical="top" wrapText="1"/>
    </xf>
    <xf numFmtId="0" fontId="80" fillId="0" borderId="1" xfId="0" applyFont="1" applyBorder="1" applyAlignment="1">
      <alignment horizontal="center" vertical="center"/>
    </xf>
    <xf numFmtId="0" fontId="80" fillId="0" borderId="1" xfId="0" applyFont="1" applyBorder="1" applyAlignment="1">
      <alignment horizontal="center" vertical="center" wrapText="1"/>
    </xf>
    <xf numFmtId="0" fontId="80" fillId="0" borderId="1" xfId="0" applyFont="1" applyBorder="1" applyAlignment="1">
      <alignment horizontal="left" vertical="top" wrapText="1"/>
    </xf>
    <xf numFmtId="0" fontId="83" fillId="0" borderId="1" xfId="0" applyFont="1" applyBorder="1" applyAlignment="1">
      <alignment horizontal="left" vertical="top" wrapText="1"/>
    </xf>
    <xf numFmtId="0" fontId="68" fillId="0" borderId="1" xfId="0" applyFont="1" applyBorder="1" applyAlignment="1">
      <alignment horizontal="center" vertical="center"/>
    </xf>
    <xf numFmtId="0" fontId="82" fillId="0" borderId="1" xfId="0" applyFont="1" applyBorder="1" applyAlignment="1">
      <alignment horizontal="left" vertical="top" wrapText="1"/>
    </xf>
    <xf numFmtId="0" fontId="80" fillId="0" borderId="1" xfId="0" applyFont="1" applyBorder="1" applyAlignment="1">
      <alignment horizontal="left" vertical="top"/>
    </xf>
    <xf numFmtId="0" fontId="80" fillId="0" borderId="1" xfId="0" applyFont="1" applyBorder="1" applyAlignment="1">
      <alignment wrapText="1"/>
    </xf>
    <xf numFmtId="0" fontId="81" fillId="0" borderId="1" xfId="0" applyFont="1" applyBorder="1" applyAlignment="1">
      <alignment horizontal="left" vertical="top" wrapText="1"/>
    </xf>
    <xf numFmtId="0" fontId="43" fillId="2" borderId="14" xfId="0" applyFont="1" applyFill="1" applyBorder="1" applyAlignment="1">
      <alignment horizontal="left" wrapText="1"/>
    </xf>
    <xf numFmtId="0" fontId="96" fillId="0" borderId="0" xfId="0" applyFont="1" applyAlignment="1">
      <alignment vertical="center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wrapText="1"/>
    </xf>
    <xf numFmtId="0" fontId="1" fillId="7" borderId="1" xfId="0" applyFont="1" applyFill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" xfId="0" quotePrefix="1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1" xfId="0" applyFont="1" applyBorder="1" applyAlignment="1">
      <alignment vertical="top"/>
    </xf>
    <xf numFmtId="0" fontId="6" fillId="8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/>
    </xf>
    <xf numFmtId="0" fontId="3" fillId="5" borderId="1" xfId="0" applyFont="1" applyFill="1" applyBorder="1" applyAlignment="1">
      <alignment horizontal="left" vertical="top"/>
    </xf>
    <xf numFmtId="0" fontId="2" fillId="10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wrapText="1"/>
    </xf>
    <xf numFmtId="0" fontId="41" fillId="0" borderId="8" xfId="0" applyFont="1" applyBorder="1" applyAlignment="1">
      <alignment horizontal="left" vertical="top" wrapText="1"/>
    </xf>
    <xf numFmtId="0" fontId="43" fillId="0" borderId="8" xfId="0" applyFont="1" applyBorder="1" applyAlignment="1">
      <alignment horizontal="left" vertical="top" wrapText="1"/>
    </xf>
    <xf numFmtId="0" fontId="7" fillId="18" borderId="1" xfId="0" applyFont="1" applyFill="1" applyBorder="1"/>
    <xf numFmtId="0" fontId="76" fillId="0" borderId="0" xfId="0" applyFont="1"/>
    <xf numFmtId="0" fontId="70" fillId="0" borderId="0" xfId="0" applyFont="1" applyAlignment="1">
      <alignment wrapText="1"/>
    </xf>
    <xf numFmtId="0" fontId="53" fillId="0" borderId="1" xfId="0" applyFont="1" applyBorder="1" applyAlignment="1">
      <alignment vertical="top" wrapText="1"/>
    </xf>
    <xf numFmtId="0" fontId="48" fillId="0" borderId="1" xfId="0" applyFont="1" applyBorder="1"/>
    <xf numFmtId="0" fontId="43" fillId="0" borderId="1" xfId="0" applyFont="1" applyBorder="1" applyAlignment="1">
      <alignment wrapText="1"/>
    </xf>
    <xf numFmtId="0" fontId="53" fillId="0" borderId="1" xfId="0" applyFont="1" applyBorder="1" applyAlignment="1">
      <alignment wrapText="1"/>
    </xf>
    <xf numFmtId="0" fontId="41" fillId="0" borderId="1" xfId="0" applyFont="1" applyBorder="1" applyAlignment="1">
      <alignment vertical="center" wrapText="1"/>
    </xf>
    <xf numFmtId="0" fontId="7" fillId="18" borderId="0" xfId="0" applyFont="1" applyFill="1"/>
    <xf numFmtId="0" fontId="62" fillId="18" borderId="0" xfId="0" applyFont="1" applyFill="1"/>
    <xf numFmtId="14" fontId="7" fillId="18" borderId="1" xfId="0" applyNumberFormat="1" applyFont="1" applyFill="1" applyBorder="1"/>
    <xf numFmtId="0" fontId="48" fillId="0" borderId="0" xfId="0" applyFont="1" applyAlignment="1">
      <alignment wrapText="1"/>
    </xf>
    <xf numFmtId="0" fontId="43" fillId="18" borderId="0" xfId="0" applyFont="1" applyFill="1"/>
    <xf numFmtId="0" fontId="43" fillId="18" borderId="1" xfId="0" applyFont="1" applyFill="1" applyBorder="1" applyAlignment="1">
      <alignment wrapText="1"/>
    </xf>
    <xf numFmtId="0" fontId="43" fillId="18" borderId="1" xfId="0" applyFont="1" applyFill="1" applyBorder="1"/>
    <xf numFmtId="0" fontId="44" fillId="18" borderId="0" xfId="0" applyFont="1" applyFill="1"/>
    <xf numFmtId="0" fontId="100" fillId="18" borderId="1" xfId="0" applyFont="1" applyFill="1" applyBorder="1"/>
    <xf numFmtId="0" fontId="101" fillId="18" borderId="1" xfId="0" applyFont="1" applyFill="1" applyBorder="1"/>
    <xf numFmtId="0" fontId="62" fillId="0" borderId="0" xfId="0" applyFont="1"/>
    <xf numFmtId="0" fontId="100" fillId="0" borderId="0" xfId="0" applyFont="1"/>
    <xf numFmtId="0" fontId="101" fillId="0" borderId="0" xfId="0" applyFont="1"/>
    <xf numFmtId="0" fontId="7" fillId="18" borderId="1" xfId="0" applyFont="1" applyFill="1" applyBorder="1" applyAlignment="1">
      <alignment horizontal="center" vertical="center" wrapText="1"/>
    </xf>
    <xf numFmtId="0" fontId="43" fillId="0" borderId="0" xfId="0" applyFont="1" applyAlignment="1">
      <alignment wrapText="1"/>
    </xf>
    <xf numFmtId="0" fontId="44" fillId="0" borderId="0" xfId="0" applyFont="1"/>
    <xf numFmtId="14" fontId="7" fillId="0" borderId="0" xfId="0" applyNumberFormat="1" applyFont="1"/>
    <xf numFmtId="0" fontId="99" fillId="0" borderId="0" xfId="0" applyFont="1"/>
    <xf numFmtId="14" fontId="62" fillId="0" borderId="0" xfId="0" applyNumberFormat="1" applyFont="1"/>
    <xf numFmtId="0" fontId="4" fillId="5" borderId="0" xfId="0" applyFont="1" applyFill="1" applyAlignment="1">
      <alignment wrapText="1"/>
    </xf>
    <xf numFmtId="0" fontId="7" fillId="5" borderId="1" xfId="0" applyFont="1" applyFill="1" applyBorder="1" applyAlignment="1">
      <alignment horizontal="center" vertical="top" wrapText="1"/>
    </xf>
    <xf numFmtId="0" fontId="102" fillId="5" borderId="1" xfId="0" applyFont="1" applyFill="1" applyBorder="1" applyAlignment="1">
      <alignment horizontal="center" vertical="center" wrapText="1"/>
    </xf>
    <xf numFmtId="0" fontId="7" fillId="5" borderId="1" xfId="0" quotePrefix="1" applyFont="1" applyFill="1" applyBorder="1" applyAlignment="1">
      <alignment horizontal="center" vertical="center"/>
    </xf>
    <xf numFmtId="0" fontId="43" fillId="0" borderId="40" xfId="0" applyFont="1" applyBorder="1" applyAlignment="1">
      <alignment horizontal="left" vertical="top" wrapText="1"/>
    </xf>
    <xf numFmtId="0" fontId="80" fillId="0" borderId="0" xfId="0" applyFont="1"/>
    <xf numFmtId="0" fontId="7" fillId="18" borderId="1" xfId="0" applyFont="1" applyFill="1" applyBorder="1" applyAlignment="1">
      <alignment horizontal="left" vertical="center" wrapText="1"/>
    </xf>
    <xf numFmtId="0" fontId="80" fillId="18" borderId="1" xfId="0" applyFont="1" applyFill="1" applyBorder="1"/>
    <xf numFmtId="0" fontId="70" fillId="18" borderId="1" xfId="0" applyFont="1" applyFill="1" applyBorder="1"/>
    <xf numFmtId="0" fontId="7" fillId="18" borderId="0" xfId="0" applyFont="1" applyFill="1" applyAlignment="1">
      <alignment horizontal="center" vertical="center" wrapText="1"/>
    </xf>
    <xf numFmtId="0" fontId="7" fillId="18" borderId="12" xfId="0" applyFont="1" applyFill="1" applyBorder="1" applyAlignment="1">
      <alignment horizontal="left" vertical="center" wrapText="1"/>
    </xf>
    <xf numFmtId="0" fontId="7" fillId="18" borderId="12" xfId="0" applyFont="1" applyFill="1" applyBorder="1" applyAlignment="1">
      <alignment horizontal="center" vertical="center" wrapText="1"/>
    </xf>
    <xf numFmtId="0" fontId="42" fillId="18" borderId="1" xfId="0" applyFont="1" applyFill="1" applyBorder="1" applyAlignment="1">
      <alignment vertical="center" wrapText="1"/>
    </xf>
    <xf numFmtId="0" fontId="70" fillId="18" borderId="1" xfId="0" applyFont="1" applyFill="1" applyBorder="1" applyAlignment="1">
      <alignment vertical="center" wrapText="1"/>
    </xf>
    <xf numFmtId="0" fontId="41" fillId="18" borderId="1" xfId="0" applyFont="1" applyFill="1" applyBorder="1" applyAlignment="1">
      <alignment wrapText="1"/>
    </xf>
    <xf numFmtId="0" fontId="41" fillId="18" borderId="1" xfId="0" applyFont="1" applyFill="1" applyBorder="1" applyAlignment="1">
      <alignment vertical="top" wrapText="1"/>
    </xf>
    <xf numFmtId="0" fontId="41" fillId="18" borderId="1" xfId="0" applyFont="1" applyFill="1" applyBorder="1" applyAlignment="1">
      <alignment vertical="center" wrapText="1"/>
    </xf>
    <xf numFmtId="0" fontId="10" fillId="0" borderId="37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14" fontId="0" fillId="0" borderId="19" xfId="0" applyNumberFormat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38" xfId="0" applyBorder="1" applyAlignment="1">
      <alignment vertical="center" wrapText="1"/>
    </xf>
    <xf numFmtId="14" fontId="0" fillId="0" borderId="35" xfId="0" applyNumberForma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0" fontId="10" fillId="0" borderId="33" xfId="0" applyFont="1" applyBorder="1" applyAlignment="1">
      <alignment vertical="center" wrapText="1"/>
    </xf>
    <xf numFmtId="0" fontId="10" fillId="0" borderId="34" xfId="0" applyFont="1" applyBorder="1" applyAlignment="1">
      <alignment vertical="center" wrapText="1"/>
    </xf>
    <xf numFmtId="0" fontId="10" fillId="0" borderId="36" xfId="0" applyFont="1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3" fillId="18" borderId="1" xfId="0" applyFont="1" applyFill="1" applyBorder="1" applyAlignment="1">
      <alignment wrapText="1"/>
    </xf>
    <xf numFmtId="0" fontId="3" fillId="18" borderId="1" xfId="0" applyFont="1" applyFill="1" applyBorder="1" applyAlignment="1">
      <alignment vertical="center" wrapText="1"/>
    </xf>
    <xf numFmtId="0" fontId="7" fillId="18" borderId="1" xfId="0" applyFont="1" applyFill="1" applyBorder="1" applyAlignment="1">
      <alignment vertical="top" wrapText="1"/>
    </xf>
    <xf numFmtId="0" fontId="7" fillId="18" borderId="1" xfId="0" applyFont="1" applyFill="1" applyBorder="1" applyAlignment="1">
      <alignment horizontal="left" vertical="top" wrapText="1"/>
    </xf>
    <xf numFmtId="0" fontId="48" fillId="0" borderId="0" xfId="0" applyFont="1" applyAlignment="1">
      <alignment horizontal="left" vertical="top" wrapText="1"/>
    </xf>
    <xf numFmtId="0" fontId="48" fillId="0" borderId="7" xfId="0" applyFont="1" applyBorder="1" applyAlignment="1">
      <alignment horizontal="left" vertical="top" wrapText="1"/>
    </xf>
    <xf numFmtId="0" fontId="48" fillId="0" borderId="1" xfId="0" applyFont="1" applyBorder="1" applyAlignment="1">
      <alignment horizontal="left" vertical="top" wrapText="1"/>
    </xf>
    <xf numFmtId="0" fontId="43" fillId="2" borderId="13" xfId="0" applyFont="1" applyFill="1" applyBorder="1" applyAlignment="1">
      <alignment horizontal="center"/>
    </xf>
    <xf numFmtId="0" fontId="43" fillId="5" borderId="1" xfId="0" applyFont="1" applyFill="1" applyBorder="1" applyAlignment="1">
      <alignment horizontal="left" vertical="top" wrapText="1"/>
    </xf>
    <xf numFmtId="0" fontId="43" fillId="5" borderId="1" xfId="0" applyFont="1" applyFill="1" applyBorder="1" applyAlignment="1">
      <alignment horizontal="left" vertical="top"/>
    </xf>
    <xf numFmtId="0" fontId="41" fillId="5" borderId="7" xfId="0" applyFont="1" applyFill="1" applyBorder="1" applyAlignment="1">
      <alignment horizontal="left" vertical="top" wrapText="1"/>
    </xf>
    <xf numFmtId="0" fontId="43" fillId="2" borderId="26" xfId="0" applyFont="1" applyFill="1" applyBorder="1" applyAlignment="1">
      <alignment horizontal="center"/>
    </xf>
    <xf numFmtId="0" fontId="43" fillId="2" borderId="0" xfId="0" applyFont="1" applyFill="1" applyAlignment="1">
      <alignment horizontal="center"/>
    </xf>
    <xf numFmtId="0" fontId="7" fillId="0" borderId="1" xfId="0" applyFont="1" applyBorder="1" applyAlignment="1">
      <alignment horizontal="left" vertical="top" wrapText="1"/>
    </xf>
    <xf numFmtId="0" fontId="43" fillId="2" borderId="13" xfId="0" applyFont="1" applyFill="1" applyBorder="1" applyAlignment="1">
      <alignment horizontal="center" wrapText="1"/>
    </xf>
    <xf numFmtId="0" fontId="43" fillId="2" borderId="0" xfId="0" applyFont="1" applyFill="1" applyAlignment="1">
      <alignment horizontal="center" wrapText="1"/>
    </xf>
    <xf numFmtId="0" fontId="43" fillId="0" borderId="13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73" fillId="2" borderId="0" xfId="0" applyFont="1" applyFill="1" applyAlignment="1">
      <alignment horizontal="center" wrapText="1"/>
    </xf>
    <xf numFmtId="0" fontId="76" fillId="0" borderId="1" xfId="0" applyFont="1" applyBorder="1" applyAlignment="1">
      <alignment horizontal="left" vertical="top" wrapText="1"/>
    </xf>
    <xf numFmtId="0" fontId="75" fillId="0" borderId="1" xfId="0" applyFont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41" fillId="0" borderId="12" xfId="0" applyFont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43" fillId="0" borderId="1" xfId="0" applyFont="1" applyBorder="1" applyAlignment="1">
      <alignment horizontal="center"/>
    </xf>
    <xf numFmtId="0" fontId="71" fillId="0" borderId="29" xfId="0" applyFont="1" applyBorder="1" applyAlignment="1">
      <alignment horizontal="left" vertical="top" wrapText="1"/>
    </xf>
    <xf numFmtId="0" fontId="70" fillId="0" borderId="39" xfId="0" applyFont="1" applyBorder="1" applyAlignment="1">
      <alignment horizontal="left" vertical="top"/>
    </xf>
    <xf numFmtId="0" fontId="70" fillId="0" borderId="30" xfId="0" applyFont="1" applyBorder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63" fillId="2" borderId="13" xfId="0" applyFont="1" applyFill="1" applyBorder="1" applyAlignment="1">
      <alignment horizontal="center"/>
    </xf>
    <xf numFmtId="0" fontId="41" fillId="0" borderId="1" xfId="0" applyFont="1" applyBorder="1" applyAlignment="1">
      <alignment horizontal="left" vertical="top" wrapText="1"/>
    </xf>
    <xf numFmtId="0" fontId="55" fillId="2" borderId="0" xfId="0" applyFont="1" applyFill="1" applyAlignment="1">
      <alignment horizontal="center" wrapText="1"/>
    </xf>
    <xf numFmtId="0" fontId="44" fillId="2" borderId="0" xfId="0" applyFont="1" applyFill="1" applyAlignment="1">
      <alignment horizontal="center" vertical="center"/>
    </xf>
    <xf numFmtId="0" fontId="42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55" fillId="0" borderId="0" xfId="0" applyFont="1" applyAlignment="1">
      <alignment horizontal="center" wrapText="1"/>
    </xf>
    <xf numFmtId="0" fontId="69" fillId="0" borderId="0" xfId="0" applyFont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68" fillId="0" borderId="0" xfId="0" applyFont="1" applyAlignment="1">
      <alignment horizontal="center"/>
    </xf>
    <xf numFmtId="0" fontId="70" fillId="0" borderId="1" xfId="0" applyFont="1" applyBorder="1" applyAlignment="1">
      <alignment horizontal="left" vertical="top" wrapText="1"/>
    </xf>
    <xf numFmtId="0" fontId="75" fillId="0" borderId="5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wrapText="1"/>
    </xf>
    <xf numFmtId="0" fontId="6" fillId="0" borderId="7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0" fillId="4" borderId="0" xfId="0" applyFill="1" applyAlignment="1">
      <alignment horizontal="center"/>
    </xf>
    <xf numFmtId="0" fontId="15" fillId="2" borderId="13" xfId="0" applyFont="1" applyFill="1" applyBorder="1" applyAlignment="1">
      <alignment horizontal="center"/>
    </xf>
    <xf numFmtId="0" fontId="63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left" wrapText="1"/>
    </xf>
    <xf numFmtId="0" fontId="7" fillId="2" borderId="5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24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65" fillId="0" borderId="0" xfId="0" applyFont="1" applyAlignment="1">
      <alignment horizontal="center" vertical="top" wrapText="1"/>
    </xf>
    <xf numFmtId="0" fontId="65" fillId="0" borderId="0" xfId="0" applyFont="1" applyAlignment="1">
      <alignment horizontal="center" vertical="center" wrapText="1"/>
    </xf>
    <xf numFmtId="0" fontId="64" fillId="0" borderId="0" xfId="0" applyFont="1" applyAlignment="1">
      <alignment horizontal="center"/>
    </xf>
  </cellXfs>
  <cellStyles count="3">
    <cellStyle name="Normal" xfId="0" builtinId="0"/>
    <cellStyle name="Note" xfId="1" builtinId="10"/>
    <cellStyle name="Percent" xfId="2" builtinId="5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287867</xdr:colOff>
      <xdr:row>19</xdr:row>
      <xdr:rowOff>169334</xdr:rowOff>
    </xdr:from>
    <xdr:to>
      <xdr:col>6</xdr:col>
      <xdr:colOff>829732</xdr:colOff>
      <xdr:row>22</xdr:row>
      <xdr:rowOff>60958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2E65EACF-5151-4019-AEAF-86DB78ED1FA5}"/>
            </a:ext>
          </a:extLst>
        </xdr:cNvPr>
        <xdr:cNvSpPr/>
      </xdr:nvSpPr>
      <xdr:spPr>
        <a:xfrm>
          <a:off x="10009717" y="5135034"/>
          <a:ext cx="541865" cy="44407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ahul Ahirwar, Vodafone" id="{F2CC9D30-D1BA-42D8-8898-71C5AF1B3710}" userId="S::rahul.ahirwar1@vodafone.com::7cd200d3-0b31-459d-ad96-8958c3faf38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2" dT="2025-04-11T09:44:42.19" personId="{F2CC9D30-D1BA-42D8-8898-71C5AF1B3710}" id="{1FAA3906-C579-4DA6-B185-49F3C0CE3CA3}">
    <text>What need to be done with files used at qlick side ?</text>
  </threadedComment>
  <threadedComment ref="A71" dT="2025-04-16T04:04:21.54" personId="{F2CC9D30-D1BA-42D8-8898-71C5AF1B3710}" id="{99CD3CC1-9DDB-40EF-AE6B-3B2CBD73FD74}">
    <text>Columns for geography analysis may not needed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59FEC-9579-4DD0-A608-4D7283428294}">
  <dimension ref="A1:D37"/>
  <sheetViews>
    <sheetView topLeftCell="A36" workbookViewId="0">
      <selection activeCell="C38" sqref="C38"/>
    </sheetView>
  </sheetViews>
  <sheetFormatPr defaultColWidth="20.54296875" defaultRowHeight="11.5"/>
  <cols>
    <col min="1" max="1" width="4" style="49" bestFit="1" customWidth="1"/>
    <col min="2" max="2" width="64.81640625" style="49" customWidth="1"/>
    <col min="3" max="3" width="17.54296875" style="49" customWidth="1"/>
    <col min="4" max="4" width="13" style="49" customWidth="1"/>
    <col min="5" max="16384" width="20.54296875" style="49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2.5">
      <c r="A2" s="2">
        <v>1</v>
      </c>
      <c r="B2" s="3" t="s">
        <v>4</v>
      </c>
      <c r="C2" s="13">
        <v>45754</v>
      </c>
      <c r="D2" s="2" t="s">
        <v>5</v>
      </c>
    </row>
    <row r="3" spans="1:4" ht="115">
      <c r="A3" s="2">
        <v>2</v>
      </c>
      <c r="B3" s="100" t="s">
        <v>6</v>
      </c>
      <c r="C3" s="4">
        <v>45396</v>
      </c>
      <c r="D3" s="2" t="s">
        <v>7</v>
      </c>
    </row>
    <row r="4" spans="1:4" ht="23">
      <c r="A4" s="2">
        <v>3</v>
      </c>
      <c r="B4" s="3" t="s">
        <v>8</v>
      </c>
      <c r="C4" s="4">
        <v>45398</v>
      </c>
      <c r="D4" s="2" t="s">
        <v>9</v>
      </c>
    </row>
    <row r="5" spans="1:4" ht="23">
      <c r="A5" s="2">
        <v>4</v>
      </c>
      <c r="B5" s="3" t="s">
        <v>10</v>
      </c>
      <c r="C5" s="4">
        <v>45399</v>
      </c>
      <c r="D5" s="2" t="s">
        <v>11</v>
      </c>
    </row>
    <row r="6" spans="1:4" ht="207">
      <c r="A6" s="2">
        <v>5</v>
      </c>
      <c r="B6" s="3" t="s">
        <v>12</v>
      </c>
      <c r="C6" s="4">
        <v>45403</v>
      </c>
      <c r="D6" s="2" t="s">
        <v>13</v>
      </c>
    </row>
    <row r="7" spans="1:4" ht="23">
      <c r="A7" s="2">
        <v>6</v>
      </c>
      <c r="B7" s="3" t="s">
        <v>14</v>
      </c>
      <c r="C7" s="4">
        <v>45421</v>
      </c>
      <c r="D7" s="2" t="s">
        <v>15</v>
      </c>
    </row>
    <row r="8" spans="1:4" ht="46">
      <c r="A8" s="2">
        <v>7</v>
      </c>
      <c r="B8" s="3" t="s">
        <v>16</v>
      </c>
      <c r="C8" s="4">
        <v>45432</v>
      </c>
      <c r="D8" s="2" t="s">
        <v>17</v>
      </c>
    </row>
    <row r="9" spans="1:4" ht="23">
      <c r="A9" s="2">
        <v>8</v>
      </c>
      <c r="B9" s="3" t="s">
        <v>18</v>
      </c>
      <c r="C9" s="4">
        <v>45445</v>
      </c>
      <c r="D9" s="2" t="s">
        <v>19</v>
      </c>
    </row>
    <row r="10" spans="1:4" ht="103.5">
      <c r="A10" s="2">
        <v>9</v>
      </c>
      <c r="B10" s="3" t="s">
        <v>20</v>
      </c>
      <c r="C10" s="4">
        <v>45825</v>
      </c>
      <c r="D10" s="2" t="s">
        <v>21</v>
      </c>
    </row>
    <row r="11" spans="1:4" ht="138">
      <c r="A11" s="2">
        <v>10</v>
      </c>
      <c r="B11" s="3" t="s">
        <v>22</v>
      </c>
      <c r="C11" s="4">
        <v>45848</v>
      </c>
      <c r="D11" s="2" t="s">
        <v>23</v>
      </c>
    </row>
    <row r="12" spans="1:4" ht="80.5">
      <c r="A12" s="106">
        <v>11</v>
      </c>
      <c r="B12" s="47" t="s">
        <v>24</v>
      </c>
      <c r="C12" s="4">
        <v>45869</v>
      </c>
      <c r="D12" s="106" t="s">
        <v>25</v>
      </c>
    </row>
    <row r="13" spans="1:4" ht="103.5">
      <c r="A13" s="106">
        <v>12</v>
      </c>
      <c r="B13" s="47" t="s">
        <v>26</v>
      </c>
      <c r="C13" s="4">
        <v>45891</v>
      </c>
      <c r="D13" s="106" t="s">
        <v>27</v>
      </c>
    </row>
    <row r="14" spans="1:4" ht="69">
      <c r="A14" s="106">
        <v>13</v>
      </c>
      <c r="B14" s="47" t="s">
        <v>28</v>
      </c>
      <c r="C14" s="4">
        <v>45904</v>
      </c>
      <c r="D14" s="106" t="s">
        <v>29</v>
      </c>
    </row>
    <row r="15" spans="1:4" ht="115">
      <c r="A15" s="106">
        <v>14</v>
      </c>
      <c r="B15" s="47" t="s">
        <v>30</v>
      </c>
      <c r="C15" s="4">
        <v>45930</v>
      </c>
      <c r="D15" s="106" t="s">
        <v>31</v>
      </c>
    </row>
    <row r="16" spans="1:4" ht="34.5">
      <c r="A16" s="106">
        <v>15</v>
      </c>
      <c r="B16" s="47" t="s">
        <v>32</v>
      </c>
      <c r="C16" s="4">
        <v>45936</v>
      </c>
      <c r="D16" s="106" t="s">
        <v>33</v>
      </c>
    </row>
    <row r="17" spans="1:4" ht="69">
      <c r="A17" s="106">
        <v>16</v>
      </c>
      <c r="B17" s="50" t="s">
        <v>34</v>
      </c>
      <c r="C17" s="4">
        <v>45960</v>
      </c>
      <c r="D17" s="106" t="s">
        <v>35</v>
      </c>
    </row>
    <row r="18" spans="1:4" ht="92">
      <c r="A18" s="106">
        <v>17</v>
      </c>
      <c r="B18" s="50" t="s">
        <v>36</v>
      </c>
      <c r="C18" s="4">
        <v>45986</v>
      </c>
      <c r="D18" s="106" t="s">
        <v>37</v>
      </c>
    </row>
    <row r="19" spans="1:4" ht="57.5">
      <c r="A19" s="106">
        <v>17</v>
      </c>
      <c r="B19" s="50" t="s">
        <v>38</v>
      </c>
      <c r="C19" s="4">
        <v>45993</v>
      </c>
      <c r="D19" s="106" t="s">
        <v>39</v>
      </c>
    </row>
    <row r="20" spans="1:4" ht="57.5">
      <c r="A20" s="106">
        <v>18</v>
      </c>
      <c r="B20" s="50" t="s">
        <v>40</v>
      </c>
      <c r="C20" s="4">
        <v>46000</v>
      </c>
      <c r="D20" s="106" t="s">
        <v>41</v>
      </c>
    </row>
    <row r="21" spans="1:4" ht="46">
      <c r="A21" s="106">
        <v>18</v>
      </c>
      <c r="B21" s="50" t="s">
        <v>42</v>
      </c>
      <c r="C21" s="4">
        <v>46008</v>
      </c>
      <c r="D21" s="106" t="s">
        <v>43</v>
      </c>
    </row>
    <row r="22" spans="1:4" ht="92">
      <c r="A22" s="106">
        <v>19</v>
      </c>
      <c r="B22" s="50" t="s">
        <v>44</v>
      </c>
      <c r="C22" s="4">
        <v>46013</v>
      </c>
      <c r="D22" s="106" t="s">
        <v>45</v>
      </c>
    </row>
    <row r="23" spans="1:4" ht="92">
      <c r="A23" s="106">
        <v>20</v>
      </c>
      <c r="B23" s="50" t="s">
        <v>46</v>
      </c>
      <c r="C23" s="4">
        <v>46020</v>
      </c>
      <c r="D23" s="106" t="s">
        <v>47</v>
      </c>
    </row>
    <row r="24" spans="1:4" ht="34.5">
      <c r="A24" s="106">
        <v>21</v>
      </c>
      <c r="B24" s="50" t="s">
        <v>48</v>
      </c>
      <c r="C24" s="4">
        <v>46030</v>
      </c>
      <c r="D24" s="106" t="s">
        <v>49</v>
      </c>
    </row>
    <row r="25" spans="1:4" ht="57.5">
      <c r="A25" s="106">
        <v>22</v>
      </c>
      <c r="B25" s="50" t="s">
        <v>50</v>
      </c>
      <c r="C25" s="4">
        <v>46035</v>
      </c>
      <c r="D25" s="106" t="s">
        <v>51</v>
      </c>
    </row>
    <row r="26" spans="1:4" ht="57.5">
      <c r="A26" s="106">
        <v>23</v>
      </c>
      <c r="B26" s="50" t="s">
        <v>52</v>
      </c>
      <c r="C26" s="4">
        <v>46055</v>
      </c>
      <c r="D26" s="106" t="s">
        <v>53</v>
      </c>
    </row>
    <row r="27" spans="1:4" ht="57.5">
      <c r="A27" s="106">
        <v>24</v>
      </c>
      <c r="B27" s="50" t="s">
        <v>54</v>
      </c>
      <c r="C27" s="4">
        <v>46065</v>
      </c>
      <c r="D27" s="106" t="s">
        <v>55</v>
      </c>
    </row>
    <row r="28" spans="1:4" ht="80.5">
      <c r="A28" s="106">
        <v>25</v>
      </c>
      <c r="B28" s="50" t="s">
        <v>56</v>
      </c>
      <c r="C28" s="4">
        <v>46076</v>
      </c>
      <c r="D28" s="106" t="s">
        <v>57</v>
      </c>
    </row>
    <row r="29" spans="1:4" ht="57.5">
      <c r="A29" s="106">
        <v>26</v>
      </c>
      <c r="B29" s="50" t="s">
        <v>58</v>
      </c>
      <c r="C29" s="4">
        <v>46092</v>
      </c>
      <c r="D29" s="106" t="s">
        <v>59</v>
      </c>
    </row>
    <row r="30" spans="1:4" ht="57.5">
      <c r="A30" s="106">
        <v>27</v>
      </c>
      <c r="B30" s="50" t="s">
        <v>60</v>
      </c>
      <c r="C30" s="4">
        <v>46097</v>
      </c>
      <c r="D30" s="106" t="s">
        <v>61</v>
      </c>
    </row>
    <row r="31" spans="1:4" ht="57.5">
      <c r="A31" s="106">
        <v>28</v>
      </c>
      <c r="B31" s="50" t="s">
        <v>62</v>
      </c>
      <c r="C31" s="4">
        <v>46099</v>
      </c>
      <c r="D31" s="106" t="s">
        <v>63</v>
      </c>
    </row>
    <row r="32" spans="1:4" ht="57.5">
      <c r="A32" s="106">
        <v>29</v>
      </c>
      <c r="B32" s="50" t="s">
        <v>64</v>
      </c>
      <c r="C32" s="4">
        <v>46104</v>
      </c>
      <c r="D32" s="106" t="s">
        <v>65</v>
      </c>
    </row>
    <row r="33" spans="1:4" ht="57.5">
      <c r="A33" s="106">
        <v>30</v>
      </c>
      <c r="B33" s="50" t="s">
        <v>66</v>
      </c>
      <c r="C33" s="4">
        <v>46118</v>
      </c>
      <c r="D33" s="106" t="s">
        <v>67</v>
      </c>
    </row>
    <row r="34" spans="1:4" ht="46">
      <c r="A34" s="106">
        <v>31</v>
      </c>
      <c r="B34" s="50" t="s">
        <v>68</v>
      </c>
      <c r="C34" s="4">
        <v>46135</v>
      </c>
      <c r="D34" s="106" t="s">
        <v>69</v>
      </c>
    </row>
    <row r="35" spans="1:4" ht="46">
      <c r="A35" s="106">
        <v>32</v>
      </c>
      <c r="B35" s="50" t="s">
        <v>70</v>
      </c>
      <c r="C35" s="13">
        <v>46147</v>
      </c>
      <c r="D35" s="106" t="s">
        <v>71</v>
      </c>
    </row>
    <row r="36" spans="1:4" ht="92">
      <c r="A36" s="106">
        <v>33</v>
      </c>
      <c r="B36" s="50" t="s">
        <v>5209</v>
      </c>
      <c r="C36" s="13">
        <v>46204</v>
      </c>
      <c r="D36" s="106" t="s">
        <v>5206</v>
      </c>
    </row>
    <row r="37" spans="1:4" ht="92">
      <c r="A37" s="106">
        <v>34</v>
      </c>
      <c r="B37" s="50" t="s">
        <v>5261</v>
      </c>
      <c r="C37" s="13">
        <v>46237</v>
      </c>
      <c r="D37" s="106" t="s">
        <v>5225</v>
      </c>
    </row>
  </sheetData>
  <phoneticPr fontId="5" type="noConversion"/>
  <pageMargins left="0.7" right="0.7" top="0.75" bottom="0.75" header="0.3" footer="0.3"/>
  <pageSetup orientation="portrait" r:id="rId1"/>
  <headerFooter>
    <oddFooter>&amp;L&amp;1#&amp;"Calibri"&amp;7&amp;K000000C2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8212-1B78-4F93-8C21-B7BD6DEC63D1}">
  <dimension ref="A1:H164"/>
  <sheetViews>
    <sheetView workbookViewId="0">
      <selection activeCell="B76" sqref="B76"/>
    </sheetView>
  </sheetViews>
  <sheetFormatPr defaultColWidth="20.54296875" defaultRowHeight="14.5"/>
  <cols>
    <col min="1" max="1" width="26.453125" customWidth="1"/>
    <col min="2" max="2" width="42.81640625" customWidth="1"/>
    <col min="3" max="3" width="60.81640625" style="45" bestFit="1" customWidth="1"/>
    <col min="4" max="4" width="27.81640625" bestFit="1" customWidth="1"/>
    <col min="5" max="5" width="19.81640625" bestFit="1" customWidth="1"/>
    <col min="6" max="6" width="23.1796875" bestFit="1" customWidth="1"/>
    <col min="7" max="7" width="14.54296875" bestFit="1" customWidth="1"/>
  </cols>
  <sheetData>
    <row r="1" spans="1:8">
      <c r="C1" s="558" t="s">
        <v>72</v>
      </c>
      <c r="D1" s="558"/>
    </row>
    <row r="2" spans="1:8">
      <c r="A2" s="431" t="s">
        <v>73</v>
      </c>
      <c r="B2" s="432" t="s">
        <v>74</v>
      </c>
      <c r="C2" s="433" t="s">
        <v>75</v>
      </c>
      <c r="D2" s="433" t="s">
        <v>76</v>
      </c>
      <c r="E2" s="434" t="s">
        <v>77</v>
      </c>
      <c r="F2" s="432" t="s">
        <v>78</v>
      </c>
      <c r="G2" s="433" t="s">
        <v>79</v>
      </c>
      <c r="H2" s="433" t="s">
        <v>80</v>
      </c>
    </row>
    <row r="3" spans="1:8" s="68" customFormat="1" ht="10.5">
      <c r="A3" s="19"/>
      <c r="B3" s="19"/>
      <c r="C3" s="19"/>
      <c r="D3" s="19"/>
      <c r="E3" s="19"/>
      <c r="F3" s="19"/>
      <c r="G3" s="19"/>
      <c r="H3" s="19"/>
    </row>
    <row r="4" spans="1:8" s="29" customFormat="1" ht="10.5">
      <c r="A4" s="16" t="s">
        <v>81</v>
      </c>
      <c r="B4" s="16" t="s">
        <v>82</v>
      </c>
      <c r="C4" s="46" t="s">
        <v>77</v>
      </c>
      <c r="D4" s="16" t="s">
        <v>83</v>
      </c>
      <c r="E4" s="16" t="s">
        <v>84</v>
      </c>
      <c r="F4" s="16" t="s">
        <v>85</v>
      </c>
      <c r="G4" s="16" t="s">
        <v>86</v>
      </c>
    </row>
    <row r="5" spans="1:8" ht="43.5">
      <c r="A5" s="19" t="s">
        <v>87</v>
      </c>
      <c r="B5" s="51" t="s">
        <v>88</v>
      </c>
      <c r="C5" s="21" t="s">
        <v>89</v>
      </c>
      <c r="D5" s="19" t="s">
        <v>90</v>
      </c>
      <c r="E5" s="38"/>
      <c r="F5" s="19" t="s">
        <v>91</v>
      </c>
      <c r="G5" s="19"/>
    </row>
    <row r="6" spans="1:8" ht="43.5">
      <c r="A6" s="17" t="s">
        <v>92</v>
      </c>
      <c r="B6" s="51" t="s">
        <v>88</v>
      </c>
      <c r="C6" s="14" t="s">
        <v>93</v>
      </c>
      <c r="D6" s="17" t="s">
        <v>94</v>
      </c>
      <c r="E6" s="17"/>
      <c r="F6" s="17" t="s">
        <v>91</v>
      </c>
      <c r="G6" s="17"/>
    </row>
    <row r="7" spans="1:8" ht="43.5">
      <c r="A7" s="17" t="s">
        <v>95</v>
      </c>
      <c r="B7" s="51" t="s">
        <v>88</v>
      </c>
      <c r="C7" s="14" t="s">
        <v>93</v>
      </c>
      <c r="D7" s="17" t="s">
        <v>96</v>
      </c>
      <c r="E7" s="17"/>
      <c r="F7" s="17" t="s">
        <v>91</v>
      </c>
      <c r="G7" s="17"/>
    </row>
    <row r="8" spans="1:8" ht="43.5">
      <c r="A8" s="17" t="s">
        <v>97</v>
      </c>
      <c r="B8" s="51" t="s">
        <v>88</v>
      </c>
      <c r="C8" s="14" t="s">
        <v>93</v>
      </c>
      <c r="D8" s="17" t="s">
        <v>97</v>
      </c>
      <c r="E8" s="17"/>
      <c r="F8" s="17" t="s">
        <v>91</v>
      </c>
      <c r="G8" s="17"/>
    </row>
    <row r="9" spans="1:8" ht="43.5">
      <c r="A9" s="17" t="s">
        <v>98</v>
      </c>
      <c r="B9" s="51" t="s">
        <v>88</v>
      </c>
      <c r="C9" s="14" t="s">
        <v>93</v>
      </c>
      <c r="D9" s="17" t="s">
        <v>98</v>
      </c>
      <c r="E9" s="17"/>
      <c r="F9" s="17" t="s">
        <v>91</v>
      </c>
      <c r="G9" s="17"/>
    </row>
    <row r="10" spans="1:8" ht="43.5">
      <c r="A10" s="17" t="s">
        <v>99</v>
      </c>
      <c r="B10" s="51" t="s">
        <v>88</v>
      </c>
      <c r="C10" s="14" t="s">
        <v>93</v>
      </c>
      <c r="D10" s="17" t="s">
        <v>99</v>
      </c>
      <c r="E10" s="17"/>
      <c r="F10" s="17" t="s">
        <v>91</v>
      </c>
      <c r="G10" s="17"/>
    </row>
    <row r="11" spans="1:8" ht="43.5">
      <c r="A11" s="17" t="s">
        <v>100</v>
      </c>
      <c r="B11" s="51" t="s">
        <v>88</v>
      </c>
      <c r="C11" s="14" t="s">
        <v>93</v>
      </c>
      <c r="D11" s="17" t="s">
        <v>100</v>
      </c>
      <c r="E11" s="17"/>
      <c r="F11" s="17" t="s">
        <v>91</v>
      </c>
      <c r="G11" s="17"/>
    </row>
    <row r="12" spans="1:8" ht="116.5">
      <c r="A12" s="17" t="s">
        <v>101</v>
      </c>
      <c r="B12" s="51" t="s">
        <v>88</v>
      </c>
      <c r="C12" s="14" t="s">
        <v>102</v>
      </c>
      <c r="D12" s="17" t="s">
        <v>103</v>
      </c>
      <c r="E12" s="17"/>
      <c r="F12" s="17" t="s">
        <v>91</v>
      </c>
      <c r="G12" s="17"/>
    </row>
    <row r="13" spans="1:8" ht="43.5">
      <c r="A13" s="14" t="s">
        <v>104</v>
      </c>
      <c r="B13" s="51" t="s">
        <v>88</v>
      </c>
      <c r="C13" s="14" t="s">
        <v>93</v>
      </c>
      <c r="D13" s="17" t="s">
        <v>105</v>
      </c>
      <c r="E13" s="17"/>
      <c r="F13" s="17" t="s">
        <v>91</v>
      </c>
      <c r="G13" s="17"/>
    </row>
    <row r="14" spans="1:8" ht="43.5">
      <c r="A14" s="14" t="s">
        <v>106</v>
      </c>
      <c r="B14" s="51" t="s">
        <v>88</v>
      </c>
      <c r="C14" s="14" t="s">
        <v>93</v>
      </c>
      <c r="D14" s="17" t="s">
        <v>107</v>
      </c>
      <c r="E14" s="17"/>
      <c r="F14" s="17" t="s">
        <v>91</v>
      </c>
      <c r="G14" s="17"/>
    </row>
    <row r="15" spans="1:8" ht="43.5">
      <c r="A15" s="14" t="s">
        <v>108</v>
      </c>
      <c r="B15" s="51" t="s">
        <v>88</v>
      </c>
      <c r="C15" s="14" t="s">
        <v>109</v>
      </c>
      <c r="D15" s="17" t="s">
        <v>110</v>
      </c>
      <c r="E15" s="17"/>
      <c r="F15" s="17" t="s">
        <v>91</v>
      </c>
      <c r="G15" s="17"/>
    </row>
    <row r="16" spans="1:8" ht="74.5">
      <c r="A16" s="22" t="s">
        <v>111</v>
      </c>
      <c r="B16" s="51" t="s">
        <v>88</v>
      </c>
      <c r="C16" s="14" t="s">
        <v>112</v>
      </c>
      <c r="D16" s="39" t="s">
        <v>113</v>
      </c>
      <c r="E16" s="17"/>
      <c r="F16" s="17" t="s">
        <v>91</v>
      </c>
      <c r="G16" s="17"/>
    </row>
    <row r="17" spans="1:7" ht="74.5">
      <c r="A17" s="22" t="s">
        <v>114</v>
      </c>
      <c r="B17" s="51" t="s">
        <v>88</v>
      </c>
      <c r="C17" s="14" t="s">
        <v>115</v>
      </c>
      <c r="D17" s="39" t="s">
        <v>116</v>
      </c>
      <c r="E17" s="17"/>
      <c r="F17" s="17" t="s">
        <v>91</v>
      </c>
      <c r="G17" s="17"/>
    </row>
    <row r="18" spans="1:7" ht="200.15" customHeight="1">
      <c r="A18" s="22"/>
      <c r="B18" s="51" t="s">
        <v>88</v>
      </c>
      <c r="C18" s="40" t="s">
        <v>117</v>
      </c>
      <c r="D18" s="39" t="s">
        <v>118</v>
      </c>
      <c r="E18" s="17"/>
      <c r="F18" s="17" t="s">
        <v>91</v>
      </c>
      <c r="G18" s="17"/>
    </row>
    <row r="19" spans="1:7" ht="43.5">
      <c r="A19" s="17"/>
      <c r="B19" s="51" t="s">
        <v>88</v>
      </c>
      <c r="C19" s="40" t="s">
        <v>119</v>
      </c>
      <c r="D19" s="39" t="s">
        <v>120</v>
      </c>
      <c r="E19" s="17"/>
      <c r="F19" s="17" t="s">
        <v>91</v>
      </c>
      <c r="G19" s="17"/>
    </row>
    <row r="20" spans="1:7" ht="43.5">
      <c r="A20" s="22" t="s">
        <v>121</v>
      </c>
      <c r="B20" s="51" t="s">
        <v>88</v>
      </c>
      <c r="C20" s="14" t="s">
        <v>93</v>
      </c>
      <c r="D20" s="17" t="s">
        <v>122</v>
      </c>
      <c r="E20" s="17"/>
      <c r="F20" s="17" t="s">
        <v>91</v>
      </c>
      <c r="G20" s="17"/>
    </row>
    <row r="21" spans="1:7" ht="43.5">
      <c r="A21" s="22" t="s">
        <v>123</v>
      </c>
      <c r="B21" s="51" t="s">
        <v>88</v>
      </c>
      <c r="C21" s="14" t="s">
        <v>93</v>
      </c>
      <c r="D21" s="17" t="s">
        <v>124</v>
      </c>
      <c r="E21" s="17"/>
      <c r="F21" s="17" t="s">
        <v>91</v>
      </c>
      <c r="G21" s="17"/>
    </row>
    <row r="22" spans="1:7" ht="43.5">
      <c r="A22" s="22" t="s">
        <v>125</v>
      </c>
      <c r="B22" s="51" t="s">
        <v>88</v>
      </c>
      <c r="C22" s="14" t="s">
        <v>93</v>
      </c>
      <c r="D22" s="22" t="s">
        <v>126</v>
      </c>
      <c r="E22" s="17"/>
      <c r="F22" s="17" t="s">
        <v>91</v>
      </c>
      <c r="G22" s="17"/>
    </row>
    <row r="23" spans="1:7" ht="43.5">
      <c r="A23" s="22" t="s">
        <v>127</v>
      </c>
      <c r="B23" s="51" t="s">
        <v>88</v>
      </c>
      <c r="C23" s="14" t="s">
        <v>93</v>
      </c>
      <c r="D23" s="22" t="s">
        <v>128</v>
      </c>
      <c r="E23" s="17"/>
      <c r="F23" s="17" t="s">
        <v>91</v>
      </c>
      <c r="G23" s="17"/>
    </row>
    <row r="24" spans="1:7" ht="43.5">
      <c r="A24" s="22" t="s">
        <v>129</v>
      </c>
      <c r="B24" s="51" t="s">
        <v>88</v>
      </c>
      <c r="C24" s="14" t="s">
        <v>93</v>
      </c>
      <c r="D24" s="22" t="s">
        <v>130</v>
      </c>
      <c r="E24" s="17"/>
      <c r="F24" s="17" t="s">
        <v>91</v>
      </c>
      <c r="G24" s="17"/>
    </row>
    <row r="25" spans="1:7" ht="43.5">
      <c r="A25" s="22" t="s">
        <v>131</v>
      </c>
      <c r="B25" s="51" t="s">
        <v>88</v>
      </c>
      <c r="C25" s="14" t="s">
        <v>93</v>
      </c>
      <c r="D25" s="22" t="s">
        <v>132</v>
      </c>
      <c r="E25" s="17"/>
      <c r="F25" s="17" t="s">
        <v>91</v>
      </c>
      <c r="G25" s="17"/>
    </row>
    <row r="26" spans="1:7" ht="43.5">
      <c r="A26" s="22" t="s">
        <v>133</v>
      </c>
      <c r="B26" s="51" t="s">
        <v>88</v>
      </c>
      <c r="C26" s="14" t="s">
        <v>93</v>
      </c>
      <c r="D26" s="22" t="s">
        <v>134</v>
      </c>
      <c r="E26" s="17"/>
      <c r="F26" s="17" t="s">
        <v>91</v>
      </c>
      <c r="G26" s="17"/>
    </row>
    <row r="27" spans="1:7" ht="43.5">
      <c r="A27" s="22" t="s">
        <v>135</v>
      </c>
      <c r="B27" s="51" t="s">
        <v>88</v>
      </c>
      <c r="C27" s="14" t="s">
        <v>93</v>
      </c>
      <c r="D27" s="22" t="s">
        <v>136</v>
      </c>
      <c r="E27" s="17"/>
      <c r="F27" s="17" t="s">
        <v>91</v>
      </c>
      <c r="G27" s="17"/>
    </row>
    <row r="28" spans="1:7" ht="43.5">
      <c r="A28" s="22" t="s">
        <v>137</v>
      </c>
      <c r="B28" s="51" t="s">
        <v>88</v>
      </c>
      <c r="C28" s="14" t="s">
        <v>93</v>
      </c>
      <c r="D28" s="22" t="s">
        <v>138</v>
      </c>
      <c r="E28" s="17"/>
      <c r="F28" s="17" t="s">
        <v>91</v>
      </c>
      <c r="G28" s="17"/>
    </row>
    <row r="29" spans="1:7" ht="43.5">
      <c r="A29" s="22" t="s">
        <v>139</v>
      </c>
      <c r="B29" s="51" t="s">
        <v>88</v>
      </c>
      <c r="C29" s="14" t="s">
        <v>93</v>
      </c>
      <c r="D29" s="22" t="s">
        <v>140</v>
      </c>
      <c r="E29" s="17"/>
      <c r="F29" s="17" t="s">
        <v>91</v>
      </c>
      <c r="G29" s="17"/>
    </row>
    <row r="30" spans="1:7" ht="43.5">
      <c r="A30" s="17" t="s">
        <v>141</v>
      </c>
      <c r="B30" s="51" t="s">
        <v>88</v>
      </c>
      <c r="C30" s="14" t="s">
        <v>93</v>
      </c>
      <c r="D30" s="22" t="s">
        <v>142</v>
      </c>
      <c r="E30" s="17"/>
      <c r="F30" s="17" t="s">
        <v>91</v>
      </c>
      <c r="G30" s="17"/>
    </row>
    <row r="31" spans="1:7" ht="43.5">
      <c r="A31" s="17" t="s">
        <v>143</v>
      </c>
      <c r="B31" s="51" t="s">
        <v>88</v>
      </c>
      <c r="C31" s="14" t="s">
        <v>93</v>
      </c>
      <c r="D31" s="22" t="s">
        <v>144</v>
      </c>
      <c r="E31" s="17"/>
      <c r="F31" s="17" t="s">
        <v>91</v>
      </c>
      <c r="G31" s="17"/>
    </row>
    <row r="32" spans="1:7" ht="43.5">
      <c r="A32" s="17" t="s">
        <v>145</v>
      </c>
      <c r="B32" s="51" t="s">
        <v>88</v>
      </c>
      <c r="C32" s="14" t="s">
        <v>93</v>
      </c>
      <c r="D32" s="17" t="s">
        <v>145</v>
      </c>
      <c r="E32" s="17"/>
      <c r="F32" s="17" t="s">
        <v>91</v>
      </c>
      <c r="G32" s="17"/>
    </row>
    <row r="33" spans="1:7" s="61" customFormat="1" ht="136.5">
      <c r="A33" s="8"/>
      <c r="B33" s="44"/>
      <c r="C33" s="58" t="s">
        <v>146</v>
      </c>
      <c r="D33" s="59" t="s">
        <v>147</v>
      </c>
      <c r="E33" s="8"/>
      <c r="F33" s="60" t="s">
        <v>91</v>
      </c>
      <c r="G33" s="8"/>
    </row>
    <row r="34" spans="1:7" ht="43.5">
      <c r="A34" s="51" t="s">
        <v>148</v>
      </c>
      <c r="B34" s="51" t="s">
        <v>88</v>
      </c>
      <c r="C34" s="62" t="s">
        <v>149</v>
      </c>
      <c r="D34" s="22" t="s">
        <v>150</v>
      </c>
      <c r="E34" s="41"/>
      <c r="F34" s="17" t="s">
        <v>91</v>
      </c>
      <c r="G34" s="41"/>
    </row>
    <row r="35" spans="1:7" ht="137.5">
      <c r="A35" s="17"/>
      <c r="B35" s="51" t="s">
        <v>88</v>
      </c>
      <c r="C35" s="14" t="s">
        <v>151</v>
      </c>
      <c r="D35" s="17" t="s">
        <v>152</v>
      </c>
      <c r="E35" s="17"/>
      <c r="F35" s="17" t="s">
        <v>91</v>
      </c>
      <c r="G35" s="17"/>
    </row>
    <row r="36" spans="1:7" s="61" customFormat="1" ht="74.5">
      <c r="A36" s="63" t="s">
        <v>153</v>
      </c>
      <c r="B36" s="44" t="s">
        <v>88</v>
      </c>
      <c r="C36" s="63" t="s">
        <v>154</v>
      </c>
      <c r="D36" s="60" t="s">
        <v>155</v>
      </c>
      <c r="E36" s="60"/>
      <c r="F36" s="60" t="s">
        <v>91</v>
      </c>
      <c r="G36" s="60"/>
    </row>
    <row r="37" spans="1:7" ht="43.5">
      <c r="A37" s="17"/>
      <c r="B37" s="51" t="s">
        <v>88</v>
      </c>
      <c r="C37" s="14" t="s">
        <v>156</v>
      </c>
      <c r="D37" s="17" t="s">
        <v>157</v>
      </c>
      <c r="E37" s="17"/>
      <c r="F37" s="17" t="s">
        <v>91</v>
      </c>
      <c r="G37" s="17"/>
    </row>
    <row r="38" spans="1:7" ht="43.5">
      <c r="A38" s="17"/>
      <c r="B38" s="51" t="s">
        <v>88</v>
      </c>
      <c r="C38" s="14" t="s">
        <v>158</v>
      </c>
      <c r="D38" s="17" t="s">
        <v>159</v>
      </c>
      <c r="E38" s="17"/>
      <c r="F38" s="17" t="s">
        <v>91</v>
      </c>
      <c r="G38" s="17"/>
    </row>
    <row r="39" spans="1:7" s="61" customFormat="1" ht="43.5">
      <c r="A39" s="66"/>
      <c r="B39" s="44" t="s">
        <v>88</v>
      </c>
      <c r="C39" s="67" t="s">
        <v>160</v>
      </c>
      <c r="D39" s="66" t="s">
        <v>161</v>
      </c>
      <c r="E39" s="66"/>
      <c r="F39" s="66" t="s">
        <v>91</v>
      </c>
      <c r="G39" s="66"/>
    </row>
    <row r="40" spans="1:7" s="61" customFormat="1" ht="43.5">
      <c r="A40" s="66"/>
      <c r="B40" s="44" t="s">
        <v>88</v>
      </c>
      <c r="C40" s="67" t="s">
        <v>162</v>
      </c>
      <c r="D40" s="66" t="s">
        <v>163</v>
      </c>
      <c r="E40" s="66"/>
      <c r="F40" s="66" t="s">
        <v>91</v>
      </c>
      <c r="G40" s="66"/>
    </row>
    <row r="41" spans="1:7" ht="43.5">
      <c r="A41" s="19"/>
      <c r="B41" s="51" t="s">
        <v>88</v>
      </c>
      <c r="C41" s="21" t="s">
        <v>164</v>
      </c>
      <c r="D41" s="19" t="s">
        <v>165</v>
      </c>
      <c r="E41" s="19"/>
      <c r="F41" s="19" t="s">
        <v>91</v>
      </c>
      <c r="G41" s="19"/>
    </row>
    <row r="42" spans="1:7" ht="43.5">
      <c r="A42" s="19"/>
      <c r="B42" s="51" t="s">
        <v>88</v>
      </c>
      <c r="C42" s="21" t="s">
        <v>166</v>
      </c>
      <c r="D42" s="19" t="s">
        <v>167</v>
      </c>
      <c r="E42" s="19"/>
      <c r="F42" s="19" t="s">
        <v>91</v>
      </c>
      <c r="G42" s="19"/>
    </row>
    <row r="43" spans="1:7" ht="137.5">
      <c r="A43" s="21" t="s">
        <v>168</v>
      </c>
      <c r="B43" s="51" t="s">
        <v>88</v>
      </c>
      <c r="C43" s="21" t="s">
        <v>169</v>
      </c>
      <c r="D43" s="42" t="s">
        <v>170</v>
      </c>
      <c r="E43" s="19"/>
      <c r="F43" s="19" t="s">
        <v>91</v>
      </c>
      <c r="G43" s="19"/>
    </row>
    <row r="44" spans="1:7" ht="137.5">
      <c r="A44" s="19"/>
      <c r="B44" s="51" t="s">
        <v>88</v>
      </c>
      <c r="C44" s="21" t="s">
        <v>171</v>
      </c>
      <c r="D44" s="19" t="s">
        <v>172</v>
      </c>
      <c r="E44" s="19"/>
      <c r="F44" s="19" t="s">
        <v>91</v>
      </c>
      <c r="G44" s="19"/>
    </row>
    <row r="45" spans="1:7" ht="169">
      <c r="A45" s="19"/>
      <c r="B45" s="51" t="s">
        <v>88</v>
      </c>
      <c r="C45" s="21" t="s">
        <v>173</v>
      </c>
      <c r="D45" s="19" t="s">
        <v>174</v>
      </c>
      <c r="E45" s="19"/>
      <c r="F45" s="19" t="s">
        <v>91</v>
      </c>
      <c r="G45" s="19"/>
    </row>
    <row r="46" spans="1:7" ht="43.5">
      <c r="A46" s="19" t="s">
        <v>175</v>
      </c>
      <c r="B46" s="51" t="s">
        <v>88</v>
      </c>
      <c r="C46" s="21" t="s">
        <v>93</v>
      </c>
      <c r="D46" s="19" t="s">
        <v>175</v>
      </c>
      <c r="E46" s="19"/>
      <c r="F46" s="19" t="s">
        <v>91</v>
      </c>
      <c r="G46" s="19"/>
    </row>
    <row r="47" spans="1:7" s="61" customFormat="1" ht="43.5">
      <c r="A47" s="66" t="s">
        <v>176</v>
      </c>
      <c r="B47" s="44" t="s">
        <v>88</v>
      </c>
      <c r="C47" s="67" t="s">
        <v>93</v>
      </c>
      <c r="D47" s="66" t="s">
        <v>176</v>
      </c>
      <c r="E47" s="66"/>
      <c r="F47" s="66" t="s">
        <v>91</v>
      </c>
      <c r="G47" s="66"/>
    </row>
    <row r="48" spans="1:7" s="61" customFormat="1" ht="43.5">
      <c r="A48" s="66" t="s">
        <v>177</v>
      </c>
      <c r="B48" s="44" t="s">
        <v>88</v>
      </c>
      <c r="C48" s="67" t="s">
        <v>93</v>
      </c>
      <c r="D48" s="66" t="s">
        <v>177</v>
      </c>
      <c r="E48" s="66"/>
      <c r="F48" s="66" t="s">
        <v>91</v>
      </c>
      <c r="G48" s="66"/>
    </row>
    <row r="49" spans="1:7" s="61" customFormat="1" ht="158.5">
      <c r="A49" s="66" t="s">
        <v>178</v>
      </c>
      <c r="B49" s="66" t="s">
        <v>179</v>
      </c>
      <c r="C49" s="67" t="s">
        <v>180</v>
      </c>
      <c r="D49" s="66" t="s">
        <v>178</v>
      </c>
      <c r="E49" s="66"/>
      <c r="F49" s="66" t="s">
        <v>91</v>
      </c>
      <c r="G49" s="66"/>
    </row>
    <row r="50" spans="1:7" ht="43.5">
      <c r="A50" s="19" t="s">
        <v>181</v>
      </c>
      <c r="B50" s="51" t="s">
        <v>88</v>
      </c>
      <c r="C50" s="21" t="s">
        <v>93</v>
      </c>
      <c r="D50" s="19" t="s">
        <v>181</v>
      </c>
      <c r="E50" s="19"/>
      <c r="F50" s="19" t="s">
        <v>91</v>
      </c>
      <c r="G50" s="19"/>
    </row>
    <row r="51" spans="1:7" ht="43.5">
      <c r="A51" s="19" t="s">
        <v>182</v>
      </c>
      <c r="B51" s="51" t="s">
        <v>88</v>
      </c>
      <c r="C51" s="21" t="s">
        <v>93</v>
      </c>
      <c r="D51" s="19" t="s">
        <v>182</v>
      </c>
      <c r="E51" s="19"/>
      <c r="F51" s="19" t="s">
        <v>91</v>
      </c>
      <c r="G51" s="19"/>
    </row>
    <row r="52" spans="1:7">
      <c r="C52" s="18"/>
      <c r="F52" s="33"/>
    </row>
    <row r="53" spans="1:7">
      <c r="C53" s="558" t="s">
        <v>183</v>
      </c>
      <c r="D53" s="558"/>
    </row>
    <row r="55" spans="1:7" ht="74.5">
      <c r="A55" s="14" t="s">
        <v>184</v>
      </c>
      <c r="B55" s="14"/>
      <c r="C55" s="14"/>
      <c r="D55" s="14"/>
      <c r="E55" s="14"/>
      <c r="F55" s="14"/>
      <c r="G55" s="14"/>
    </row>
    <row r="56" spans="1:7">
      <c r="A56" s="43" t="s">
        <v>81</v>
      </c>
      <c r="B56" s="43" t="s">
        <v>82</v>
      </c>
      <c r="C56" s="43" t="s">
        <v>77</v>
      </c>
      <c r="D56" s="43" t="s">
        <v>83</v>
      </c>
      <c r="E56" s="43" t="s">
        <v>84</v>
      </c>
      <c r="F56" s="43" t="s">
        <v>85</v>
      </c>
      <c r="G56" s="43" t="s">
        <v>86</v>
      </c>
    </row>
    <row r="57" spans="1:7">
      <c r="A57" s="14" t="s">
        <v>92</v>
      </c>
      <c r="B57" s="14" t="s">
        <v>91</v>
      </c>
      <c r="C57" s="14" t="s">
        <v>93</v>
      </c>
      <c r="D57" s="14" t="s">
        <v>94</v>
      </c>
      <c r="E57" s="14"/>
      <c r="F57" s="14" t="s">
        <v>185</v>
      </c>
      <c r="G57" s="14"/>
    </row>
    <row r="58" spans="1:7">
      <c r="A58" s="14" t="s">
        <v>95</v>
      </c>
      <c r="B58" s="14" t="s">
        <v>91</v>
      </c>
      <c r="C58" s="14" t="s">
        <v>93</v>
      </c>
      <c r="D58" s="14" t="s">
        <v>96</v>
      </c>
      <c r="E58" s="14"/>
      <c r="F58" s="14" t="s">
        <v>185</v>
      </c>
      <c r="G58" s="14"/>
    </row>
    <row r="59" spans="1:7">
      <c r="A59" s="14" t="s">
        <v>113</v>
      </c>
      <c r="B59" s="14" t="s">
        <v>91</v>
      </c>
      <c r="C59" s="14" t="s">
        <v>93</v>
      </c>
      <c r="D59" s="14" t="s">
        <v>186</v>
      </c>
      <c r="E59" s="14"/>
      <c r="F59" s="14" t="s">
        <v>185</v>
      </c>
      <c r="G59" s="14"/>
    </row>
    <row r="60" spans="1:7">
      <c r="A60" s="14" t="s">
        <v>116</v>
      </c>
      <c r="B60" s="14" t="s">
        <v>91</v>
      </c>
      <c r="C60" s="14" t="s">
        <v>93</v>
      </c>
      <c r="D60" s="14" t="s">
        <v>187</v>
      </c>
      <c r="E60" s="14"/>
      <c r="F60" s="14" t="s">
        <v>185</v>
      </c>
      <c r="G60" s="14"/>
    </row>
    <row r="61" spans="1:7">
      <c r="A61" s="14" t="s">
        <v>118</v>
      </c>
      <c r="B61" s="14" t="s">
        <v>91</v>
      </c>
      <c r="C61" s="14" t="s">
        <v>93</v>
      </c>
      <c r="D61" s="14" t="s">
        <v>188</v>
      </c>
      <c r="E61" s="14"/>
      <c r="F61" s="14" t="s">
        <v>185</v>
      </c>
      <c r="G61" s="14"/>
    </row>
    <row r="62" spans="1:7">
      <c r="A62" s="14" t="s">
        <v>120</v>
      </c>
      <c r="B62" s="14" t="s">
        <v>91</v>
      </c>
      <c r="C62" s="14" t="s">
        <v>93</v>
      </c>
      <c r="D62" s="14" t="s">
        <v>189</v>
      </c>
      <c r="E62" s="14"/>
      <c r="F62" s="14" t="s">
        <v>185</v>
      </c>
      <c r="G62" s="14"/>
    </row>
    <row r="64" spans="1:7">
      <c r="C64" s="558" t="s">
        <v>190</v>
      </c>
      <c r="D64" s="558"/>
    </row>
    <row r="65" spans="1:7" ht="74.5">
      <c r="A65" s="14" t="s">
        <v>191</v>
      </c>
    </row>
    <row r="66" spans="1:7">
      <c r="A66" s="16" t="s">
        <v>81</v>
      </c>
      <c r="B66" s="16" t="s">
        <v>82</v>
      </c>
      <c r="C66" s="46" t="s">
        <v>77</v>
      </c>
      <c r="D66" s="16" t="s">
        <v>83</v>
      </c>
      <c r="E66" s="16" t="s">
        <v>84</v>
      </c>
      <c r="F66" s="16" t="s">
        <v>85</v>
      </c>
      <c r="G66" s="16" t="s">
        <v>86</v>
      </c>
    </row>
    <row r="67" spans="1:7">
      <c r="A67" s="14" t="s">
        <v>92</v>
      </c>
      <c r="B67" s="14" t="s">
        <v>91</v>
      </c>
      <c r="C67" s="14" t="s">
        <v>93</v>
      </c>
      <c r="D67" s="14" t="s">
        <v>94</v>
      </c>
      <c r="E67" s="14"/>
      <c r="F67" s="14" t="s">
        <v>192</v>
      </c>
      <c r="G67" s="14"/>
    </row>
    <row r="68" spans="1:7">
      <c r="A68" s="14" t="s">
        <v>95</v>
      </c>
      <c r="B68" s="14" t="s">
        <v>91</v>
      </c>
      <c r="C68" s="14" t="s">
        <v>93</v>
      </c>
      <c r="D68" s="14" t="s">
        <v>96</v>
      </c>
      <c r="E68" s="14"/>
      <c r="F68" s="14" t="s">
        <v>192</v>
      </c>
      <c r="G68" s="14"/>
    </row>
    <row r="69" spans="1:7">
      <c r="A69" s="14" t="s">
        <v>113</v>
      </c>
      <c r="B69" s="14" t="s">
        <v>91</v>
      </c>
      <c r="C69" s="14" t="s">
        <v>93</v>
      </c>
      <c r="D69" s="14" t="s">
        <v>193</v>
      </c>
      <c r="E69" s="14"/>
      <c r="F69" s="14" t="s">
        <v>192</v>
      </c>
      <c r="G69" s="14"/>
    </row>
    <row r="70" spans="1:7">
      <c r="A70" s="14" t="s">
        <v>116</v>
      </c>
      <c r="B70" s="14" t="s">
        <v>91</v>
      </c>
      <c r="C70" s="14" t="s">
        <v>93</v>
      </c>
      <c r="D70" s="14" t="s">
        <v>194</v>
      </c>
      <c r="E70" s="14"/>
      <c r="F70" s="14" t="s">
        <v>192</v>
      </c>
      <c r="G70" s="14"/>
    </row>
    <row r="71" spans="1:7">
      <c r="A71" s="14" t="s">
        <v>118</v>
      </c>
      <c r="B71" s="14" t="s">
        <v>91</v>
      </c>
      <c r="C71" s="14" t="s">
        <v>93</v>
      </c>
      <c r="D71" s="14" t="s">
        <v>195</v>
      </c>
      <c r="E71" s="14"/>
      <c r="F71" s="14" t="s">
        <v>192</v>
      </c>
      <c r="G71" s="14"/>
    </row>
    <row r="72" spans="1:7">
      <c r="A72" s="14" t="s">
        <v>120</v>
      </c>
      <c r="B72" s="14" t="s">
        <v>91</v>
      </c>
      <c r="C72" s="14" t="s">
        <v>93</v>
      </c>
      <c r="D72" s="14" t="s">
        <v>196</v>
      </c>
      <c r="E72" s="14"/>
      <c r="F72" s="14" t="s">
        <v>192</v>
      </c>
      <c r="G72" s="14"/>
    </row>
    <row r="74" spans="1:7">
      <c r="C74" s="558" t="s">
        <v>197</v>
      </c>
      <c r="D74" s="558"/>
    </row>
    <row r="76" spans="1:7" ht="32.5">
      <c r="A76" s="63" t="s">
        <v>198</v>
      </c>
      <c r="B76" s="63" t="s">
        <v>199</v>
      </c>
    </row>
    <row r="77" spans="1:7" ht="53.5">
      <c r="A77" s="63" t="s">
        <v>200</v>
      </c>
      <c r="B77" s="63" t="s">
        <v>201</v>
      </c>
    </row>
    <row r="78" spans="1:7">
      <c r="A78" s="14" t="s">
        <v>202</v>
      </c>
      <c r="B78" s="14" t="s">
        <v>203</v>
      </c>
    </row>
    <row r="79" spans="1:7">
      <c r="A79" s="16" t="s">
        <v>81</v>
      </c>
      <c r="B79" s="16" t="s">
        <v>82</v>
      </c>
      <c r="C79" s="46" t="s">
        <v>77</v>
      </c>
      <c r="D79" s="16" t="s">
        <v>83</v>
      </c>
      <c r="E79" s="16" t="s">
        <v>84</v>
      </c>
      <c r="F79" s="16" t="s">
        <v>85</v>
      </c>
      <c r="G79" s="16" t="s">
        <v>86</v>
      </c>
    </row>
    <row r="80" spans="1:7">
      <c r="A80" s="14" t="s">
        <v>90</v>
      </c>
      <c r="B80" s="14" t="s">
        <v>204</v>
      </c>
      <c r="C80" s="14" t="s">
        <v>93</v>
      </c>
      <c r="D80" s="14" t="s">
        <v>90</v>
      </c>
      <c r="E80" s="14"/>
      <c r="F80" s="14" t="s">
        <v>205</v>
      </c>
      <c r="G80" s="17"/>
    </row>
    <row r="81" spans="1:7">
      <c r="A81" s="14"/>
      <c r="B81" s="14" t="s">
        <v>204</v>
      </c>
      <c r="C81" s="14" t="s">
        <v>206</v>
      </c>
      <c r="D81" s="14" t="s">
        <v>207</v>
      </c>
      <c r="E81" s="14"/>
      <c r="F81" s="14" t="s">
        <v>205</v>
      </c>
      <c r="G81" s="17"/>
    </row>
    <row r="83" spans="1:7">
      <c r="C83" s="558" t="s">
        <v>208</v>
      </c>
      <c r="D83" s="558"/>
    </row>
    <row r="85" spans="1:7">
      <c r="A85" s="14" t="s">
        <v>209</v>
      </c>
    </row>
    <row r="86" spans="1:7" ht="83.5" customHeight="1">
      <c r="A86" s="555" t="s">
        <v>210</v>
      </c>
      <c r="B86" s="556"/>
      <c r="C86" s="557"/>
    </row>
    <row r="88" spans="1:7">
      <c r="A88" s="16" t="s">
        <v>82</v>
      </c>
      <c r="B88" s="16" t="s">
        <v>81</v>
      </c>
      <c r="C88" s="46" t="s">
        <v>77</v>
      </c>
      <c r="D88" s="16" t="s">
        <v>83</v>
      </c>
      <c r="E88" s="16" t="s">
        <v>84</v>
      </c>
      <c r="F88" s="16" t="s">
        <v>85</v>
      </c>
      <c r="G88" s="16" t="s">
        <v>86</v>
      </c>
    </row>
    <row r="89" spans="1:7">
      <c r="A89" s="17" t="s">
        <v>91</v>
      </c>
      <c r="B89" s="17" t="s">
        <v>90</v>
      </c>
      <c r="C89" s="14" t="s">
        <v>93</v>
      </c>
      <c r="D89" s="17" t="s">
        <v>90</v>
      </c>
      <c r="F89" s="17" t="s">
        <v>211</v>
      </c>
      <c r="G89" s="17"/>
    </row>
    <row r="90" spans="1:7">
      <c r="A90" s="17" t="s">
        <v>91</v>
      </c>
      <c r="B90" s="17" t="s">
        <v>94</v>
      </c>
      <c r="C90" s="14" t="s">
        <v>93</v>
      </c>
      <c r="D90" s="17" t="s">
        <v>94</v>
      </c>
      <c r="E90" s="17"/>
      <c r="F90" s="17" t="s">
        <v>211</v>
      </c>
      <c r="G90" s="17"/>
    </row>
    <row r="91" spans="1:7">
      <c r="A91" s="17" t="s">
        <v>91</v>
      </c>
      <c r="B91" s="17" t="s">
        <v>96</v>
      </c>
      <c r="C91" s="14" t="s">
        <v>93</v>
      </c>
      <c r="D91" s="17" t="s">
        <v>96</v>
      </c>
      <c r="E91" s="17"/>
      <c r="F91" s="17" t="s">
        <v>211</v>
      </c>
      <c r="G91" s="17"/>
    </row>
    <row r="92" spans="1:7">
      <c r="A92" s="17" t="s">
        <v>91</v>
      </c>
      <c r="B92" s="17" t="s">
        <v>97</v>
      </c>
      <c r="C92" s="14" t="s">
        <v>93</v>
      </c>
      <c r="D92" s="17" t="s">
        <v>97</v>
      </c>
      <c r="E92" s="17"/>
      <c r="F92" s="17" t="s">
        <v>211</v>
      </c>
      <c r="G92" s="17"/>
    </row>
    <row r="93" spans="1:7">
      <c r="A93" s="17" t="s">
        <v>91</v>
      </c>
      <c r="B93" s="17" t="s">
        <v>98</v>
      </c>
      <c r="C93" s="14" t="s">
        <v>93</v>
      </c>
      <c r="D93" s="17" t="s">
        <v>98</v>
      </c>
      <c r="E93" s="17"/>
      <c r="F93" s="17" t="s">
        <v>211</v>
      </c>
      <c r="G93" s="17"/>
    </row>
    <row r="94" spans="1:7">
      <c r="A94" s="17" t="s">
        <v>91</v>
      </c>
      <c r="B94" s="17" t="s">
        <v>99</v>
      </c>
      <c r="C94" s="14" t="s">
        <v>93</v>
      </c>
      <c r="D94" s="17" t="s">
        <v>99</v>
      </c>
      <c r="E94" s="17"/>
      <c r="F94" s="17" t="s">
        <v>211</v>
      </c>
      <c r="G94" s="17"/>
    </row>
    <row r="95" spans="1:7">
      <c r="A95" s="17" t="s">
        <v>91</v>
      </c>
      <c r="B95" s="17" t="s">
        <v>100</v>
      </c>
      <c r="C95" s="14" t="s">
        <v>93</v>
      </c>
      <c r="D95" s="17" t="s">
        <v>100</v>
      </c>
      <c r="E95" s="17"/>
      <c r="F95" s="17" t="s">
        <v>211</v>
      </c>
      <c r="G95" s="17"/>
    </row>
    <row r="96" spans="1:7">
      <c r="A96" s="17" t="s">
        <v>91</v>
      </c>
      <c r="B96" s="17" t="s">
        <v>103</v>
      </c>
      <c r="C96" s="14" t="s">
        <v>93</v>
      </c>
      <c r="D96" s="17" t="s">
        <v>103</v>
      </c>
      <c r="E96" s="17"/>
      <c r="F96" s="17" t="s">
        <v>211</v>
      </c>
      <c r="G96" s="17"/>
    </row>
    <row r="97" spans="1:7">
      <c r="A97" s="17" t="s">
        <v>91</v>
      </c>
      <c r="B97" s="17" t="s">
        <v>170</v>
      </c>
      <c r="C97" s="14" t="s">
        <v>93</v>
      </c>
      <c r="D97" s="17" t="s">
        <v>170</v>
      </c>
      <c r="E97" s="17"/>
      <c r="F97" s="17" t="s">
        <v>211</v>
      </c>
      <c r="G97" s="17"/>
    </row>
    <row r="98" spans="1:7">
      <c r="A98" s="17" t="s">
        <v>91</v>
      </c>
      <c r="B98" s="17" t="s">
        <v>105</v>
      </c>
      <c r="C98" s="14" t="s">
        <v>212</v>
      </c>
      <c r="D98" s="17" t="s">
        <v>213</v>
      </c>
      <c r="E98" s="17"/>
      <c r="F98" s="17" t="s">
        <v>211</v>
      </c>
      <c r="G98" s="17"/>
    </row>
    <row r="99" spans="1:7">
      <c r="A99" s="17" t="s">
        <v>214</v>
      </c>
      <c r="B99" s="17" t="s">
        <v>105</v>
      </c>
      <c r="C99" s="14" t="s">
        <v>215</v>
      </c>
      <c r="D99" s="17" t="s">
        <v>216</v>
      </c>
      <c r="E99" s="17"/>
      <c r="F99" s="17" t="s">
        <v>211</v>
      </c>
      <c r="G99" s="17"/>
    </row>
    <row r="100" spans="1:7">
      <c r="A100" s="17" t="s">
        <v>91</v>
      </c>
      <c r="B100" s="17" t="s">
        <v>107</v>
      </c>
      <c r="C100" s="14" t="s">
        <v>93</v>
      </c>
      <c r="D100" s="17" t="s">
        <v>107</v>
      </c>
      <c r="E100" s="17"/>
      <c r="F100" s="17" t="s">
        <v>211</v>
      </c>
      <c r="G100" s="17"/>
    </row>
    <row r="101" spans="1:7">
      <c r="A101" s="17" t="s">
        <v>91</v>
      </c>
      <c r="B101" s="17" t="s">
        <v>110</v>
      </c>
      <c r="C101" s="14" t="s">
        <v>93</v>
      </c>
      <c r="D101" s="17" t="s">
        <v>110</v>
      </c>
      <c r="E101" s="17"/>
      <c r="F101" s="17" t="s">
        <v>211</v>
      </c>
      <c r="G101" s="17"/>
    </row>
    <row r="102" spans="1:7">
      <c r="A102" s="17" t="s">
        <v>91</v>
      </c>
      <c r="B102" s="17" t="s">
        <v>113</v>
      </c>
      <c r="C102" s="14" t="s">
        <v>93</v>
      </c>
      <c r="D102" s="17" t="s">
        <v>113</v>
      </c>
      <c r="E102" s="17"/>
      <c r="F102" s="17" t="s">
        <v>211</v>
      </c>
      <c r="G102" s="17"/>
    </row>
    <row r="103" spans="1:7">
      <c r="A103" s="17" t="s">
        <v>91</v>
      </c>
      <c r="B103" s="17" t="s">
        <v>116</v>
      </c>
      <c r="C103" s="14" t="s">
        <v>93</v>
      </c>
      <c r="D103" s="17" t="s">
        <v>116</v>
      </c>
      <c r="E103" s="17"/>
      <c r="F103" s="17" t="s">
        <v>211</v>
      </c>
      <c r="G103" s="17"/>
    </row>
    <row r="104" spans="1:7">
      <c r="A104" s="17" t="s">
        <v>91</v>
      </c>
      <c r="B104" s="17" t="s">
        <v>118</v>
      </c>
      <c r="C104" s="14" t="s">
        <v>93</v>
      </c>
      <c r="D104" s="17" t="s">
        <v>118</v>
      </c>
      <c r="E104" s="17"/>
      <c r="F104" s="17" t="s">
        <v>211</v>
      </c>
      <c r="G104" s="17"/>
    </row>
    <row r="105" spans="1:7">
      <c r="A105" s="17" t="s">
        <v>91</v>
      </c>
      <c r="B105" s="17" t="s">
        <v>120</v>
      </c>
      <c r="C105" s="14" t="s">
        <v>93</v>
      </c>
      <c r="D105" s="17" t="s">
        <v>120</v>
      </c>
      <c r="E105" s="17"/>
      <c r="F105" s="17" t="s">
        <v>211</v>
      </c>
      <c r="G105" s="17"/>
    </row>
    <row r="106" spans="1:7">
      <c r="A106" s="17" t="s">
        <v>91</v>
      </c>
      <c r="B106" s="17" t="s">
        <v>155</v>
      </c>
      <c r="C106" s="14" t="s">
        <v>93</v>
      </c>
      <c r="D106" s="17" t="s">
        <v>155</v>
      </c>
      <c r="E106" s="41"/>
      <c r="F106" s="17" t="s">
        <v>211</v>
      </c>
      <c r="G106" s="41"/>
    </row>
    <row r="107" spans="1:7">
      <c r="A107" s="17" t="s">
        <v>91</v>
      </c>
      <c r="B107" s="17" t="s">
        <v>157</v>
      </c>
      <c r="C107" s="14" t="s">
        <v>93</v>
      </c>
      <c r="D107" s="17" t="s">
        <v>157</v>
      </c>
      <c r="E107" s="41"/>
      <c r="F107" s="17" t="s">
        <v>211</v>
      </c>
      <c r="G107" s="41"/>
    </row>
    <row r="108" spans="1:7">
      <c r="A108" s="17" t="s">
        <v>91</v>
      </c>
      <c r="B108" s="17" t="s">
        <v>159</v>
      </c>
      <c r="C108" s="14" t="s">
        <v>93</v>
      </c>
      <c r="D108" s="17" t="s">
        <v>159</v>
      </c>
      <c r="E108" s="41"/>
      <c r="F108" s="17" t="s">
        <v>211</v>
      </c>
      <c r="G108" s="41"/>
    </row>
    <row r="109" spans="1:7">
      <c r="A109" s="17" t="s">
        <v>91</v>
      </c>
      <c r="B109" s="17" t="s">
        <v>161</v>
      </c>
      <c r="C109" s="14" t="s">
        <v>93</v>
      </c>
      <c r="D109" s="17" t="s">
        <v>161</v>
      </c>
      <c r="E109" s="41"/>
      <c r="F109" s="17" t="s">
        <v>211</v>
      </c>
      <c r="G109" s="41"/>
    </row>
    <row r="110" spans="1:7">
      <c r="A110" s="17" t="s">
        <v>91</v>
      </c>
      <c r="B110" s="17" t="s">
        <v>163</v>
      </c>
      <c r="C110" s="14" t="s">
        <v>93</v>
      </c>
      <c r="D110" s="17" t="s">
        <v>163</v>
      </c>
      <c r="E110" s="41"/>
      <c r="F110" s="17" t="s">
        <v>211</v>
      </c>
      <c r="G110" s="41"/>
    </row>
    <row r="111" spans="1:7">
      <c r="A111" s="17" t="s">
        <v>91</v>
      </c>
      <c r="B111" s="17" t="s">
        <v>165</v>
      </c>
      <c r="C111" s="14" t="s">
        <v>93</v>
      </c>
      <c r="D111" s="17" t="s">
        <v>165</v>
      </c>
      <c r="E111" s="41"/>
      <c r="F111" s="17" t="s">
        <v>211</v>
      </c>
      <c r="G111" s="41"/>
    </row>
    <row r="112" spans="1:7">
      <c r="A112" s="17" t="s">
        <v>91</v>
      </c>
      <c r="B112" s="17" t="s">
        <v>167</v>
      </c>
      <c r="C112" s="14" t="s">
        <v>93</v>
      </c>
      <c r="D112" s="19" t="s">
        <v>167</v>
      </c>
      <c r="E112" s="41"/>
      <c r="F112" s="17" t="s">
        <v>211</v>
      </c>
      <c r="G112" s="41"/>
    </row>
    <row r="113" spans="1:7">
      <c r="A113" s="17" t="s">
        <v>91</v>
      </c>
      <c r="B113" s="17" t="s">
        <v>172</v>
      </c>
      <c r="C113" s="14" t="s">
        <v>93</v>
      </c>
      <c r="D113" s="17" t="s">
        <v>172</v>
      </c>
      <c r="E113" s="41"/>
      <c r="F113" s="17" t="s">
        <v>211</v>
      </c>
      <c r="G113" s="41"/>
    </row>
    <row r="114" spans="1:7">
      <c r="A114" s="17" t="s">
        <v>91</v>
      </c>
      <c r="B114" s="17" t="s">
        <v>174</v>
      </c>
      <c r="C114" s="14" t="s">
        <v>93</v>
      </c>
      <c r="D114" s="17" t="s">
        <v>174</v>
      </c>
      <c r="E114" s="41"/>
      <c r="F114" s="17" t="s">
        <v>211</v>
      </c>
      <c r="G114" s="41"/>
    </row>
    <row r="115" spans="1:7">
      <c r="A115" s="14" t="s">
        <v>185</v>
      </c>
      <c r="B115" s="19" t="s">
        <v>186</v>
      </c>
      <c r="C115" s="14" t="s">
        <v>93</v>
      </c>
      <c r="D115" s="19" t="s">
        <v>186</v>
      </c>
      <c r="E115" s="41"/>
      <c r="F115" s="17" t="s">
        <v>211</v>
      </c>
      <c r="G115" s="41"/>
    </row>
    <row r="116" spans="1:7">
      <c r="A116" s="14" t="s">
        <v>185</v>
      </c>
      <c r="B116" s="19" t="s">
        <v>187</v>
      </c>
      <c r="C116" s="14" t="s">
        <v>93</v>
      </c>
      <c r="D116" s="19" t="s">
        <v>187</v>
      </c>
      <c r="E116" s="41"/>
      <c r="F116" s="17" t="s">
        <v>211</v>
      </c>
      <c r="G116" s="41"/>
    </row>
    <row r="117" spans="1:7">
      <c r="A117" s="14" t="s">
        <v>185</v>
      </c>
      <c r="B117" s="19" t="s">
        <v>188</v>
      </c>
      <c r="C117" s="14" t="s">
        <v>93</v>
      </c>
      <c r="D117" s="19" t="s">
        <v>188</v>
      </c>
      <c r="E117" s="41"/>
      <c r="F117" s="17" t="s">
        <v>211</v>
      </c>
      <c r="G117" s="41"/>
    </row>
    <row r="118" spans="1:7">
      <c r="A118" s="14" t="s">
        <v>185</v>
      </c>
      <c r="B118" s="19" t="s">
        <v>189</v>
      </c>
      <c r="C118" s="14" t="s">
        <v>93</v>
      </c>
      <c r="D118" s="19" t="s">
        <v>189</v>
      </c>
      <c r="E118" s="41"/>
      <c r="F118" s="17" t="s">
        <v>211</v>
      </c>
      <c r="G118" s="41"/>
    </row>
    <row r="119" spans="1:7">
      <c r="A119" s="14" t="s">
        <v>192</v>
      </c>
      <c r="B119" s="19" t="s">
        <v>193</v>
      </c>
      <c r="C119" s="14" t="s">
        <v>93</v>
      </c>
      <c r="D119" s="19" t="s">
        <v>193</v>
      </c>
      <c r="E119" s="41"/>
      <c r="F119" s="17" t="s">
        <v>211</v>
      </c>
      <c r="G119" s="41"/>
    </row>
    <row r="120" spans="1:7">
      <c r="A120" s="14" t="s">
        <v>192</v>
      </c>
      <c r="B120" s="19" t="s">
        <v>194</v>
      </c>
      <c r="C120" s="14" t="s">
        <v>93</v>
      </c>
      <c r="D120" s="19" t="s">
        <v>194</v>
      </c>
      <c r="E120" s="41"/>
      <c r="F120" s="17" t="s">
        <v>211</v>
      </c>
      <c r="G120" s="41"/>
    </row>
    <row r="121" spans="1:7">
      <c r="A121" s="14" t="s">
        <v>192</v>
      </c>
      <c r="B121" s="19" t="s">
        <v>195</v>
      </c>
      <c r="C121" s="14" t="s">
        <v>93</v>
      </c>
      <c r="D121" s="19" t="s">
        <v>195</v>
      </c>
      <c r="E121" s="41"/>
      <c r="F121" s="17" t="s">
        <v>211</v>
      </c>
      <c r="G121" s="41"/>
    </row>
    <row r="122" spans="1:7">
      <c r="A122" s="14" t="s">
        <v>192</v>
      </c>
      <c r="B122" s="19" t="s">
        <v>196</v>
      </c>
      <c r="C122" s="14" t="s">
        <v>93</v>
      </c>
      <c r="D122" s="19" t="s">
        <v>196</v>
      </c>
      <c r="E122" s="41"/>
      <c r="F122" s="17" t="s">
        <v>211</v>
      </c>
      <c r="G122" s="41"/>
    </row>
    <row r="123" spans="1:7">
      <c r="A123" s="17" t="s">
        <v>91</v>
      </c>
      <c r="B123" s="17" t="s">
        <v>122</v>
      </c>
      <c r="C123" s="14" t="s">
        <v>212</v>
      </c>
      <c r="D123" s="22" t="s">
        <v>217</v>
      </c>
      <c r="E123" s="41"/>
      <c r="F123" s="17" t="s">
        <v>211</v>
      </c>
      <c r="G123" s="41"/>
    </row>
    <row r="124" spans="1:7">
      <c r="A124" s="17" t="s">
        <v>91</v>
      </c>
      <c r="B124" s="17" t="s">
        <v>124</v>
      </c>
      <c r="C124" s="14" t="s">
        <v>212</v>
      </c>
      <c r="D124" s="22" t="s">
        <v>218</v>
      </c>
      <c r="E124" s="41"/>
      <c r="F124" s="17" t="s">
        <v>211</v>
      </c>
      <c r="G124" s="41"/>
    </row>
    <row r="125" spans="1:7">
      <c r="A125" s="17" t="s">
        <v>91</v>
      </c>
      <c r="B125" s="22" t="s">
        <v>126</v>
      </c>
      <c r="C125" s="14" t="s">
        <v>212</v>
      </c>
      <c r="D125" s="22" t="s">
        <v>219</v>
      </c>
      <c r="E125" s="41"/>
      <c r="F125" s="17" t="s">
        <v>211</v>
      </c>
      <c r="G125" s="41"/>
    </row>
    <row r="126" spans="1:7">
      <c r="A126" s="17" t="s">
        <v>91</v>
      </c>
      <c r="B126" s="22" t="s">
        <v>128</v>
      </c>
      <c r="C126" s="14" t="s">
        <v>212</v>
      </c>
      <c r="D126" s="22" t="s">
        <v>220</v>
      </c>
      <c r="E126" s="41"/>
      <c r="F126" s="17" t="s">
        <v>211</v>
      </c>
      <c r="G126" s="41"/>
    </row>
    <row r="127" spans="1:7">
      <c r="A127" s="17" t="s">
        <v>91</v>
      </c>
      <c r="B127" s="22" t="s">
        <v>130</v>
      </c>
      <c r="C127" s="14" t="s">
        <v>212</v>
      </c>
      <c r="D127" s="22" t="s">
        <v>221</v>
      </c>
      <c r="E127" s="41"/>
      <c r="F127" s="17" t="s">
        <v>211</v>
      </c>
      <c r="G127" s="41"/>
    </row>
    <row r="128" spans="1:7">
      <c r="A128" s="17" t="s">
        <v>91</v>
      </c>
      <c r="B128" s="22" t="s">
        <v>132</v>
      </c>
      <c r="C128" s="14" t="s">
        <v>212</v>
      </c>
      <c r="D128" s="22" t="s">
        <v>222</v>
      </c>
      <c r="E128" s="41"/>
      <c r="F128" s="17" t="s">
        <v>211</v>
      </c>
      <c r="G128" s="41"/>
    </row>
    <row r="129" spans="1:7">
      <c r="A129" s="17" t="s">
        <v>91</v>
      </c>
      <c r="B129" s="22" t="s">
        <v>134</v>
      </c>
      <c r="C129" s="14" t="s">
        <v>212</v>
      </c>
      <c r="D129" s="22" t="s">
        <v>223</v>
      </c>
      <c r="E129" s="41"/>
      <c r="F129" s="17" t="s">
        <v>211</v>
      </c>
      <c r="G129" s="41"/>
    </row>
    <row r="130" spans="1:7">
      <c r="A130" s="17" t="s">
        <v>91</v>
      </c>
      <c r="B130" s="22" t="s">
        <v>136</v>
      </c>
      <c r="C130" s="14" t="s">
        <v>212</v>
      </c>
      <c r="D130" s="22" t="s">
        <v>224</v>
      </c>
      <c r="E130" s="41"/>
      <c r="F130" s="17" t="s">
        <v>211</v>
      </c>
      <c r="G130" s="41"/>
    </row>
    <row r="131" spans="1:7">
      <c r="A131" s="17" t="s">
        <v>91</v>
      </c>
      <c r="B131" s="22" t="s">
        <v>138</v>
      </c>
      <c r="C131" s="14" t="s">
        <v>212</v>
      </c>
      <c r="D131" s="22" t="s">
        <v>225</v>
      </c>
      <c r="E131" s="41"/>
      <c r="F131" s="17" t="s">
        <v>211</v>
      </c>
      <c r="G131" s="41"/>
    </row>
    <row r="132" spans="1:7">
      <c r="A132" s="17" t="s">
        <v>91</v>
      </c>
      <c r="B132" s="22" t="s">
        <v>140</v>
      </c>
      <c r="C132" s="14" t="s">
        <v>212</v>
      </c>
      <c r="D132" s="22" t="s">
        <v>226</v>
      </c>
      <c r="E132" s="41"/>
      <c r="F132" s="17" t="s">
        <v>211</v>
      </c>
      <c r="G132" s="41"/>
    </row>
    <row r="133" spans="1:7">
      <c r="A133" s="17" t="s">
        <v>91</v>
      </c>
      <c r="B133" s="22" t="s">
        <v>142</v>
      </c>
      <c r="C133" s="14" t="s">
        <v>212</v>
      </c>
      <c r="D133" s="22" t="s">
        <v>227</v>
      </c>
      <c r="E133" s="41"/>
      <c r="F133" s="17" t="s">
        <v>211</v>
      </c>
      <c r="G133" s="41"/>
    </row>
    <row r="134" spans="1:7">
      <c r="A134" s="17" t="s">
        <v>91</v>
      </c>
      <c r="B134" s="22" t="s">
        <v>144</v>
      </c>
      <c r="C134" s="14" t="s">
        <v>212</v>
      </c>
      <c r="D134" s="22" t="s">
        <v>228</v>
      </c>
      <c r="E134" s="41"/>
      <c r="F134" s="17" t="s">
        <v>211</v>
      </c>
      <c r="G134" s="41"/>
    </row>
    <row r="135" spans="1:7">
      <c r="A135" s="17" t="s">
        <v>91</v>
      </c>
      <c r="B135" s="17" t="s">
        <v>145</v>
      </c>
      <c r="C135" s="14" t="s">
        <v>212</v>
      </c>
      <c r="D135" s="22" t="s">
        <v>229</v>
      </c>
      <c r="E135" s="41"/>
      <c r="F135" s="17" t="s">
        <v>211</v>
      </c>
      <c r="G135" s="41"/>
    </row>
    <row r="136" spans="1:7">
      <c r="A136" s="17" t="s">
        <v>91</v>
      </c>
      <c r="B136" s="22" t="s">
        <v>147</v>
      </c>
      <c r="C136" s="14" t="s">
        <v>212</v>
      </c>
      <c r="D136" s="22" t="s">
        <v>230</v>
      </c>
      <c r="E136" s="41"/>
      <c r="F136" s="17" t="s">
        <v>211</v>
      </c>
      <c r="G136" s="41"/>
    </row>
    <row r="137" spans="1:7">
      <c r="A137" s="17" t="s">
        <v>91</v>
      </c>
      <c r="B137" s="22" t="s">
        <v>150</v>
      </c>
      <c r="C137" s="14" t="s">
        <v>212</v>
      </c>
      <c r="D137" s="22" t="s">
        <v>231</v>
      </c>
      <c r="E137" s="41"/>
      <c r="F137" s="17" t="s">
        <v>211</v>
      </c>
      <c r="G137" s="41"/>
    </row>
    <row r="138" spans="1:7">
      <c r="A138" s="17" t="s">
        <v>91</v>
      </c>
      <c r="B138" s="17" t="s">
        <v>152</v>
      </c>
      <c r="C138" s="14" t="s">
        <v>212</v>
      </c>
      <c r="D138" s="22" t="s">
        <v>232</v>
      </c>
      <c r="E138" s="41"/>
      <c r="F138" s="17" t="s">
        <v>211</v>
      </c>
      <c r="G138" s="41"/>
    </row>
    <row r="139" spans="1:7">
      <c r="A139" s="17" t="s">
        <v>214</v>
      </c>
      <c r="B139" s="17" t="s">
        <v>122</v>
      </c>
      <c r="C139" s="14" t="s">
        <v>215</v>
      </c>
      <c r="D139" s="22" t="s">
        <v>233</v>
      </c>
      <c r="E139" s="41"/>
      <c r="F139" s="17" t="s">
        <v>211</v>
      </c>
      <c r="G139" s="41"/>
    </row>
    <row r="140" spans="1:7">
      <c r="A140" s="17" t="s">
        <v>214</v>
      </c>
      <c r="B140" s="17" t="s">
        <v>124</v>
      </c>
      <c r="C140" s="14" t="s">
        <v>215</v>
      </c>
      <c r="D140" s="22" t="s">
        <v>234</v>
      </c>
      <c r="E140" s="41"/>
      <c r="F140" s="17" t="s">
        <v>211</v>
      </c>
      <c r="G140" s="41"/>
    </row>
    <row r="141" spans="1:7">
      <c r="A141" s="17" t="s">
        <v>214</v>
      </c>
      <c r="B141" s="22" t="s">
        <v>126</v>
      </c>
      <c r="C141" s="14" t="s">
        <v>215</v>
      </c>
      <c r="D141" s="22" t="s">
        <v>235</v>
      </c>
      <c r="E141" s="41"/>
      <c r="F141" s="17" t="s">
        <v>211</v>
      </c>
      <c r="G141" s="41"/>
    </row>
    <row r="142" spans="1:7">
      <c r="A142" s="17" t="s">
        <v>214</v>
      </c>
      <c r="B142" s="22" t="s">
        <v>128</v>
      </c>
      <c r="C142" s="14" t="s">
        <v>215</v>
      </c>
      <c r="D142" s="22" t="s">
        <v>236</v>
      </c>
      <c r="E142" s="41"/>
      <c r="F142" s="17" t="s">
        <v>211</v>
      </c>
      <c r="G142" s="41"/>
    </row>
    <row r="143" spans="1:7">
      <c r="A143" s="17" t="s">
        <v>214</v>
      </c>
      <c r="B143" s="22" t="s">
        <v>130</v>
      </c>
      <c r="C143" s="14" t="s">
        <v>215</v>
      </c>
      <c r="D143" s="22" t="s">
        <v>237</v>
      </c>
      <c r="E143" s="41"/>
      <c r="F143" s="17" t="s">
        <v>211</v>
      </c>
      <c r="G143" s="41"/>
    </row>
    <row r="144" spans="1:7">
      <c r="A144" s="17" t="s">
        <v>214</v>
      </c>
      <c r="B144" s="22" t="s">
        <v>132</v>
      </c>
      <c r="C144" s="14" t="s">
        <v>215</v>
      </c>
      <c r="D144" s="22" t="s">
        <v>238</v>
      </c>
      <c r="E144" s="41"/>
      <c r="F144" s="17" t="s">
        <v>211</v>
      </c>
      <c r="G144" s="41"/>
    </row>
    <row r="145" spans="1:7">
      <c r="A145" s="17" t="s">
        <v>214</v>
      </c>
      <c r="B145" s="22" t="s">
        <v>134</v>
      </c>
      <c r="C145" s="14" t="s">
        <v>215</v>
      </c>
      <c r="D145" s="22" t="s">
        <v>239</v>
      </c>
      <c r="E145" s="41"/>
      <c r="F145" s="17" t="s">
        <v>211</v>
      </c>
      <c r="G145" s="41"/>
    </row>
    <row r="146" spans="1:7">
      <c r="A146" s="17" t="s">
        <v>214</v>
      </c>
      <c r="B146" s="22" t="s">
        <v>136</v>
      </c>
      <c r="C146" s="14" t="s">
        <v>215</v>
      </c>
      <c r="D146" s="22" t="s">
        <v>240</v>
      </c>
      <c r="E146" s="41"/>
      <c r="F146" s="17" t="s">
        <v>211</v>
      </c>
      <c r="G146" s="41"/>
    </row>
    <row r="147" spans="1:7">
      <c r="A147" s="17" t="s">
        <v>214</v>
      </c>
      <c r="B147" s="22" t="s">
        <v>138</v>
      </c>
      <c r="C147" s="14" t="s">
        <v>215</v>
      </c>
      <c r="D147" s="22" t="s">
        <v>241</v>
      </c>
      <c r="E147" s="41"/>
      <c r="F147" s="17" t="s">
        <v>211</v>
      </c>
      <c r="G147" s="41"/>
    </row>
    <row r="148" spans="1:7">
      <c r="A148" s="17" t="s">
        <v>214</v>
      </c>
      <c r="B148" s="22" t="s">
        <v>140</v>
      </c>
      <c r="C148" s="14" t="s">
        <v>215</v>
      </c>
      <c r="D148" s="22" t="s">
        <v>242</v>
      </c>
      <c r="E148" s="41"/>
      <c r="F148" s="17" t="s">
        <v>211</v>
      </c>
      <c r="G148" s="41"/>
    </row>
    <row r="149" spans="1:7">
      <c r="A149" s="17" t="s">
        <v>214</v>
      </c>
      <c r="B149" s="22" t="s">
        <v>142</v>
      </c>
      <c r="C149" s="14" t="s">
        <v>215</v>
      </c>
      <c r="D149" s="22" t="s">
        <v>243</v>
      </c>
      <c r="E149" s="41"/>
      <c r="F149" s="17" t="s">
        <v>211</v>
      </c>
      <c r="G149" s="41"/>
    </row>
    <row r="150" spans="1:7">
      <c r="A150" s="17" t="s">
        <v>214</v>
      </c>
      <c r="B150" s="22" t="s">
        <v>144</v>
      </c>
      <c r="C150" s="14" t="s">
        <v>215</v>
      </c>
      <c r="D150" s="22" t="s">
        <v>244</v>
      </c>
      <c r="E150" s="41"/>
      <c r="F150" s="17" t="s">
        <v>211</v>
      </c>
      <c r="G150" s="41"/>
    </row>
    <row r="151" spans="1:7">
      <c r="A151" s="17" t="s">
        <v>214</v>
      </c>
      <c r="B151" s="17" t="s">
        <v>145</v>
      </c>
      <c r="C151" s="14" t="s">
        <v>215</v>
      </c>
      <c r="D151" s="22" t="s">
        <v>245</v>
      </c>
      <c r="E151" s="41"/>
      <c r="F151" s="17" t="s">
        <v>211</v>
      </c>
      <c r="G151" s="41"/>
    </row>
    <row r="152" spans="1:7">
      <c r="A152" s="17" t="s">
        <v>214</v>
      </c>
      <c r="B152" s="22" t="s">
        <v>147</v>
      </c>
      <c r="C152" s="14" t="s">
        <v>215</v>
      </c>
      <c r="D152" s="22" t="s">
        <v>246</v>
      </c>
      <c r="E152" s="41"/>
      <c r="F152" s="17" t="s">
        <v>211</v>
      </c>
      <c r="G152" s="41"/>
    </row>
    <row r="153" spans="1:7">
      <c r="A153" s="17" t="s">
        <v>214</v>
      </c>
      <c r="B153" s="22" t="s">
        <v>150</v>
      </c>
      <c r="C153" s="14" t="s">
        <v>215</v>
      </c>
      <c r="D153" s="22" t="s">
        <v>247</v>
      </c>
      <c r="E153" s="41"/>
      <c r="F153" s="17" t="s">
        <v>211</v>
      </c>
      <c r="G153" s="41"/>
    </row>
    <row r="154" spans="1:7">
      <c r="A154" s="17" t="s">
        <v>214</v>
      </c>
      <c r="B154" s="17" t="s">
        <v>152</v>
      </c>
      <c r="C154" s="14" t="s">
        <v>215</v>
      </c>
      <c r="D154" s="22" t="s">
        <v>248</v>
      </c>
      <c r="E154" s="41"/>
      <c r="F154" s="17" t="s">
        <v>211</v>
      </c>
      <c r="G154" s="41"/>
    </row>
    <row r="155" spans="1:7">
      <c r="A155" s="14" t="s">
        <v>205</v>
      </c>
      <c r="B155" s="14" t="s">
        <v>207</v>
      </c>
      <c r="C155" s="15" t="s">
        <v>249</v>
      </c>
      <c r="D155" s="14" t="s">
        <v>250</v>
      </c>
      <c r="E155" s="41"/>
      <c r="F155" s="17" t="s">
        <v>211</v>
      </c>
      <c r="G155" s="41"/>
    </row>
    <row r="156" spans="1:7">
      <c r="A156" s="14" t="s">
        <v>251</v>
      </c>
      <c r="B156" s="14" t="s">
        <v>207</v>
      </c>
      <c r="C156" s="15" t="s">
        <v>252</v>
      </c>
      <c r="D156" s="14" t="s">
        <v>253</v>
      </c>
      <c r="E156" s="41"/>
      <c r="F156" s="17" t="s">
        <v>211</v>
      </c>
      <c r="G156" s="41"/>
    </row>
    <row r="157" spans="1:7">
      <c r="A157" s="17" t="s">
        <v>254</v>
      </c>
      <c r="B157" s="17" t="s">
        <v>255</v>
      </c>
      <c r="C157" s="14" t="s">
        <v>212</v>
      </c>
      <c r="D157" s="17" t="s">
        <v>256</v>
      </c>
      <c r="E157" s="17"/>
      <c r="F157" s="17" t="s">
        <v>211</v>
      </c>
      <c r="G157" s="17"/>
    </row>
    <row r="158" spans="1:7">
      <c r="A158" s="17" t="s">
        <v>257</v>
      </c>
      <c r="B158" s="17" t="s">
        <v>255</v>
      </c>
      <c r="C158" s="14" t="s">
        <v>215</v>
      </c>
      <c r="D158" s="17" t="s">
        <v>258</v>
      </c>
      <c r="E158" s="17"/>
      <c r="F158" s="17" t="s">
        <v>211</v>
      </c>
      <c r="G158" s="17"/>
    </row>
    <row r="159" spans="1:7">
      <c r="A159" s="17" t="s">
        <v>91</v>
      </c>
      <c r="B159" s="17" t="s">
        <v>175</v>
      </c>
      <c r="C159" s="14" t="s">
        <v>93</v>
      </c>
      <c r="D159" s="17" t="s">
        <v>175</v>
      </c>
      <c r="E159" s="17"/>
      <c r="F159" s="17" t="s">
        <v>211</v>
      </c>
      <c r="G159" s="17"/>
    </row>
    <row r="160" spans="1:7">
      <c r="A160" s="19" t="s">
        <v>91</v>
      </c>
      <c r="B160" s="19" t="s">
        <v>176</v>
      </c>
      <c r="C160" s="21" t="s">
        <v>93</v>
      </c>
      <c r="D160" s="19" t="s">
        <v>176</v>
      </c>
      <c r="E160" s="19"/>
      <c r="F160" s="19" t="s">
        <v>211</v>
      </c>
      <c r="G160" s="19"/>
    </row>
    <row r="161" spans="1:7">
      <c r="A161" s="19" t="s">
        <v>91</v>
      </c>
      <c r="B161" s="19" t="s">
        <v>177</v>
      </c>
      <c r="C161" s="21" t="s">
        <v>93</v>
      </c>
      <c r="D161" s="19" t="s">
        <v>177</v>
      </c>
      <c r="E161" s="19"/>
      <c r="F161" s="19" t="s">
        <v>211</v>
      </c>
      <c r="G161" s="19"/>
    </row>
    <row r="162" spans="1:7">
      <c r="A162" s="19" t="s">
        <v>91</v>
      </c>
      <c r="B162" s="19" t="s">
        <v>179</v>
      </c>
      <c r="C162" s="21" t="s">
        <v>93</v>
      </c>
      <c r="D162" s="19" t="s">
        <v>178</v>
      </c>
      <c r="E162" s="19"/>
      <c r="F162" s="19" t="s">
        <v>91</v>
      </c>
      <c r="G162" s="19"/>
    </row>
    <row r="163" spans="1:7">
      <c r="A163" s="17" t="s">
        <v>91</v>
      </c>
      <c r="B163" s="19" t="s">
        <v>181</v>
      </c>
      <c r="C163" s="21" t="s">
        <v>93</v>
      </c>
      <c r="D163" s="19" t="s">
        <v>181</v>
      </c>
      <c r="E163" s="41"/>
      <c r="F163" s="19" t="s">
        <v>91</v>
      </c>
      <c r="G163" s="41"/>
    </row>
    <row r="164" spans="1:7">
      <c r="A164" s="17" t="s">
        <v>91</v>
      </c>
      <c r="B164" s="19" t="s">
        <v>182</v>
      </c>
      <c r="C164" s="21" t="s">
        <v>93</v>
      </c>
      <c r="D164" s="19" t="s">
        <v>182</v>
      </c>
      <c r="E164" s="41"/>
      <c r="F164" s="19" t="s">
        <v>91</v>
      </c>
      <c r="G164" s="41"/>
    </row>
  </sheetData>
  <mergeCells count="6">
    <mergeCell ref="A86:C86"/>
    <mergeCell ref="C1:D1"/>
    <mergeCell ref="C53:D53"/>
    <mergeCell ref="C64:D64"/>
    <mergeCell ref="C74:D74"/>
    <mergeCell ref="C83:D8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3687-3173-4FA8-AE54-BA30FC3832A3}">
  <sheetPr>
    <tabColor theme="5" tint="0.79998168889431442"/>
  </sheetPr>
  <dimension ref="A1:XFD2361"/>
  <sheetViews>
    <sheetView tabSelected="1" topLeftCell="A2247" zoomScale="60" zoomScaleNormal="60" workbookViewId="0">
      <selection activeCell="C2245" sqref="C2245"/>
    </sheetView>
  </sheetViews>
  <sheetFormatPr defaultColWidth="8.81640625" defaultRowHeight="12.5"/>
  <cols>
    <col min="1" max="1" width="39.1796875" style="113" customWidth="1"/>
    <col min="2" max="2" width="38.81640625" style="113" customWidth="1"/>
    <col min="3" max="3" width="44" style="113" customWidth="1"/>
    <col min="4" max="4" width="24" style="113" customWidth="1"/>
    <col min="5" max="5" width="39" style="113" customWidth="1"/>
    <col min="6" max="6" width="35.26953125" style="113" customWidth="1"/>
    <col min="7" max="7" width="43.1796875" style="113" bestFit="1" customWidth="1"/>
    <col min="8" max="8" width="23.1796875" style="113" customWidth="1"/>
    <col min="9" max="9" width="44.81640625" style="113" bestFit="1" customWidth="1"/>
    <col min="10" max="10" width="26" style="113" customWidth="1"/>
    <col min="11" max="11" width="16.1796875" style="157" bestFit="1" customWidth="1"/>
    <col min="12" max="18" width="16.81640625" style="157" bestFit="1" customWidth="1"/>
    <col min="19" max="19" width="8.81640625" style="157"/>
    <col min="20" max="21" width="8.81640625" style="113"/>
    <col min="22" max="22" width="8.81640625" style="113" customWidth="1"/>
    <col min="23" max="16384" width="8.81640625" style="113"/>
  </cols>
  <sheetData>
    <row r="1" spans="1:19" ht="14.5" customHeight="1">
      <c r="A1" s="541" t="s">
        <v>259</v>
      </c>
      <c r="B1" s="541"/>
      <c r="C1" s="541"/>
      <c r="D1" s="541"/>
      <c r="E1" s="541"/>
      <c r="F1" s="541"/>
      <c r="G1" s="541"/>
      <c r="H1" s="541"/>
      <c r="I1" s="541"/>
      <c r="J1" s="541"/>
    </row>
    <row r="3" spans="1:19" ht="13">
      <c r="A3" s="114" t="s">
        <v>73</v>
      </c>
      <c r="B3" s="114" t="s">
        <v>74</v>
      </c>
      <c r="C3" s="114" t="s">
        <v>75</v>
      </c>
      <c r="D3" s="114" t="s">
        <v>76</v>
      </c>
      <c r="E3" s="114" t="s">
        <v>77</v>
      </c>
      <c r="F3" s="114" t="s">
        <v>78</v>
      </c>
      <c r="G3" s="114" t="s">
        <v>79</v>
      </c>
      <c r="H3" s="114" t="s">
        <v>80</v>
      </c>
      <c r="I3" s="112" t="s">
        <v>260</v>
      </c>
      <c r="J3" s="112" t="s">
        <v>261</v>
      </c>
    </row>
    <row r="4" spans="1:19" ht="52" customHeight="1">
      <c r="A4" s="111" t="s">
        <v>88</v>
      </c>
      <c r="B4" s="111" t="s">
        <v>87</v>
      </c>
      <c r="C4" s="111" t="s">
        <v>262</v>
      </c>
      <c r="D4" s="111" t="s">
        <v>263</v>
      </c>
      <c r="E4" s="111" t="s">
        <v>89</v>
      </c>
      <c r="F4" s="111" t="s">
        <v>264</v>
      </c>
      <c r="G4" s="111" t="s">
        <v>90</v>
      </c>
      <c r="H4" s="111" t="s">
        <v>265</v>
      </c>
      <c r="I4" s="158"/>
      <c r="J4" s="122" t="s">
        <v>266</v>
      </c>
    </row>
    <row r="5" spans="1:19" ht="52" customHeight="1">
      <c r="A5" s="111" t="s">
        <v>88</v>
      </c>
      <c r="B5" s="111" t="s">
        <v>92</v>
      </c>
      <c r="C5" s="111" t="s">
        <v>267</v>
      </c>
      <c r="D5" s="111" t="s">
        <v>93</v>
      </c>
      <c r="E5" s="111"/>
      <c r="F5" s="111" t="s">
        <v>264</v>
      </c>
      <c r="G5" s="111" t="s">
        <v>94</v>
      </c>
      <c r="H5" s="111" t="s">
        <v>268</v>
      </c>
      <c r="I5" s="158"/>
      <c r="J5" s="122" t="s">
        <v>266</v>
      </c>
    </row>
    <row r="6" spans="1:19" ht="52" customHeight="1">
      <c r="A6" s="111" t="s">
        <v>88</v>
      </c>
      <c r="B6" s="111" t="s">
        <v>95</v>
      </c>
      <c r="C6" s="111" t="s">
        <v>267</v>
      </c>
      <c r="D6" s="111" t="s">
        <v>93</v>
      </c>
      <c r="E6" s="111"/>
      <c r="F6" s="111" t="s">
        <v>264</v>
      </c>
      <c r="G6" s="111" t="s">
        <v>96</v>
      </c>
      <c r="H6" s="111" t="s">
        <v>268</v>
      </c>
      <c r="I6" s="158"/>
      <c r="J6" s="122" t="s">
        <v>266</v>
      </c>
    </row>
    <row r="7" spans="1:19" ht="52" customHeight="1">
      <c r="A7" s="111" t="s">
        <v>88</v>
      </c>
      <c r="B7" s="111" t="s">
        <v>97</v>
      </c>
      <c r="C7" s="111" t="s">
        <v>267</v>
      </c>
      <c r="D7" s="111" t="s">
        <v>93</v>
      </c>
      <c r="E7" s="111"/>
      <c r="F7" s="111" t="s">
        <v>264</v>
      </c>
      <c r="G7" s="111" t="s">
        <v>269</v>
      </c>
      <c r="H7" s="111" t="s">
        <v>268</v>
      </c>
      <c r="I7" s="122"/>
      <c r="J7" s="122" t="s">
        <v>266</v>
      </c>
    </row>
    <row r="8" spans="1:19" ht="52" customHeight="1">
      <c r="A8" s="111" t="s">
        <v>88</v>
      </c>
      <c r="B8" s="111" t="s">
        <v>98</v>
      </c>
      <c r="C8" s="111" t="s">
        <v>267</v>
      </c>
      <c r="D8" s="111" t="s">
        <v>93</v>
      </c>
      <c r="E8" s="111"/>
      <c r="F8" s="111" t="s">
        <v>264</v>
      </c>
      <c r="G8" s="111" t="s">
        <v>270</v>
      </c>
      <c r="H8" s="111" t="s">
        <v>268</v>
      </c>
      <c r="I8" s="158"/>
      <c r="J8" s="122" t="s">
        <v>266</v>
      </c>
    </row>
    <row r="9" spans="1:19" ht="52" customHeight="1">
      <c r="A9" s="111" t="s">
        <v>88</v>
      </c>
      <c r="B9" s="111" t="s">
        <v>99</v>
      </c>
      <c r="C9" s="111" t="s">
        <v>267</v>
      </c>
      <c r="D9" s="111" t="s">
        <v>93</v>
      </c>
      <c r="E9" s="111"/>
      <c r="F9" s="111" t="s">
        <v>264</v>
      </c>
      <c r="G9" s="111" t="s">
        <v>271</v>
      </c>
      <c r="H9" s="111" t="s">
        <v>268</v>
      </c>
      <c r="I9" s="158"/>
      <c r="J9" s="122" t="s">
        <v>266</v>
      </c>
    </row>
    <row r="10" spans="1:19" ht="52" customHeight="1">
      <c r="A10" s="111" t="s">
        <v>88</v>
      </c>
      <c r="B10" s="111" t="s">
        <v>100</v>
      </c>
      <c r="C10" s="111" t="s">
        <v>267</v>
      </c>
      <c r="D10" s="111" t="s">
        <v>93</v>
      </c>
      <c r="E10" s="111"/>
      <c r="F10" s="111" t="s">
        <v>264</v>
      </c>
      <c r="G10" s="111" t="s">
        <v>272</v>
      </c>
      <c r="H10" s="111" t="s">
        <v>268</v>
      </c>
      <c r="I10" s="158"/>
      <c r="J10" s="122" t="s">
        <v>266</v>
      </c>
    </row>
    <row r="11" spans="1:19" ht="52" customHeight="1">
      <c r="A11" s="111" t="s">
        <v>88</v>
      </c>
      <c r="B11" s="105" t="s">
        <v>101</v>
      </c>
      <c r="C11" s="105" t="s">
        <v>267</v>
      </c>
      <c r="D11" s="105" t="s">
        <v>263</v>
      </c>
      <c r="E11" s="105" t="s">
        <v>102</v>
      </c>
      <c r="F11" s="105" t="s">
        <v>264</v>
      </c>
      <c r="G11" s="105" t="s">
        <v>273</v>
      </c>
      <c r="H11" s="105" t="s">
        <v>268</v>
      </c>
      <c r="I11" s="158"/>
      <c r="J11" s="122" t="s">
        <v>266</v>
      </c>
    </row>
    <row r="12" spans="1:19" ht="52" customHeight="1">
      <c r="A12" s="111" t="s">
        <v>88</v>
      </c>
      <c r="B12" s="105" t="s">
        <v>104</v>
      </c>
      <c r="C12" s="105" t="s">
        <v>267</v>
      </c>
      <c r="D12" s="105" t="s">
        <v>93</v>
      </c>
      <c r="E12" s="105" t="s">
        <v>93</v>
      </c>
      <c r="F12" s="105" t="s">
        <v>264</v>
      </c>
      <c r="G12" s="105" t="s">
        <v>105</v>
      </c>
      <c r="H12" s="105" t="s">
        <v>268</v>
      </c>
      <c r="I12" s="158"/>
      <c r="J12" s="122" t="s">
        <v>266</v>
      </c>
    </row>
    <row r="13" spans="1:19" ht="52" customHeight="1">
      <c r="A13" s="111" t="s">
        <v>5210</v>
      </c>
      <c r="B13" s="105" t="s">
        <v>5202</v>
      </c>
      <c r="C13" s="105" t="s">
        <v>267</v>
      </c>
      <c r="D13" s="105" t="s">
        <v>93</v>
      </c>
      <c r="E13" s="105"/>
      <c r="F13" s="105" t="s">
        <v>264</v>
      </c>
      <c r="G13" s="105" t="s">
        <v>5204</v>
      </c>
      <c r="H13" s="105" t="s">
        <v>268</v>
      </c>
      <c r="I13" s="158"/>
      <c r="J13" s="122" t="s">
        <v>266</v>
      </c>
      <c r="K13" s="159"/>
      <c r="L13" s="159"/>
      <c r="M13" s="159"/>
      <c r="N13" s="159"/>
      <c r="O13" s="159"/>
      <c r="P13" s="159"/>
      <c r="Q13" s="159"/>
      <c r="R13" s="159"/>
      <c r="S13" s="159"/>
    </row>
    <row r="14" spans="1:19" ht="52" customHeight="1">
      <c r="A14" s="111" t="s">
        <v>5210</v>
      </c>
      <c r="B14" s="105" t="s">
        <v>5203</v>
      </c>
      <c r="C14" s="105" t="s">
        <v>267</v>
      </c>
      <c r="D14" s="105" t="s">
        <v>93</v>
      </c>
      <c r="E14" s="105"/>
      <c r="F14" s="105" t="s">
        <v>264</v>
      </c>
      <c r="G14" s="105" t="s">
        <v>5205</v>
      </c>
      <c r="H14" s="105" t="s">
        <v>268</v>
      </c>
      <c r="I14" s="158"/>
      <c r="J14" s="122" t="s">
        <v>266</v>
      </c>
      <c r="K14" s="159"/>
      <c r="L14" s="159"/>
      <c r="M14" s="159"/>
      <c r="N14" s="159"/>
      <c r="O14" s="159"/>
      <c r="P14" s="159"/>
      <c r="Q14" s="159"/>
      <c r="R14" s="159"/>
      <c r="S14" s="159"/>
    </row>
    <row r="15" spans="1:19" ht="52" customHeight="1">
      <c r="A15" s="111" t="s">
        <v>88</v>
      </c>
      <c r="B15" s="105" t="s">
        <v>1280</v>
      </c>
      <c r="C15" s="105" t="s">
        <v>267</v>
      </c>
      <c r="D15" s="105" t="s">
        <v>263</v>
      </c>
      <c r="E15" s="105" t="s">
        <v>5208</v>
      </c>
      <c r="F15" s="105" t="s">
        <v>264</v>
      </c>
      <c r="G15" s="105" t="s">
        <v>5207</v>
      </c>
      <c r="H15" s="105" t="s">
        <v>268</v>
      </c>
      <c r="I15" s="158"/>
      <c r="J15" s="122" t="s">
        <v>266</v>
      </c>
      <c r="K15" s="159"/>
      <c r="L15" s="159"/>
      <c r="M15" s="159"/>
      <c r="N15" s="159"/>
      <c r="O15" s="159"/>
      <c r="P15" s="159"/>
      <c r="Q15" s="159"/>
      <c r="R15" s="159"/>
      <c r="S15" s="159"/>
    </row>
    <row r="16" spans="1:19" ht="52" customHeight="1">
      <c r="A16" s="111" t="s">
        <v>88</v>
      </c>
      <c r="B16" s="105" t="s">
        <v>106</v>
      </c>
      <c r="C16" s="105" t="s">
        <v>262</v>
      </c>
      <c r="D16" s="105" t="s">
        <v>93</v>
      </c>
      <c r="E16" s="105" t="s">
        <v>93</v>
      </c>
      <c r="F16" s="105" t="s">
        <v>264</v>
      </c>
      <c r="G16" s="105" t="s">
        <v>107</v>
      </c>
      <c r="H16" s="105" t="s">
        <v>265</v>
      </c>
      <c r="I16" s="158"/>
      <c r="J16" s="122" t="s">
        <v>266</v>
      </c>
    </row>
    <row r="17" spans="1:10" ht="52" customHeight="1">
      <c r="A17" s="111" t="s">
        <v>88</v>
      </c>
      <c r="B17" s="105" t="s">
        <v>108</v>
      </c>
      <c r="C17" s="105" t="s">
        <v>274</v>
      </c>
      <c r="D17" s="105" t="s">
        <v>263</v>
      </c>
      <c r="E17" s="105" t="s">
        <v>109</v>
      </c>
      <c r="F17" s="105" t="s">
        <v>264</v>
      </c>
      <c r="G17" s="105" t="s">
        <v>110</v>
      </c>
      <c r="H17" s="105" t="s">
        <v>275</v>
      </c>
      <c r="I17" s="158"/>
      <c r="J17" s="122" t="s">
        <v>266</v>
      </c>
    </row>
    <row r="18" spans="1:10" ht="52" customHeight="1">
      <c r="A18" s="111" t="s">
        <v>276</v>
      </c>
      <c r="B18" s="105" t="s">
        <v>111</v>
      </c>
      <c r="C18" s="105" t="s">
        <v>267</v>
      </c>
      <c r="D18" s="105" t="s">
        <v>263</v>
      </c>
      <c r="E18" s="105" t="s">
        <v>112</v>
      </c>
      <c r="F18" s="105" t="s">
        <v>264</v>
      </c>
      <c r="G18" s="105" t="s">
        <v>113</v>
      </c>
      <c r="H18" s="105" t="s">
        <v>268</v>
      </c>
      <c r="I18" s="158"/>
      <c r="J18" s="122" t="s">
        <v>266</v>
      </c>
    </row>
    <row r="19" spans="1:10" ht="52" customHeight="1">
      <c r="A19" s="111" t="s">
        <v>277</v>
      </c>
      <c r="B19" s="105" t="s">
        <v>114</v>
      </c>
      <c r="C19" s="105" t="s">
        <v>267</v>
      </c>
      <c r="D19" s="105" t="s">
        <v>263</v>
      </c>
      <c r="E19" s="105" t="s">
        <v>115</v>
      </c>
      <c r="F19" s="105" t="s">
        <v>264</v>
      </c>
      <c r="G19" s="105" t="s">
        <v>116</v>
      </c>
      <c r="H19" s="105" t="s">
        <v>268</v>
      </c>
      <c r="I19" s="158"/>
      <c r="J19" s="122" t="s">
        <v>266</v>
      </c>
    </row>
    <row r="20" spans="1:10" ht="52" customHeight="1">
      <c r="A20" s="111" t="s">
        <v>88</v>
      </c>
      <c r="B20" s="105"/>
      <c r="C20" s="105" t="s">
        <v>267</v>
      </c>
      <c r="D20" s="105" t="s">
        <v>263</v>
      </c>
      <c r="E20" s="105" t="s">
        <v>278</v>
      </c>
      <c r="F20" s="105" t="s">
        <v>264</v>
      </c>
      <c r="G20" s="105" t="s">
        <v>118</v>
      </c>
      <c r="H20" s="105" t="s">
        <v>268</v>
      </c>
      <c r="I20" s="158"/>
      <c r="J20" s="122" t="s">
        <v>266</v>
      </c>
    </row>
    <row r="21" spans="1:10" ht="52" customHeight="1">
      <c r="A21" s="111" t="s">
        <v>88</v>
      </c>
      <c r="B21" s="105"/>
      <c r="C21" s="105" t="s">
        <v>267</v>
      </c>
      <c r="D21" s="105" t="s">
        <v>279</v>
      </c>
      <c r="E21" s="105" t="s">
        <v>119</v>
      </c>
      <c r="F21" s="105" t="s">
        <v>264</v>
      </c>
      <c r="G21" s="105" t="s">
        <v>120</v>
      </c>
      <c r="H21" s="105" t="s">
        <v>268</v>
      </c>
      <c r="I21" s="158"/>
      <c r="J21" s="122" t="s">
        <v>266</v>
      </c>
    </row>
    <row r="22" spans="1:10" ht="52" customHeight="1">
      <c r="A22" s="111" t="s">
        <v>88</v>
      </c>
      <c r="B22" s="105" t="s">
        <v>121</v>
      </c>
      <c r="C22" s="105" t="s">
        <v>280</v>
      </c>
      <c r="D22" s="105" t="s">
        <v>93</v>
      </c>
      <c r="E22" s="105" t="s">
        <v>93</v>
      </c>
      <c r="F22" s="105" t="s">
        <v>264</v>
      </c>
      <c r="G22" s="105" t="s">
        <v>122</v>
      </c>
      <c r="H22" s="105" t="s">
        <v>281</v>
      </c>
      <c r="I22" s="158"/>
      <c r="J22" s="122" t="s">
        <v>266</v>
      </c>
    </row>
    <row r="23" spans="1:10" ht="52" customHeight="1">
      <c r="A23" s="111" t="s">
        <v>88</v>
      </c>
      <c r="B23" s="105" t="s">
        <v>123</v>
      </c>
      <c r="C23" s="105" t="s">
        <v>280</v>
      </c>
      <c r="D23" s="105" t="s">
        <v>93</v>
      </c>
      <c r="E23" s="105" t="s">
        <v>93</v>
      </c>
      <c r="F23" s="105" t="s">
        <v>264</v>
      </c>
      <c r="G23" s="105" t="s">
        <v>124</v>
      </c>
      <c r="H23" s="105" t="s">
        <v>281</v>
      </c>
      <c r="I23" s="158"/>
      <c r="J23" s="122" t="s">
        <v>266</v>
      </c>
    </row>
    <row r="24" spans="1:10" ht="52" customHeight="1">
      <c r="A24" s="111" t="s">
        <v>88</v>
      </c>
      <c r="B24" s="105" t="s">
        <v>125</v>
      </c>
      <c r="C24" s="105" t="s">
        <v>280</v>
      </c>
      <c r="D24" s="105" t="s">
        <v>93</v>
      </c>
      <c r="E24" s="105" t="s">
        <v>93</v>
      </c>
      <c r="F24" s="105" t="s">
        <v>264</v>
      </c>
      <c r="G24" s="105" t="s">
        <v>282</v>
      </c>
      <c r="H24" s="105" t="s">
        <v>281</v>
      </c>
      <c r="I24" s="158"/>
      <c r="J24" s="122" t="s">
        <v>266</v>
      </c>
    </row>
    <row r="25" spans="1:10" ht="52" customHeight="1">
      <c r="A25" s="111" t="s">
        <v>88</v>
      </c>
      <c r="B25" s="105" t="s">
        <v>127</v>
      </c>
      <c r="C25" s="105" t="s">
        <v>280</v>
      </c>
      <c r="D25" s="105" t="s">
        <v>93</v>
      </c>
      <c r="E25" s="105" t="s">
        <v>93</v>
      </c>
      <c r="F25" s="105" t="s">
        <v>264</v>
      </c>
      <c r="G25" s="105" t="s">
        <v>283</v>
      </c>
      <c r="H25" s="105" t="s">
        <v>281</v>
      </c>
      <c r="I25" s="158"/>
      <c r="J25" s="122" t="s">
        <v>266</v>
      </c>
    </row>
    <row r="26" spans="1:10" ht="52" customHeight="1">
      <c r="A26" s="111" t="s">
        <v>88</v>
      </c>
      <c r="B26" s="105" t="s">
        <v>129</v>
      </c>
      <c r="C26" s="105" t="s">
        <v>280</v>
      </c>
      <c r="D26" s="105" t="s">
        <v>93</v>
      </c>
      <c r="E26" s="105" t="s">
        <v>93</v>
      </c>
      <c r="F26" s="105" t="s">
        <v>264</v>
      </c>
      <c r="G26" s="105" t="s">
        <v>284</v>
      </c>
      <c r="H26" s="105" t="s">
        <v>281</v>
      </c>
      <c r="I26" s="158"/>
      <c r="J26" s="122" t="s">
        <v>266</v>
      </c>
    </row>
    <row r="27" spans="1:10" ht="52" customHeight="1">
      <c r="A27" s="111" t="s">
        <v>88</v>
      </c>
      <c r="B27" s="105" t="s">
        <v>131</v>
      </c>
      <c r="C27" s="105" t="s">
        <v>280</v>
      </c>
      <c r="D27" s="105" t="s">
        <v>93</v>
      </c>
      <c r="E27" s="105" t="s">
        <v>93</v>
      </c>
      <c r="F27" s="105" t="s">
        <v>264</v>
      </c>
      <c r="G27" s="105" t="s">
        <v>285</v>
      </c>
      <c r="H27" s="105" t="s">
        <v>281</v>
      </c>
      <c r="I27" s="158"/>
      <c r="J27" s="122" t="s">
        <v>266</v>
      </c>
    </row>
    <row r="28" spans="1:10" ht="52" customHeight="1">
      <c r="A28" s="111" t="s">
        <v>88</v>
      </c>
      <c r="B28" s="105" t="s">
        <v>133</v>
      </c>
      <c r="C28" s="105" t="s">
        <v>280</v>
      </c>
      <c r="D28" s="105" t="s">
        <v>93</v>
      </c>
      <c r="E28" s="105" t="s">
        <v>93</v>
      </c>
      <c r="F28" s="105" t="s">
        <v>264</v>
      </c>
      <c r="G28" s="105" t="s">
        <v>286</v>
      </c>
      <c r="H28" s="105" t="s">
        <v>281</v>
      </c>
      <c r="I28" s="158"/>
      <c r="J28" s="122" t="s">
        <v>266</v>
      </c>
    </row>
    <row r="29" spans="1:10" ht="52" customHeight="1">
      <c r="A29" s="111" t="s">
        <v>88</v>
      </c>
      <c r="B29" s="105" t="s">
        <v>135</v>
      </c>
      <c r="C29" s="105" t="s">
        <v>280</v>
      </c>
      <c r="D29" s="105" t="s">
        <v>93</v>
      </c>
      <c r="E29" s="105" t="s">
        <v>93</v>
      </c>
      <c r="F29" s="105" t="s">
        <v>264</v>
      </c>
      <c r="G29" s="105" t="s">
        <v>287</v>
      </c>
      <c r="H29" s="105" t="s">
        <v>281</v>
      </c>
      <c r="I29" s="158"/>
      <c r="J29" s="122" t="s">
        <v>266</v>
      </c>
    </row>
    <row r="30" spans="1:10" ht="52" customHeight="1">
      <c r="A30" s="111" t="s">
        <v>88</v>
      </c>
      <c r="B30" s="105" t="s">
        <v>137</v>
      </c>
      <c r="C30" s="105" t="s">
        <v>280</v>
      </c>
      <c r="D30" s="105" t="s">
        <v>93</v>
      </c>
      <c r="E30" s="105" t="s">
        <v>93</v>
      </c>
      <c r="F30" s="105" t="s">
        <v>264</v>
      </c>
      <c r="G30" s="105" t="s">
        <v>288</v>
      </c>
      <c r="H30" s="105" t="s">
        <v>281</v>
      </c>
      <c r="I30" s="158"/>
      <c r="J30" s="122" t="s">
        <v>266</v>
      </c>
    </row>
    <row r="31" spans="1:10" ht="52" customHeight="1">
      <c r="A31" s="111" t="s">
        <v>88</v>
      </c>
      <c r="B31" s="105" t="s">
        <v>139</v>
      </c>
      <c r="C31" s="105" t="s">
        <v>280</v>
      </c>
      <c r="D31" s="105" t="s">
        <v>93</v>
      </c>
      <c r="E31" s="105" t="s">
        <v>93</v>
      </c>
      <c r="F31" s="105" t="s">
        <v>264</v>
      </c>
      <c r="G31" s="105" t="s">
        <v>289</v>
      </c>
      <c r="H31" s="105" t="s">
        <v>281</v>
      </c>
      <c r="I31" s="158"/>
      <c r="J31" s="122" t="s">
        <v>266</v>
      </c>
    </row>
    <row r="32" spans="1:10" ht="52" customHeight="1">
      <c r="A32" s="111" t="s">
        <v>88</v>
      </c>
      <c r="B32" s="105" t="s">
        <v>141</v>
      </c>
      <c r="C32" s="105" t="s">
        <v>280</v>
      </c>
      <c r="D32" s="105" t="s">
        <v>93</v>
      </c>
      <c r="E32" s="105" t="s">
        <v>93</v>
      </c>
      <c r="F32" s="105" t="s">
        <v>264</v>
      </c>
      <c r="G32" s="105" t="s">
        <v>290</v>
      </c>
      <c r="H32" s="105" t="s">
        <v>281</v>
      </c>
      <c r="I32" s="158"/>
      <c r="J32" s="122" t="s">
        <v>266</v>
      </c>
    </row>
    <row r="33" spans="1:10" ht="52" customHeight="1">
      <c r="A33" s="111" t="s">
        <v>88</v>
      </c>
      <c r="B33" s="105" t="s">
        <v>143</v>
      </c>
      <c r="C33" s="105" t="s">
        <v>280</v>
      </c>
      <c r="D33" s="105" t="s">
        <v>93</v>
      </c>
      <c r="E33" s="105" t="s">
        <v>93</v>
      </c>
      <c r="F33" s="105" t="s">
        <v>264</v>
      </c>
      <c r="G33" s="105" t="s">
        <v>291</v>
      </c>
      <c r="H33" s="105" t="s">
        <v>281</v>
      </c>
      <c r="I33" s="158"/>
      <c r="J33" s="122" t="s">
        <v>266</v>
      </c>
    </row>
    <row r="34" spans="1:10" ht="52" customHeight="1">
      <c r="A34" s="111" t="s">
        <v>88</v>
      </c>
      <c r="B34" s="105" t="s">
        <v>145</v>
      </c>
      <c r="C34" s="105" t="s">
        <v>280</v>
      </c>
      <c r="D34" s="105" t="s">
        <v>93</v>
      </c>
      <c r="E34" s="105" t="s">
        <v>93</v>
      </c>
      <c r="F34" s="105" t="s">
        <v>264</v>
      </c>
      <c r="G34" s="105" t="s">
        <v>292</v>
      </c>
      <c r="H34" s="105" t="s">
        <v>281</v>
      </c>
      <c r="I34" s="158"/>
      <c r="J34" s="122" t="s">
        <v>266</v>
      </c>
    </row>
    <row r="35" spans="1:10" ht="52" customHeight="1">
      <c r="A35" s="111" t="s">
        <v>293</v>
      </c>
      <c r="B35" s="105"/>
      <c r="C35" s="105" t="s">
        <v>280</v>
      </c>
      <c r="D35" s="105" t="s">
        <v>263</v>
      </c>
      <c r="E35" s="105" t="s">
        <v>294</v>
      </c>
      <c r="F35" s="105" t="s">
        <v>264</v>
      </c>
      <c r="G35" s="105" t="s">
        <v>147</v>
      </c>
      <c r="H35" s="105" t="s">
        <v>281</v>
      </c>
      <c r="I35" s="158"/>
      <c r="J35" s="122" t="s">
        <v>266</v>
      </c>
    </row>
    <row r="36" spans="1:10" ht="52" customHeight="1">
      <c r="A36" s="111" t="s">
        <v>88</v>
      </c>
      <c r="B36" s="105" t="s">
        <v>148</v>
      </c>
      <c r="C36" s="105" t="s">
        <v>280</v>
      </c>
      <c r="D36" s="105" t="s">
        <v>263</v>
      </c>
      <c r="E36" s="105" t="s">
        <v>295</v>
      </c>
      <c r="F36" s="105" t="s">
        <v>264</v>
      </c>
      <c r="G36" s="105" t="s">
        <v>150</v>
      </c>
      <c r="H36" s="105" t="s">
        <v>281</v>
      </c>
      <c r="I36" s="158"/>
      <c r="J36" s="122" t="s">
        <v>266</v>
      </c>
    </row>
    <row r="37" spans="1:10" ht="52" customHeight="1">
      <c r="A37" s="111" t="s">
        <v>296</v>
      </c>
      <c r="B37" s="105"/>
      <c r="C37" s="105" t="s">
        <v>280</v>
      </c>
      <c r="D37" s="105" t="s">
        <v>263</v>
      </c>
      <c r="E37" s="105" t="s">
        <v>151</v>
      </c>
      <c r="F37" s="105" t="s">
        <v>264</v>
      </c>
      <c r="G37" s="105" t="s">
        <v>152</v>
      </c>
      <c r="H37" s="105" t="s">
        <v>281</v>
      </c>
      <c r="I37" s="223" t="s">
        <v>297</v>
      </c>
      <c r="J37" s="122" t="s">
        <v>266</v>
      </c>
    </row>
    <row r="38" spans="1:10" ht="52" customHeight="1">
      <c r="A38" s="105" t="s">
        <v>298</v>
      </c>
      <c r="B38" s="105" t="s">
        <v>153</v>
      </c>
      <c r="C38" s="105" t="s">
        <v>274</v>
      </c>
      <c r="D38" s="105" t="s">
        <v>263</v>
      </c>
      <c r="E38" s="105" t="s">
        <v>154</v>
      </c>
      <c r="F38" s="105" t="s">
        <v>264</v>
      </c>
      <c r="G38" s="105" t="s">
        <v>155</v>
      </c>
      <c r="H38" s="105" t="s">
        <v>275</v>
      </c>
      <c r="I38" s="158"/>
      <c r="J38" s="122" t="s">
        <v>266</v>
      </c>
    </row>
    <row r="39" spans="1:10" ht="52" customHeight="1">
      <c r="A39" s="105" t="s">
        <v>88</v>
      </c>
      <c r="B39" s="105"/>
      <c r="C39" s="105" t="s">
        <v>274</v>
      </c>
      <c r="D39" s="105" t="s">
        <v>263</v>
      </c>
      <c r="E39" s="105" t="s">
        <v>156</v>
      </c>
      <c r="F39" s="105" t="s">
        <v>264</v>
      </c>
      <c r="G39" s="105" t="s">
        <v>157</v>
      </c>
      <c r="H39" s="105" t="s">
        <v>275</v>
      </c>
      <c r="I39" s="158"/>
      <c r="J39" s="122" t="s">
        <v>266</v>
      </c>
    </row>
    <row r="40" spans="1:10" ht="52" customHeight="1">
      <c r="A40" s="105" t="s">
        <v>88</v>
      </c>
      <c r="B40" s="105"/>
      <c r="C40" s="105" t="s">
        <v>274</v>
      </c>
      <c r="D40" s="105" t="s">
        <v>263</v>
      </c>
      <c r="E40" s="105" t="s">
        <v>158</v>
      </c>
      <c r="F40" s="105" t="s">
        <v>264</v>
      </c>
      <c r="G40" s="105" t="s">
        <v>159</v>
      </c>
      <c r="H40" s="105" t="s">
        <v>275</v>
      </c>
      <c r="I40" s="158"/>
      <c r="J40" s="122" t="s">
        <v>266</v>
      </c>
    </row>
    <row r="41" spans="1:10" ht="52" customHeight="1">
      <c r="A41" s="105" t="s">
        <v>88</v>
      </c>
      <c r="B41" s="105"/>
      <c r="C41" s="105" t="s">
        <v>274</v>
      </c>
      <c r="D41" s="105" t="s">
        <v>263</v>
      </c>
      <c r="E41" s="105" t="s">
        <v>299</v>
      </c>
      <c r="F41" s="105" t="s">
        <v>264</v>
      </c>
      <c r="G41" s="105" t="s">
        <v>161</v>
      </c>
      <c r="H41" s="105" t="s">
        <v>275</v>
      </c>
      <c r="I41" s="158"/>
      <c r="J41" s="122" t="s">
        <v>266</v>
      </c>
    </row>
    <row r="42" spans="1:10" ht="52" customHeight="1">
      <c r="A42" s="105" t="s">
        <v>88</v>
      </c>
      <c r="B42" s="105"/>
      <c r="C42" s="105" t="s">
        <v>274</v>
      </c>
      <c r="D42" s="115" t="s">
        <v>263</v>
      </c>
      <c r="E42" s="105" t="s">
        <v>162</v>
      </c>
      <c r="F42" s="105" t="s">
        <v>264</v>
      </c>
      <c r="G42" s="105" t="s">
        <v>163</v>
      </c>
      <c r="H42" s="105" t="s">
        <v>275</v>
      </c>
      <c r="I42" s="158"/>
      <c r="J42" s="122" t="s">
        <v>266</v>
      </c>
    </row>
    <row r="43" spans="1:10" ht="52" customHeight="1">
      <c r="A43" s="105" t="s">
        <v>88</v>
      </c>
      <c r="B43" s="105"/>
      <c r="C43" s="105" t="s">
        <v>274</v>
      </c>
      <c r="D43" s="105" t="s">
        <v>263</v>
      </c>
      <c r="E43" s="105" t="s">
        <v>164</v>
      </c>
      <c r="F43" s="105" t="s">
        <v>264</v>
      </c>
      <c r="G43" s="105" t="s">
        <v>165</v>
      </c>
      <c r="H43" s="105" t="s">
        <v>275</v>
      </c>
      <c r="I43" s="158"/>
      <c r="J43" s="122" t="s">
        <v>266</v>
      </c>
    </row>
    <row r="44" spans="1:10" ht="52" customHeight="1">
      <c r="A44" s="105" t="s">
        <v>88</v>
      </c>
      <c r="B44" s="105"/>
      <c r="C44" s="105" t="s">
        <v>274</v>
      </c>
      <c r="D44" s="105" t="s">
        <v>263</v>
      </c>
      <c r="E44" s="105" t="s">
        <v>166</v>
      </c>
      <c r="F44" s="105" t="s">
        <v>264</v>
      </c>
      <c r="G44" s="105" t="s">
        <v>167</v>
      </c>
      <c r="H44" s="105" t="s">
        <v>275</v>
      </c>
      <c r="I44" s="158"/>
      <c r="J44" s="122" t="s">
        <v>266</v>
      </c>
    </row>
    <row r="45" spans="1:10" ht="331" customHeight="1">
      <c r="A45" s="105" t="s">
        <v>88</v>
      </c>
      <c r="B45" s="105" t="s">
        <v>168</v>
      </c>
      <c r="C45" s="105" t="s">
        <v>267</v>
      </c>
      <c r="D45" s="105" t="s">
        <v>263</v>
      </c>
      <c r="E45" s="105" t="s">
        <v>300</v>
      </c>
      <c r="F45" s="105" t="s">
        <v>264</v>
      </c>
      <c r="G45" s="105" t="s">
        <v>170</v>
      </c>
      <c r="H45" s="105" t="s">
        <v>268</v>
      </c>
      <c r="I45" s="158"/>
      <c r="J45" s="122" t="s">
        <v>266</v>
      </c>
    </row>
    <row r="46" spans="1:10" ht="52" customHeight="1">
      <c r="A46" s="105" t="s">
        <v>88</v>
      </c>
      <c r="B46" s="105"/>
      <c r="C46" s="105" t="s">
        <v>267</v>
      </c>
      <c r="D46" s="105" t="s">
        <v>263</v>
      </c>
      <c r="E46" s="105" t="s">
        <v>171</v>
      </c>
      <c r="F46" s="105" t="s">
        <v>264</v>
      </c>
      <c r="G46" s="105" t="s">
        <v>172</v>
      </c>
      <c r="H46" s="105" t="s">
        <v>268</v>
      </c>
      <c r="I46" s="158"/>
      <c r="J46" s="122" t="s">
        <v>266</v>
      </c>
    </row>
    <row r="47" spans="1:10" ht="52" customHeight="1">
      <c r="A47" s="105" t="s">
        <v>88</v>
      </c>
      <c r="B47" s="105"/>
      <c r="C47" s="105" t="s">
        <v>267</v>
      </c>
      <c r="D47" s="105" t="s">
        <v>263</v>
      </c>
      <c r="E47" s="105" t="s">
        <v>301</v>
      </c>
      <c r="F47" s="105" t="s">
        <v>264</v>
      </c>
      <c r="G47" s="105" t="s">
        <v>174</v>
      </c>
      <c r="H47" s="105" t="s">
        <v>268</v>
      </c>
      <c r="I47" s="158"/>
      <c r="J47" s="122" t="s">
        <v>266</v>
      </c>
    </row>
    <row r="48" spans="1:10" ht="52" customHeight="1">
      <c r="A48" s="105" t="s">
        <v>88</v>
      </c>
      <c r="B48" s="105" t="s">
        <v>175</v>
      </c>
      <c r="C48" s="105" t="s">
        <v>274</v>
      </c>
      <c r="D48" s="105" t="s">
        <v>93</v>
      </c>
      <c r="E48" s="105" t="s">
        <v>93</v>
      </c>
      <c r="F48" s="105" t="s">
        <v>264</v>
      </c>
      <c r="G48" s="105" t="s">
        <v>175</v>
      </c>
      <c r="H48" s="105" t="s">
        <v>275</v>
      </c>
      <c r="I48" s="158"/>
      <c r="J48" s="122" t="s">
        <v>266</v>
      </c>
    </row>
    <row r="49" spans="1:60" ht="52" customHeight="1">
      <c r="A49" s="105" t="s">
        <v>88</v>
      </c>
      <c r="B49" s="105" t="s">
        <v>176</v>
      </c>
      <c r="C49" s="105" t="s">
        <v>267</v>
      </c>
      <c r="D49" s="105" t="s">
        <v>93</v>
      </c>
      <c r="E49" s="105" t="s">
        <v>93</v>
      </c>
      <c r="F49" s="105" t="s">
        <v>264</v>
      </c>
      <c r="G49" s="105" t="s">
        <v>302</v>
      </c>
      <c r="H49" s="105" t="s">
        <v>268</v>
      </c>
      <c r="I49" s="158"/>
      <c r="J49" s="122" t="s">
        <v>266</v>
      </c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7"/>
      <c r="AI49" s="157"/>
      <c r="AJ49" s="157"/>
      <c r="AK49" s="157"/>
      <c r="AL49" s="157"/>
      <c r="AM49" s="157"/>
      <c r="AN49" s="157"/>
      <c r="AO49" s="157"/>
      <c r="AP49" s="157"/>
      <c r="AQ49" s="157"/>
      <c r="AR49" s="157"/>
      <c r="AS49" s="157"/>
      <c r="AT49" s="157"/>
      <c r="AU49" s="157"/>
      <c r="AV49" s="157"/>
      <c r="AW49" s="157"/>
      <c r="AX49" s="157"/>
      <c r="AY49" s="157"/>
      <c r="AZ49" s="157"/>
      <c r="BA49" s="157"/>
      <c r="BB49" s="157"/>
      <c r="BC49" s="157"/>
      <c r="BD49" s="157"/>
      <c r="BE49" s="157"/>
      <c r="BF49" s="157"/>
      <c r="BG49" s="157"/>
      <c r="BH49" s="157"/>
    </row>
    <row r="50" spans="1:60" ht="52" customHeight="1">
      <c r="A50" s="105" t="s">
        <v>88</v>
      </c>
      <c r="B50" s="105" t="s">
        <v>177</v>
      </c>
      <c r="C50" s="105" t="s">
        <v>267</v>
      </c>
      <c r="D50" s="105" t="s">
        <v>93</v>
      </c>
      <c r="E50" s="105" t="s">
        <v>93</v>
      </c>
      <c r="F50" s="159" t="s">
        <v>264</v>
      </c>
      <c r="G50" s="105" t="s">
        <v>303</v>
      </c>
      <c r="H50" s="105" t="s">
        <v>268</v>
      </c>
      <c r="I50" s="158"/>
      <c r="J50" s="122" t="s">
        <v>266</v>
      </c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7"/>
      <c r="AG50" s="157"/>
      <c r="AH50" s="157"/>
      <c r="AI50" s="157"/>
      <c r="AJ50" s="157"/>
      <c r="AK50" s="157"/>
      <c r="AL50" s="157"/>
      <c r="AM50" s="157"/>
      <c r="AN50" s="157"/>
      <c r="AO50" s="157"/>
      <c r="AP50" s="157"/>
      <c r="AQ50" s="157"/>
      <c r="AR50" s="157"/>
      <c r="AS50" s="157"/>
      <c r="AT50" s="157"/>
      <c r="AU50" s="157"/>
      <c r="AV50" s="157"/>
      <c r="AW50" s="157"/>
      <c r="AX50" s="157"/>
      <c r="AY50" s="157"/>
      <c r="AZ50" s="157"/>
      <c r="BA50" s="157"/>
      <c r="BB50" s="157"/>
      <c r="BC50" s="157"/>
      <c r="BD50" s="157"/>
      <c r="BE50" s="157"/>
      <c r="BF50" s="157"/>
      <c r="BG50" s="157"/>
      <c r="BH50" s="157"/>
    </row>
    <row r="51" spans="1:60" s="105" customFormat="1" ht="52" customHeight="1">
      <c r="A51" s="105" t="s">
        <v>293</v>
      </c>
      <c r="B51" s="105" t="s">
        <v>178</v>
      </c>
      <c r="C51" s="105" t="s">
        <v>267</v>
      </c>
      <c r="D51" s="105" t="s">
        <v>263</v>
      </c>
      <c r="E51" s="105" t="s">
        <v>304</v>
      </c>
      <c r="F51" s="105" t="s">
        <v>264</v>
      </c>
      <c r="G51" s="105" t="s">
        <v>305</v>
      </c>
      <c r="H51" s="105" t="s">
        <v>268</v>
      </c>
      <c r="J51" s="122" t="s">
        <v>266</v>
      </c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  <c r="AJ51" s="157"/>
      <c r="AK51" s="157"/>
      <c r="AL51" s="157"/>
      <c r="AM51" s="157"/>
      <c r="AN51" s="157"/>
      <c r="AO51" s="157"/>
      <c r="AP51" s="157"/>
      <c r="AQ51" s="157"/>
      <c r="AR51" s="157"/>
      <c r="AS51" s="157"/>
      <c r="AT51" s="157"/>
      <c r="AU51" s="157"/>
      <c r="AV51" s="157"/>
      <c r="AW51" s="157"/>
      <c r="AX51" s="157"/>
      <c r="AY51" s="157"/>
      <c r="AZ51" s="157"/>
      <c r="BA51" s="157"/>
      <c r="BB51" s="157"/>
      <c r="BC51" s="157"/>
      <c r="BD51" s="157"/>
      <c r="BE51" s="157"/>
      <c r="BF51" s="157"/>
      <c r="BG51" s="157"/>
      <c r="BH51" s="157"/>
    </row>
    <row r="52" spans="1:60" ht="52" customHeight="1">
      <c r="A52" s="105" t="s">
        <v>88</v>
      </c>
      <c r="B52" s="105" t="s">
        <v>181</v>
      </c>
      <c r="C52" s="105" t="s">
        <v>267</v>
      </c>
      <c r="D52" s="105"/>
      <c r="E52" s="105" t="s">
        <v>93</v>
      </c>
      <c r="F52" s="105" t="s">
        <v>264</v>
      </c>
      <c r="G52" s="105" t="s">
        <v>306</v>
      </c>
      <c r="H52" s="105" t="s">
        <v>268</v>
      </c>
      <c r="I52" s="129"/>
      <c r="J52" s="122" t="s">
        <v>266</v>
      </c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  <c r="AJ52" s="157"/>
      <c r="AK52" s="157"/>
      <c r="AL52" s="157"/>
      <c r="AM52" s="157"/>
      <c r="AN52" s="157"/>
      <c r="AO52" s="157"/>
      <c r="AP52" s="157"/>
      <c r="AQ52" s="157"/>
      <c r="AR52" s="157"/>
      <c r="AS52" s="157"/>
      <c r="AT52" s="157"/>
      <c r="AU52" s="157"/>
      <c r="AV52" s="157"/>
      <c r="AW52" s="157"/>
      <c r="AX52" s="157"/>
      <c r="AY52" s="157"/>
      <c r="AZ52" s="157"/>
      <c r="BA52" s="157"/>
      <c r="BB52" s="157"/>
      <c r="BC52" s="157"/>
      <c r="BD52" s="157"/>
      <c r="BE52" s="157"/>
      <c r="BF52" s="157"/>
      <c r="BG52" s="157"/>
      <c r="BH52" s="157"/>
    </row>
    <row r="53" spans="1:60" ht="52" customHeight="1">
      <c r="A53" s="117" t="s">
        <v>88</v>
      </c>
      <c r="B53" s="105" t="s">
        <v>182</v>
      </c>
      <c r="C53" s="105" t="s">
        <v>267</v>
      </c>
      <c r="D53" s="105" t="s">
        <v>93</v>
      </c>
      <c r="E53" s="105" t="s">
        <v>93</v>
      </c>
      <c r="F53" s="105" t="s">
        <v>264</v>
      </c>
      <c r="G53" s="105" t="s">
        <v>307</v>
      </c>
      <c r="H53" s="105" t="s">
        <v>268</v>
      </c>
      <c r="I53" s="129"/>
      <c r="J53" s="122" t="s">
        <v>266</v>
      </c>
    </row>
    <row r="54" spans="1:60">
      <c r="J54" s="157"/>
    </row>
    <row r="55" spans="1:60" ht="14.5" customHeight="1">
      <c r="A55" s="541" t="s">
        <v>308</v>
      </c>
      <c r="B55" s="541"/>
      <c r="C55" s="541"/>
      <c r="D55" s="541"/>
      <c r="E55" s="541"/>
      <c r="F55" s="541"/>
      <c r="G55" s="541"/>
      <c r="H55" s="541"/>
      <c r="I55" s="541"/>
      <c r="J55" s="541"/>
    </row>
    <row r="56" spans="1:60">
      <c r="J56" s="157"/>
    </row>
    <row r="57" spans="1:60" ht="37.4" customHeight="1">
      <c r="A57" s="542" t="s">
        <v>309</v>
      </c>
      <c r="B57" s="542"/>
      <c r="C57" s="542"/>
      <c r="D57" s="157"/>
      <c r="E57" s="157"/>
      <c r="F57" s="157"/>
      <c r="G57" s="157"/>
      <c r="H57" s="157"/>
      <c r="I57" s="157"/>
      <c r="J57" s="157"/>
    </row>
    <row r="58" spans="1:60">
      <c r="A58" s="180"/>
      <c r="J58" s="157"/>
    </row>
    <row r="59" spans="1:60" ht="13">
      <c r="A59" s="114" t="s">
        <v>73</v>
      </c>
      <c r="B59" s="114" t="s">
        <v>74</v>
      </c>
      <c r="C59" s="114" t="s">
        <v>75</v>
      </c>
      <c r="D59" s="114" t="s">
        <v>76</v>
      </c>
      <c r="E59" s="114" t="s">
        <v>77</v>
      </c>
      <c r="F59" s="114" t="s">
        <v>78</v>
      </c>
      <c r="G59" s="114" t="s">
        <v>79</v>
      </c>
      <c r="H59" s="114" t="s">
        <v>80</v>
      </c>
      <c r="I59" s="112" t="s">
        <v>260</v>
      </c>
      <c r="J59" s="112" t="s">
        <v>261</v>
      </c>
    </row>
    <row r="60" spans="1:60">
      <c r="A60" s="118" t="s">
        <v>264</v>
      </c>
      <c r="B60" s="118" t="s">
        <v>310</v>
      </c>
      <c r="C60" s="105" t="s">
        <v>267</v>
      </c>
      <c r="D60" s="118" t="s">
        <v>93</v>
      </c>
      <c r="E60" s="105"/>
      <c r="F60" s="118" t="s">
        <v>311</v>
      </c>
      <c r="G60" s="118" t="s">
        <v>94</v>
      </c>
      <c r="H60" s="105" t="s">
        <v>267</v>
      </c>
      <c r="I60" s="105"/>
      <c r="J60" s="122" t="s">
        <v>266</v>
      </c>
    </row>
    <row r="61" spans="1:60">
      <c r="A61" s="118" t="s">
        <v>264</v>
      </c>
      <c r="B61" s="118" t="s">
        <v>312</v>
      </c>
      <c r="C61" s="105" t="s">
        <v>267</v>
      </c>
      <c r="D61" s="118" t="s">
        <v>93</v>
      </c>
      <c r="E61" s="105"/>
      <c r="F61" s="118" t="s">
        <v>311</v>
      </c>
      <c r="G61" s="118" t="s">
        <v>96</v>
      </c>
      <c r="H61" s="105" t="s">
        <v>267</v>
      </c>
      <c r="I61" s="105"/>
      <c r="J61" s="122" t="s">
        <v>266</v>
      </c>
    </row>
    <row r="62" spans="1:60">
      <c r="A62" s="118" t="s">
        <v>264</v>
      </c>
      <c r="B62" s="118" t="s">
        <v>113</v>
      </c>
      <c r="C62" s="105" t="s">
        <v>267</v>
      </c>
      <c r="D62" s="118" t="s">
        <v>93</v>
      </c>
      <c r="E62" s="105"/>
      <c r="F62" s="118" t="s">
        <v>311</v>
      </c>
      <c r="G62" s="118" t="s">
        <v>186</v>
      </c>
      <c r="H62" s="105" t="s">
        <v>267</v>
      </c>
      <c r="I62" s="105"/>
      <c r="J62" s="122" t="s">
        <v>266</v>
      </c>
    </row>
    <row r="63" spans="1:60">
      <c r="A63" s="118" t="s">
        <v>264</v>
      </c>
      <c r="B63" s="118" t="s">
        <v>116</v>
      </c>
      <c r="C63" s="105" t="s">
        <v>267</v>
      </c>
      <c r="D63" s="118" t="s">
        <v>93</v>
      </c>
      <c r="E63" s="105"/>
      <c r="F63" s="118" t="s">
        <v>311</v>
      </c>
      <c r="G63" s="118" t="s">
        <v>187</v>
      </c>
      <c r="H63" s="105" t="s">
        <v>267</v>
      </c>
      <c r="I63" s="105"/>
      <c r="J63" s="122" t="s">
        <v>266</v>
      </c>
    </row>
    <row r="64" spans="1:60">
      <c r="A64" s="118" t="s">
        <v>264</v>
      </c>
      <c r="B64" s="118" t="s">
        <v>118</v>
      </c>
      <c r="C64" s="105" t="s">
        <v>267</v>
      </c>
      <c r="D64" s="118" t="s">
        <v>93</v>
      </c>
      <c r="E64" s="105"/>
      <c r="F64" s="118" t="s">
        <v>311</v>
      </c>
      <c r="G64" s="118" t="s">
        <v>188</v>
      </c>
      <c r="H64" s="105" t="s">
        <v>267</v>
      </c>
      <c r="I64" s="105"/>
      <c r="J64" s="122" t="s">
        <v>266</v>
      </c>
    </row>
    <row r="65" spans="1:10">
      <c r="A65" s="118" t="s">
        <v>264</v>
      </c>
      <c r="B65" s="118" t="s">
        <v>120</v>
      </c>
      <c r="C65" s="105" t="s">
        <v>267</v>
      </c>
      <c r="D65" s="118" t="s">
        <v>93</v>
      </c>
      <c r="E65" s="105"/>
      <c r="F65" s="118" t="s">
        <v>311</v>
      </c>
      <c r="G65" s="118" t="s">
        <v>189</v>
      </c>
      <c r="H65" s="105" t="s">
        <v>267</v>
      </c>
      <c r="I65" s="105"/>
      <c r="J65" s="122" t="s">
        <v>266</v>
      </c>
    </row>
    <row r="66" spans="1:10">
      <c r="J66" s="157"/>
    </row>
    <row r="67" spans="1:10" ht="14.5" customHeight="1">
      <c r="A67" s="541" t="s">
        <v>313</v>
      </c>
      <c r="B67" s="541"/>
      <c r="C67" s="541"/>
      <c r="D67" s="541"/>
      <c r="E67" s="541"/>
      <c r="F67" s="541"/>
      <c r="G67" s="541"/>
      <c r="H67" s="541"/>
      <c r="I67" s="541"/>
      <c r="J67" s="541"/>
    </row>
    <row r="68" spans="1:10">
      <c r="B68" s="157"/>
      <c r="C68" s="157"/>
      <c r="D68" s="157"/>
      <c r="E68" s="157"/>
      <c r="F68" s="157"/>
      <c r="G68" s="157"/>
      <c r="H68" s="157"/>
      <c r="I68" s="157"/>
      <c r="J68" s="157"/>
    </row>
    <row r="69" spans="1:10" ht="39" customHeight="1">
      <c r="A69" s="524" t="s">
        <v>314</v>
      </c>
      <c r="B69" s="524"/>
      <c r="C69" s="524"/>
      <c r="D69" s="157"/>
      <c r="E69" s="157"/>
      <c r="F69" s="157"/>
      <c r="G69" s="157"/>
      <c r="H69" s="157"/>
      <c r="I69" s="157"/>
      <c r="J69" s="157"/>
    </row>
    <row r="70" spans="1:10">
      <c r="B70" s="157"/>
      <c r="C70" s="157"/>
      <c r="D70" s="157"/>
      <c r="E70" s="157"/>
      <c r="F70" s="157"/>
      <c r="G70" s="157"/>
      <c r="H70" s="157"/>
      <c r="I70" s="157"/>
      <c r="J70" s="157"/>
    </row>
    <row r="71" spans="1:10" ht="13">
      <c r="A71" s="114" t="s">
        <v>73</v>
      </c>
      <c r="B71" s="114" t="s">
        <v>74</v>
      </c>
      <c r="C71" s="114" t="s">
        <v>75</v>
      </c>
      <c r="D71" s="114" t="s">
        <v>76</v>
      </c>
      <c r="E71" s="114" t="s">
        <v>77</v>
      </c>
      <c r="F71" s="114" t="s">
        <v>78</v>
      </c>
      <c r="G71" s="114" t="s">
        <v>79</v>
      </c>
      <c r="H71" s="114" t="s">
        <v>80</v>
      </c>
      <c r="I71" s="112" t="s">
        <v>260</v>
      </c>
      <c r="J71" s="112" t="s">
        <v>261</v>
      </c>
    </row>
    <row r="72" spans="1:10">
      <c r="A72" s="118" t="s">
        <v>264</v>
      </c>
      <c r="B72" s="118" t="s">
        <v>310</v>
      </c>
      <c r="C72" s="105" t="s">
        <v>267</v>
      </c>
      <c r="D72" s="118" t="s">
        <v>93</v>
      </c>
      <c r="E72" s="105"/>
      <c r="F72" s="118" t="s">
        <v>315</v>
      </c>
      <c r="G72" s="118" t="s">
        <v>94</v>
      </c>
      <c r="H72" s="105" t="s">
        <v>267</v>
      </c>
      <c r="I72" s="105"/>
      <c r="J72" s="122" t="s">
        <v>266</v>
      </c>
    </row>
    <row r="73" spans="1:10">
      <c r="A73" s="118" t="s">
        <v>264</v>
      </c>
      <c r="B73" s="118" t="s">
        <v>312</v>
      </c>
      <c r="C73" s="105" t="s">
        <v>267</v>
      </c>
      <c r="D73" s="118" t="s">
        <v>93</v>
      </c>
      <c r="E73" s="105"/>
      <c r="F73" s="118" t="s">
        <v>315</v>
      </c>
      <c r="G73" s="118" t="s">
        <v>96</v>
      </c>
      <c r="H73" s="105" t="s">
        <v>267</v>
      </c>
      <c r="I73" s="105"/>
      <c r="J73" s="122" t="s">
        <v>266</v>
      </c>
    </row>
    <row r="74" spans="1:10">
      <c r="A74" s="118" t="s">
        <v>264</v>
      </c>
      <c r="B74" s="118" t="s">
        <v>113</v>
      </c>
      <c r="C74" s="105" t="s">
        <v>267</v>
      </c>
      <c r="D74" s="118" t="s">
        <v>93</v>
      </c>
      <c r="E74" s="105"/>
      <c r="F74" s="118" t="s">
        <v>315</v>
      </c>
      <c r="G74" s="118" t="s">
        <v>193</v>
      </c>
      <c r="H74" s="105" t="s">
        <v>267</v>
      </c>
      <c r="I74" s="105"/>
      <c r="J74" s="122" t="s">
        <v>266</v>
      </c>
    </row>
    <row r="75" spans="1:10">
      <c r="A75" s="118" t="s">
        <v>264</v>
      </c>
      <c r="B75" s="118" t="s">
        <v>116</v>
      </c>
      <c r="C75" s="105" t="s">
        <v>267</v>
      </c>
      <c r="D75" s="118" t="s">
        <v>93</v>
      </c>
      <c r="E75" s="105"/>
      <c r="F75" s="118" t="s">
        <v>315</v>
      </c>
      <c r="G75" s="118" t="s">
        <v>194</v>
      </c>
      <c r="H75" s="105" t="s">
        <v>267</v>
      </c>
      <c r="I75" s="105"/>
      <c r="J75" s="122" t="s">
        <v>266</v>
      </c>
    </row>
    <row r="76" spans="1:10">
      <c r="A76" s="118" t="s">
        <v>264</v>
      </c>
      <c r="B76" s="118" t="s">
        <v>118</v>
      </c>
      <c r="C76" s="105" t="s">
        <v>267</v>
      </c>
      <c r="D76" s="118" t="s">
        <v>93</v>
      </c>
      <c r="E76" s="105"/>
      <c r="F76" s="118" t="s">
        <v>315</v>
      </c>
      <c r="G76" s="118" t="s">
        <v>195</v>
      </c>
      <c r="H76" s="105" t="s">
        <v>267</v>
      </c>
      <c r="I76" s="105"/>
      <c r="J76" s="122" t="s">
        <v>266</v>
      </c>
    </row>
    <row r="77" spans="1:10">
      <c r="A77" s="118" t="s">
        <v>264</v>
      </c>
      <c r="B77" s="118" t="s">
        <v>120</v>
      </c>
      <c r="C77" s="105" t="s">
        <v>267</v>
      </c>
      <c r="D77" s="118" t="s">
        <v>93</v>
      </c>
      <c r="E77" s="105"/>
      <c r="F77" s="118" t="s">
        <v>315</v>
      </c>
      <c r="G77" s="118" t="s">
        <v>196</v>
      </c>
      <c r="H77" s="105" t="s">
        <v>267</v>
      </c>
      <c r="I77" s="105"/>
      <c r="J77" s="122" t="s">
        <v>266</v>
      </c>
    </row>
    <row r="78" spans="1:10">
      <c r="J78" s="157"/>
    </row>
    <row r="79" spans="1:10" ht="14.5" customHeight="1">
      <c r="A79" s="541" t="s">
        <v>316</v>
      </c>
      <c r="B79" s="541"/>
      <c r="C79" s="541"/>
      <c r="D79" s="541"/>
      <c r="E79" s="541"/>
      <c r="F79" s="541"/>
      <c r="G79" s="541"/>
      <c r="H79" s="541"/>
      <c r="I79" s="541"/>
      <c r="J79" s="541"/>
    </row>
    <row r="80" spans="1:10">
      <c r="D80" s="157"/>
      <c r="E80" s="157"/>
      <c r="F80" s="157"/>
      <c r="G80" s="157"/>
      <c r="H80" s="157"/>
      <c r="I80" s="157"/>
      <c r="J80" s="157"/>
    </row>
    <row r="81" spans="1:19" ht="130" customHeight="1">
      <c r="A81" s="524" t="s">
        <v>317</v>
      </c>
      <c r="B81" s="524"/>
      <c r="C81" s="524"/>
      <c r="E81" s="143"/>
      <c r="F81" s="473"/>
      <c r="G81" s="143"/>
      <c r="H81" s="474"/>
      <c r="I81" s="470"/>
      <c r="J81" s="470"/>
      <c r="K81" s="474"/>
      <c r="L81" s="473"/>
      <c r="M81" s="473"/>
      <c r="R81" s="113"/>
      <c r="S81" s="113"/>
    </row>
    <row r="82" spans="1:19" ht="125.5" customHeight="1">
      <c r="A82" s="542" t="s">
        <v>5201</v>
      </c>
      <c r="B82" s="542"/>
      <c r="C82" s="542"/>
      <c r="D82" s="462"/>
      <c r="E82" s="159"/>
      <c r="F82" s="475"/>
      <c r="G82" s="159"/>
      <c r="H82" s="469"/>
      <c r="I82" s="476"/>
      <c r="J82" s="476"/>
      <c r="K82" s="469"/>
      <c r="L82" s="477"/>
      <c r="M82" s="476"/>
      <c r="R82" s="113"/>
      <c r="S82" s="113"/>
    </row>
    <row r="83" spans="1:19" ht="111.65" customHeight="1">
      <c r="A83" s="542" t="s">
        <v>318</v>
      </c>
      <c r="B83" s="542"/>
      <c r="C83" s="542"/>
      <c r="D83" s="157"/>
      <c r="E83" s="159"/>
      <c r="F83" s="475"/>
      <c r="G83" s="159"/>
      <c r="H83" s="469"/>
      <c r="I83" s="476"/>
      <c r="J83" s="476"/>
      <c r="K83" s="469"/>
      <c r="L83" s="469"/>
      <c r="M83" s="469"/>
      <c r="R83" s="113"/>
      <c r="S83" s="113"/>
    </row>
    <row r="84" spans="1:19">
      <c r="D84" s="157"/>
      <c r="E84" s="157"/>
      <c r="F84" s="157"/>
      <c r="G84" s="157"/>
      <c r="H84" s="157"/>
      <c r="I84" s="157"/>
      <c r="J84" s="157"/>
    </row>
    <row r="85" spans="1:19" ht="13">
      <c r="A85" s="114" t="s">
        <v>73</v>
      </c>
      <c r="B85" s="114" t="s">
        <v>74</v>
      </c>
      <c r="C85" s="114" t="s">
        <v>75</v>
      </c>
      <c r="D85" s="114" t="s">
        <v>76</v>
      </c>
      <c r="E85" s="114" t="s">
        <v>77</v>
      </c>
      <c r="F85" s="114" t="s">
        <v>78</v>
      </c>
      <c r="G85" s="114" t="s">
        <v>79</v>
      </c>
      <c r="H85" s="114" t="s">
        <v>80</v>
      </c>
      <c r="I85" s="112" t="s">
        <v>260</v>
      </c>
      <c r="J85" s="112" t="s">
        <v>261</v>
      </c>
    </row>
    <row r="86" spans="1:19">
      <c r="A86" s="118" t="s">
        <v>204</v>
      </c>
      <c r="B86" s="118" t="s">
        <v>319</v>
      </c>
      <c r="C86" s="105" t="s">
        <v>262</v>
      </c>
      <c r="D86" s="118" t="s">
        <v>93</v>
      </c>
      <c r="E86" s="118"/>
      <c r="F86" s="118" t="s">
        <v>320</v>
      </c>
      <c r="G86" s="118" t="s">
        <v>90</v>
      </c>
      <c r="H86" s="105" t="s">
        <v>262</v>
      </c>
      <c r="I86" s="105"/>
      <c r="J86" s="122" t="s">
        <v>266</v>
      </c>
    </row>
    <row r="87" spans="1:19">
      <c r="A87" s="118" t="s">
        <v>204</v>
      </c>
      <c r="B87" s="118" t="s">
        <v>206</v>
      </c>
      <c r="C87" s="105" t="s">
        <v>321</v>
      </c>
      <c r="D87" s="118" t="s">
        <v>93</v>
      </c>
      <c r="E87" s="118"/>
      <c r="F87" s="118" t="s">
        <v>320</v>
      </c>
      <c r="G87" s="118" t="s">
        <v>207</v>
      </c>
      <c r="H87" s="105" t="s">
        <v>321</v>
      </c>
      <c r="I87" s="105"/>
      <c r="J87" s="122" t="s">
        <v>266</v>
      </c>
    </row>
    <row r="88" spans="1:19">
      <c r="J88" s="157"/>
    </row>
    <row r="89" spans="1:19" ht="14.5" customHeight="1">
      <c r="A89" s="541" t="s">
        <v>322</v>
      </c>
      <c r="B89" s="541"/>
      <c r="C89" s="541"/>
      <c r="D89" s="541"/>
      <c r="E89" s="541"/>
      <c r="F89" s="541"/>
      <c r="G89" s="541"/>
      <c r="H89" s="541"/>
      <c r="I89" s="541"/>
      <c r="J89" s="541"/>
    </row>
    <row r="90" spans="1:19">
      <c r="F90" s="157"/>
      <c r="G90" s="157"/>
      <c r="H90" s="157"/>
      <c r="I90" s="157"/>
      <c r="J90" s="157"/>
    </row>
    <row r="91" spans="1:19" ht="13">
      <c r="A91" s="121" t="s">
        <v>209</v>
      </c>
      <c r="B91" s="159"/>
      <c r="C91" s="132"/>
      <c r="F91" s="157"/>
      <c r="G91" s="157"/>
      <c r="H91" s="157"/>
      <c r="I91" s="157"/>
      <c r="J91" s="157"/>
    </row>
    <row r="92" spans="1:19" ht="209.15" customHeight="1">
      <c r="A92" s="524" t="s">
        <v>323</v>
      </c>
      <c r="B92" s="524"/>
      <c r="C92" s="524"/>
      <c r="D92" s="157"/>
      <c r="E92" s="157"/>
      <c r="F92" s="157"/>
      <c r="G92" s="157"/>
      <c r="H92" s="157"/>
      <c r="I92" s="157"/>
      <c r="J92" s="157"/>
    </row>
    <row r="93" spans="1:19">
      <c r="F93" s="157"/>
      <c r="G93" s="157"/>
      <c r="H93" s="157"/>
      <c r="I93" s="157"/>
      <c r="J93" s="157"/>
    </row>
    <row r="94" spans="1:19" ht="13">
      <c r="A94" s="114" t="s">
        <v>73</v>
      </c>
      <c r="B94" s="114" t="s">
        <v>74</v>
      </c>
      <c r="C94" s="114" t="s">
        <v>75</v>
      </c>
      <c r="D94" s="114" t="s">
        <v>76</v>
      </c>
      <c r="E94" s="114" t="s">
        <v>77</v>
      </c>
      <c r="F94" s="114" t="s">
        <v>78</v>
      </c>
      <c r="G94" s="114" t="s">
        <v>79</v>
      </c>
      <c r="H94" s="114" t="s">
        <v>80</v>
      </c>
      <c r="I94" s="112" t="s">
        <v>260</v>
      </c>
      <c r="J94" s="112" t="s">
        <v>261</v>
      </c>
    </row>
    <row r="95" spans="1:19">
      <c r="A95" s="122" t="s">
        <v>264</v>
      </c>
      <c r="B95" s="122" t="s">
        <v>90</v>
      </c>
      <c r="C95" s="105" t="s">
        <v>265</v>
      </c>
      <c r="D95" s="118" t="s">
        <v>93</v>
      </c>
      <c r="E95" s="105"/>
      <c r="F95" s="122" t="s">
        <v>324</v>
      </c>
      <c r="G95" s="122" t="s">
        <v>90</v>
      </c>
      <c r="H95" s="105" t="s">
        <v>265</v>
      </c>
      <c r="I95" s="105"/>
      <c r="J95" s="105" t="s">
        <v>266</v>
      </c>
    </row>
    <row r="96" spans="1:19">
      <c r="A96" s="122" t="s">
        <v>264</v>
      </c>
      <c r="B96" s="122" t="s">
        <v>94</v>
      </c>
      <c r="C96" s="105" t="s">
        <v>268</v>
      </c>
      <c r="D96" s="118" t="s">
        <v>93</v>
      </c>
      <c r="E96" s="105"/>
      <c r="F96" s="122" t="s">
        <v>324</v>
      </c>
      <c r="G96" s="122" t="s">
        <v>94</v>
      </c>
      <c r="H96" s="105" t="s">
        <v>268</v>
      </c>
      <c r="I96" s="105"/>
      <c r="J96" s="105" t="s">
        <v>266</v>
      </c>
    </row>
    <row r="97" spans="1:10">
      <c r="A97" s="122" t="s">
        <v>264</v>
      </c>
      <c r="B97" s="122" t="s">
        <v>96</v>
      </c>
      <c r="C97" s="105" t="s">
        <v>268</v>
      </c>
      <c r="D97" s="118" t="s">
        <v>93</v>
      </c>
      <c r="E97" s="105"/>
      <c r="F97" s="122" t="s">
        <v>324</v>
      </c>
      <c r="G97" s="122" t="s">
        <v>96</v>
      </c>
      <c r="H97" s="105" t="s">
        <v>268</v>
      </c>
      <c r="I97" s="105"/>
      <c r="J97" s="105" t="s">
        <v>266</v>
      </c>
    </row>
    <row r="98" spans="1:10">
      <c r="A98" s="122" t="s">
        <v>264</v>
      </c>
      <c r="B98" s="122" t="s">
        <v>269</v>
      </c>
      <c r="C98" s="105" t="s">
        <v>268</v>
      </c>
      <c r="D98" s="118" t="s">
        <v>93</v>
      </c>
      <c r="E98" s="105"/>
      <c r="F98" s="122" t="s">
        <v>324</v>
      </c>
      <c r="G98" s="122" t="s">
        <v>269</v>
      </c>
      <c r="H98" s="105" t="s">
        <v>268</v>
      </c>
      <c r="I98" s="105"/>
      <c r="J98" s="105" t="s">
        <v>266</v>
      </c>
    </row>
    <row r="99" spans="1:10">
      <c r="A99" s="122" t="s">
        <v>264</v>
      </c>
      <c r="B99" s="122" t="s">
        <v>270</v>
      </c>
      <c r="C99" s="105" t="s">
        <v>268</v>
      </c>
      <c r="D99" s="118" t="s">
        <v>93</v>
      </c>
      <c r="E99" s="105"/>
      <c r="F99" s="122" t="s">
        <v>324</v>
      </c>
      <c r="G99" s="122" t="s">
        <v>270</v>
      </c>
      <c r="H99" s="105" t="s">
        <v>268</v>
      </c>
      <c r="I99" s="105"/>
      <c r="J99" s="105" t="s">
        <v>266</v>
      </c>
    </row>
    <row r="100" spans="1:10">
      <c r="A100" s="122" t="s">
        <v>264</v>
      </c>
      <c r="B100" s="122" t="s">
        <v>271</v>
      </c>
      <c r="C100" s="105" t="s">
        <v>268</v>
      </c>
      <c r="D100" s="118" t="s">
        <v>93</v>
      </c>
      <c r="E100" s="105"/>
      <c r="F100" s="122" t="s">
        <v>324</v>
      </c>
      <c r="G100" s="122" t="s">
        <v>271</v>
      </c>
      <c r="H100" s="105" t="s">
        <v>268</v>
      </c>
      <c r="I100" s="105"/>
      <c r="J100" s="105" t="s">
        <v>266</v>
      </c>
    </row>
    <row r="101" spans="1:10">
      <c r="A101" s="122" t="s">
        <v>264</v>
      </c>
      <c r="B101" s="122" t="s">
        <v>272</v>
      </c>
      <c r="C101" s="105" t="s">
        <v>268</v>
      </c>
      <c r="D101" s="118" t="s">
        <v>93</v>
      </c>
      <c r="E101" s="105"/>
      <c r="F101" s="122" t="s">
        <v>324</v>
      </c>
      <c r="G101" s="122" t="s">
        <v>272</v>
      </c>
      <c r="H101" s="105" t="s">
        <v>268</v>
      </c>
      <c r="I101" s="105"/>
      <c r="J101" s="105" t="s">
        <v>266</v>
      </c>
    </row>
    <row r="102" spans="1:10">
      <c r="A102" s="122" t="s">
        <v>264</v>
      </c>
      <c r="B102" s="122" t="s">
        <v>273</v>
      </c>
      <c r="C102" s="105" t="s">
        <v>268</v>
      </c>
      <c r="D102" s="118" t="s">
        <v>93</v>
      </c>
      <c r="E102" s="105"/>
      <c r="F102" s="122" t="s">
        <v>324</v>
      </c>
      <c r="G102" s="122" t="s">
        <v>273</v>
      </c>
      <c r="H102" s="105" t="s">
        <v>268</v>
      </c>
      <c r="I102" s="105"/>
      <c r="J102" s="105" t="s">
        <v>266</v>
      </c>
    </row>
    <row r="103" spans="1:10" ht="60" customHeight="1">
      <c r="A103" s="122" t="s">
        <v>264</v>
      </c>
      <c r="B103" s="122" t="s">
        <v>170</v>
      </c>
      <c r="C103" s="105" t="s">
        <v>268</v>
      </c>
      <c r="D103" s="118" t="s">
        <v>263</v>
      </c>
      <c r="E103" s="105" t="s">
        <v>325</v>
      </c>
      <c r="F103" s="122" t="s">
        <v>324</v>
      </c>
      <c r="G103" s="122" t="s">
        <v>170</v>
      </c>
      <c r="H103" s="105" t="s">
        <v>268</v>
      </c>
      <c r="I103" s="105"/>
      <c r="J103" s="105" t="s">
        <v>266</v>
      </c>
    </row>
    <row r="104" spans="1:10">
      <c r="A104" s="122" t="s">
        <v>264</v>
      </c>
      <c r="B104" s="122" t="s">
        <v>105</v>
      </c>
      <c r="C104" s="105" t="s">
        <v>268</v>
      </c>
      <c r="D104" s="105"/>
      <c r="E104" s="118" t="s">
        <v>212</v>
      </c>
      <c r="F104" s="122" t="s">
        <v>324</v>
      </c>
      <c r="G104" s="122" t="s">
        <v>213</v>
      </c>
      <c r="H104" s="105" t="s">
        <v>268</v>
      </c>
      <c r="I104" s="105"/>
      <c r="J104" s="105" t="s">
        <v>266</v>
      </c>
    </row>
    <row r="105" spans="1:10">
      <c r="A105" s="122" t="s">
        <v>326</v>
      </c>
      <c r="B105" s="122" t="s">
        <v>105</v>
      </c>
      <c r="C105" s="105" t="s">
        <v>268</v>
      </c>
      <c r="D105" s="105"/>
      <c r="E105" s="118" t="s">
        <v>215</v>
      </c>
      <c r="F105" s="122" t="s">
        <v>324</v>
      </c>
      <c r="G105" s="122" t="s">
        <v>216</v>
      </c>
      <c r="H105" s="105" t="s">
        <v>268</v>
      </c>
      <c r="I105" s="105"/>
      <c r="J105" s="105" t="s">
        <v>266</v>
      </c>
    </row>
    <row r="106" spans="1:10">
      <c r="A106" s="122" t="s">
        <v>264</v>
      </c>
      <c r="B106" s="105" t="s">
        <v>5204</v>
      </c>
      <c r="C106" s="105" t="s">
        <v>268</v>
      </c>
      <c r="D106" s="105" t="s">
        <v>93</v>
      </c>
      <c r="E106" s="118"/>
      <c r="F106" s="122" t="s">
        <v>324</v>
      </c>
      <c r="G106" s="105" t="s">
        <v>5204</v>
      </c>
      <c r="H106" s="105" t="s">
        <v>268</v>
      </c>
      <c r="I106" s="105"/>
      <c r="J106" s="105" t="s">
        <v>266</v>
      </c>
    </row>
    <row r="107" spans="1:10">
      <c r="A107" s="122" t="s">
        <v>264</v>
      </c>
      <c r="B107" s="105" t="s">
        <v>5205</v>
      </c>
      <c r="C107" s="105" t="s">
        <v>268</v>
      </c>
      <c r="D107" s="105" t="s">
        <v>93</v>
      </c>
      <c r="E107" s="118"/>
      <c r="F107" s="122" t="s">
        <v>324</v>
      </c>
      <c r="G107" s="105" t="s">
        <v>5205</v>
      </c>
      <c r="H107" s="105" t="s">
        <v>268</v>
      </c>
      <c r="I107" s="105"/>
      <c r="J107" s="105" t="s">
        <v>266</v>
      </c>
    </row>
    <row r="108" spans="1:10">
      <c r="A108" s="122" t="s">
        <v>264</v>
      </c>
      <c r="B108" s="105" t="s">
        <v>5207</v>
      </c>
      <c r="C108" s="105" t="s">
        <v>268</v>
      </c>
      <c r="D108" s="105" t="s">
        <v>93</v>
      </c>
      <c r="E108" s="118"/>
      <c r="F108" s="122" t="s">
        <v>324</v>
      </c>
      <c r="G108" s="105" t="s">
        <v>5207</v>
      </c>
      <c r="H108" s="105" t="s">
        <v>268</v>
      </c>
      <c r="I108" s="105"/>
      <c r="J108" s="105" t="s">
        <v>266</v>
      </c>
    </row>
    <row r="109" spans="1:10">
      <c r="A109" s="122" t="s">
        <v>264</v>
      </c>
      <c r="B109" s="122" t="s">
        <v>107</v>
      </c>
      <c r="C109" s="105" t="s">
        <v>265</v>
      </c>
      <c r="D109" s="118" t="s">
        <v>93</v>
      </c>
      <c r="F109" s="122" t="s">
        <v>324</v>
      </c>
      <c r="G109" s="122" t="s">
        <v>107</v>
      </c>
      <c r="H109" s="105" t="s">
        <v>265</v>
      </c>
      <c r="I109" s="105"/>
      <c r="J109" s="105" t="s">
        <v>266</v>
      </c>
    </row>
    <row r="110" spans="1:10">
      <c r="A110" s="122" t="s">
        <v>264</v>
      </c>
      <c r="B110" s="122" t="s">
        <v>110</v>
      </c>
      <c r="C110" s="105" t="s">
        <v>275</v>
      </c>
      <c r="D110" s="118" t="s">
        <v>93</v>
      </c>
      <c r="E110" s="105"/>
      <c r="F110" s="122" t="s">
        <v>324</v>
      </c>
      <c r="G110" s="122" t="s">
        <v>110</v>
      </c>
      <c r="H110" s="105" t="s">
        <v>275</v>
      </c>
      <c r="I110" s="105"/>
      <c r="J110" s="105" t="s">
        <v>266</v>
      </c>
    </row>
    <row r="111" spans="1:10">
      <c r="A111" s="122" t="s">
        <v>264</v>
      </c>
      <c r="B111" s="122" t="s">
        <v>113</v>
      </c>
      <c r="C111" s="105" t="s">
        <v>268</v>
      </c>
      <c r="D111" s="118" t="s">
        <v>93</v>
      </c>
      <c r="E111" s="105"/>
      <c r="F111" s="122" t="s">
        <v>324</v>
      </c>
      <c r="G111" s="122" t="s">
        <v>113</v>
      </c>
      <c r="H111" s="105" t="s">
        <v>268</v>
      </c>
      <c r="I111" s="105"/>
      <c r="J111" s="105" t="s">
        <v>266</v>
      </c>
    </row>
    <row r="112" spans="1:10">
      <c r="A112" s="122" t="s">
        <v>264</v>
      </c>
      <c r="B112" s="122" t="s">
        <v>116</v>
      </c>
      <c r="C112" s="105" t="s">
        <v>268</v>
      </c>
      <c r="D112" s="118" t="s">
        <v>93</v>
      </c>
      <c r="E112" s="105"/>
      <c r="F112" s="122" t="s">
        <v>324</v>
      </c>
      <c r="G112" s="122" t="s">
        <v>116</v>
      </c>
      <c r="H112" s="105" t="s">
        <v>268</v>
      </c>
      <c r="I112" s="105"/>
      <c r="J112" s="105" t="s">
        <v>266</v>
      </c>
    </row>
    <row r="113" spans="1:10">
      <c r="A113" s="122" t="s">
        <v>264</v>
      </c>
      <c r="B113" s="122" t="s">
        <v>118</v>
      </c>
      <c r="C113" s="105" t="s">
        <v>268</v>
      </c>
      <c r="D113" s="118" t="s">
        <v>93</v>
      </c>
      <c r="E113" s="105"/>
      <c r="F113" s="122" t="s">
        <v>324</v>
      </c>
      <c r="G113" s="122" t="s">
        <v>118</v>
      </c>
      <c r="H113" s="105" t="s">
        <v>268</v>
      </c>
      <c r="I113" s="105"/>
      <c r="J113" s="105" t="s">
        <v>266</v>
      </c>
    </row>
    <row r="114" spans="1:10">
      <c r="A114" s="122" t="s">
        <v>264</v>
      </c>
      <c r="B114" s="122" t="s">
        <v>120</v>
      </c>
      <c r="C114" s="105" t="s">
        <v>268</v>
      </c>
      <c r="D114" s="118" t="s">
        <v>93</v>
      </c>
      <c r="E114" s="105"/>
      <c r="F114" s="122" t="s">
        <v>324</v>
      </c>
      <c r="G114" s="122" t="s">
        <v>120</v>
      </c>
      <c r="H114" s="105" t="s">
        <v>268</v>
      </c>
      <c r="I114" s="105"/>
      <c r="J114" s="105" t="s">
        <v>266</v>
      </c>
    </row>
    <row r="115" spans="1:10">
      <c r="A115" s="122" t="s">
        <v>264</v>
      </c>
      <c r="B115" s="122" t="s">
        <v>155</v>
      </c>
      <c r="C115" s="105" t="s">
        <v>275</v>
      </c>
      <c r="D115" s="118" t="s">
        <v>93</v>
      </c>
      <c r="E115" s="105"/>
      <c r="F115" s="122" t="s">
        <v>324</v>
      </c>
      <c r="G115" s="122" t="s">
        <v>155</v>
      </c>
      <c r="H115" s="105" t="s">
        <v>275</v>
      </c>
      <c r="I115" s="105"/>
      <c r="J115" s="105" t="s">
        <v>266</v>
      </c>
    </row>
    <row r="116" spans="1:10">
      <c r="A116" s="122" t="s">
        <v>264</v>
      </c>
      <c r="B116" s="122" t="s">
        <v>157</v>
      </c>
      <c r="C116" s="105" t="s">
        <v>275</v>
      </c>
      <c r="D116" s="118" t="s">
        <v>93</v>
      </c>
      <c r="E116" s="105"/>
      <c r="F116" s="122" t="s">
        <v>324</v>
      </c>
      <c r="G116" s="122" t="s">
        <v>157</v>
      </c>
      <c r="H116" s="105" t="s">
        <v>275</v>
      </c>
      <c r="I116" s="105"/>
      <c r="J116" s="105" t="s">
        <v>266</v>
      </c>
    </row>
    <row r="117" spans="1:10">
      <c r="A117" s="122" t="s">
        <v>264</v>
      </c>
      <c r="B117" s="122" t="s">
        <v>159</v>
      </c>
      <c r="C117" s="105" t="s">
        <v>275</v>
      </c>
      <c r="D117" s="118" t="s">
        <v>93</v>
      </c>
      <c r="E117" s="105"/>
      <c r="F117" s="122" t="s">
        <v>324</v>
      </c>
      <c r="G117" s="122" t="s">
        <v>159</v>
      </c>
      <c r="H117" s="105" t="s">
        <v>275</v>
      </c>
      <c r="I117" s="105"/>
      <c r="J117" s="105" t="s">
        <v>266</v>
      </c>
    </row>
    <row r="118" spans="1:10">
      <c r="A118" s="122" t="s">
        <v>264</v>
      </c>
      <c r="B118" s="122" t="s">
        <v>161</v>
      </c>
      <c r="C118" s="105" t="s">
        <v>275</v>
      </c>
      <c r="D118" s="118" t="s">
        <v>93</v>
      </c>
      <c r="E118" s="105"/>
      <c r="F118" s="122" t="s">
        <v>324</v>
      </c>
      <c r="G118" s="122" t="s">
        <v>161</v>
      </c>
      <c r="H118" s="105" t="s">
        <v>275</v>
      </c>
      <c r="I118" s="105"/>
      <c r="J118" s="105" t="s">
        <v>266</v>
      </c>
    </row>
    <row r="119" spans="1:10">
      <c r="A119" s="122" t="s">
        <v>264</v>
      </c>
      <c r="B119" s="122" t="s">
        <v>163</v>
      </c>
      <c r="C119" s="105" t="s">
        <v>275</v>
      </c>
      <c r="D119" s="118" t="s">
        <v>93</v>
      </c>
      <c r="E119" s="105"/>
      <c r="F119" s="122" t="s">
        <v>324</v>
      </c>
      <c r="G119" s="122" t="s">
        <v>163</v>
      </c>
      <c r="H119" s="105" t="s">
        <v>275</v>
      </c>
      <c r="I119" s="105"/>
      <c r="J119" s="105" t="s">
        <v>266</v>
      </c>
    </row>
    <row r="120" spans="1:10">
      <c r="A120" s="122" t="s">
        <v>264</v>
      </c>
      <c r="B120" s="122" t="s">
        <v>165</v>
      </c>
      <c r="C120" s="105" t="s">
        <v>275</v>
      </c>
      <c r="D120" s="118" t="s">
        <v>93</v>
      </c>
      <c r="E120" s="105"/>
      <c r="F120" s="122" t="s">
        <v>324</v>
      </c>
      <c r="G120" s="122" t="s">
        <v>165</v>
      </c>
      <c r="H120" s="105" t="s">
        <v>275</v>
      </c>
      <c r="I120" s="105"/>
      <c r="J120" s="105" t="s">
        <v>266</v>
      </c>
    </row>
    <row r="121" spans="1:10">
      <c r="A121" s="122" t="s">
        <v>264</v>
      </c>
      <c r="B121" s="122" t="s">
        <v>167</v>
      </c>
      <c r="C121" s="105" t="s">
        <v>275</v>
      </c>
      <c r="D121" s="118" t="s">
        <v>93</v>
      </c>
      <c r="E121" s="105"/>
      <c r="F121" s="122" t="s">
        <v>324</v>
      </c>
      <c r="G121" s="115" t="s">
        <v>167</v>
      </c>
      <c r="H121" s="105" t="s">
        <v>275</v>
      </c>
      <c r="I121" s="105"/>
      <c r="J121" s="105" t="s">
        <v>266</v>
      </c>
    </row>
    <row r="122" spans="1:10" ht="25">
      <c r="A122" s="122" t="s">
        <v>264</v>
      </c>
      <c r="B122" s="122" t="s">
        <v>172</v>
      </c>
      <c r="C122" s="105" t="s">
        <v>268</v>
      </c>
      <c r="D122" s="118" t="s">
        <v>263</v>
      </c>
      <c r="E122" s="105" t="s">
        <v>327</v>
      </c>
      <c r="F122" s="122" t="s">
        <v>324</v>
      </c>
      <c r="G122" s="122" t="s">
        <v>172</v>
      </c>
      <c r="H122" s="105" t="s">
        <v>268</v>
      </c>
      <c r="I122" s="105"/>
      <c r="J122" s="105" t="s">
        <v>266</v>
      </c>
    </row>
    <row r="123" spans="1:10" ht="25">
      <c r="A123" s="122" t="s">
        <v>264</v>
      </c>
      <c r="B123" s="122" t="s">
        <v>174</v>
      </c>
      <c r="C123" s="105" t="s">
        <v>268</v>
      </c>
      <c r="D123" s="118" t="s">
        <v>263</v>
      </c>
      <c r="E123" s="105" t="s">
        <v>328</v>
      </c>
      <c r="F123" s="122" t="s">
        <v>324</v>
      </c>
      <c r="G123" s="122" t="s">
        <v>174</v>
      </c>
      <c r="H123" s="105" t="s">
        <v>268</v>
      </c>
      <c r="I123" s="105"/>
      <c r="J123" s="105" t="s">
        <v>266</v>
      </c>
    </row>
    <row r="124" spans="1:10">
      <c r="A124" s="118" t="s">
        <v>311</v>
      </c>
      <c r="B124" s="115" t="s">
        <v>186</v>
      </c>
      <c r="C124" s="105" t="s">
        <v>268</v>
      </c>
      <c r="D124" s="118" t="s">
        <v>93</v>
      </c>
      <c r="E124" s="105"/>
      <c r="F124" s="122" t="s">
        <v>324</v>
      </c>
      <c r="G124" s="115" t="s">
        <v>186</v>
      </c>
      <c r="H124" s="105" t="s">
        <v>268</v>
      </c>
      <c r="I124" s="105"/>
      <c r="J124" s="105" t="s">
        <v>266</v>
      </c>
    </row>
    <row r="125" spans="1:10">
      <c r="A125" s="118" t="s">
        <v>311</v>
      </c>
      <c r="B125" s="115" t="s">
        <v>187</v>
      </c>
      <c r="C125" s="105" t="s">
        <v>268</v>
      </c>
      <c r="D125" s="118" t="s">
        <v>93</v>
      </c>
      <c r="E125" s="105"/>
      <c r="F125" s="122" t="s">
        <v>324</v>
      </c>
      <c r="G125" s="115" t="s">
        <v>187</v>
      </c>
      <c r="H125" s="105" t="s">
        <v>268</v>
      </c>
      <c r="I125" s="105"/>
      <c r="J125" s="105" t="s">
        <v>266</v>
      </c>
    </row>
    <row r="126" spans="1:10">
      <c r="A126" s="118" t="s">
        <v>311</v>
      </c>
      <c r="B126" s="115" t="s">
        <v>188</v>
      </c>
      <c r="C126" s="105" t="s">
        <v>268</v>
      </c>
      <c r="D126" s="118" t="s">
        <v>93</v>
      </c>
      <c r="E126" s="105"/>
      <c r="F126" s="122" t="s">
        <v>324</v>
      </c>
      <c r="G126" s="115" t="s">
        <v>188</v>
      </c>
      <c r="H126" s="105" t="s">
        <v>268</v>
      </c>
      <c r="I126" s="105"/>
      <c r="J126" s="105" t="s">
        <v>266</v>
      </c>
    </row>
    <row r="127" spans="1:10">
      <c r="A127" s="118" t="s">
        <v>311</v>
      </c>
      <c r="B127" s="115" t="s">
        <v>189</v>
      </c>
      <c r="C127" s="105" t="s">
        <v>268</v>
      </c>
      <c r="D127" s="118" t="s">
        <v>93</v>
      </c>
      <c r="E127" s="105"/>
      <c r="F127" s="122" t="s">
        <v>324</v>
      </c>
      <c r="G127" s="115" t="s">
        <v>189</v>
      </c>
      <c r="H127" s="105" t="s">
        <v>268</v>
      </c>
      <c r="I127" s="105"/>
      <c r="J127" s="105" t="s">
        <v>266</v>
      </c>
    </row>
    <row r="128" spans="1:10">
      <c r="A128" s="118" t="s">
        <v>315</v>
      </c>
      <c r="B128" s="115" t="s">
        <v>193</v>
      </c>
      <c r="C128" s="105" t="s">
        <v>268</v>
      </c>
      <c r="D128" s="118" t="s">
        <v>93</v>
      </c>
      <c r="E128" s="105"/>
      <c r="F128" s="122" t="s">
        <v>324</v>
      </c>
      <c r="G128" s="115" t="s">
        <v>193</v>
      </c>
      <c r="H128" s="105" t="s">
        <v>268</v>
      </c>
      <c r="I128" s="105"/>
      <c r="J128" s="105" t="s">
        <v>266</v>
      </c>
    </row>
    <row r="129" spans="1:10">
      <c r="A129" s="118" t="s">
        <v>315</v>
      </c>
      <c r="B129" s="115" t="s">
        <v>194</v>
      </c>
      <c r="C129" s="105" t="s">
        <v>268</v>
      </c>
      <c r="D129" s="118" t="s">
        <v>93</v>
      </c>
      <c r="E129" s="105"/>
      <c r="F129" s="122" t="s">
        <v>324</v>
      </c>
      <c r="G129" s="115" t="s">
        <v>194</v>
      </c>
      <c r="H129" s="105" t="s">
        <v>268</v>
      </c>
      <c r="I129" s="105"/>
      <c r="J129" s="105" t="s">
        <v>266</v>
      </c>
    </row>
    <row r="130" spans="1:10">
      <c r="A130" s="118" t="s">
        <v>315</v>
      </c>
      <c r="B130" s="115" t="s">
        <v>195</v>
      </c>
      <c r="C130" s="105" t="s">
        <v>268</v>
      </c>
      <c r="D130" s="118" t="s">
        <v>93</v>
      </c>
      <c r="E130" s="105"/>
      <c r="F130" s="122" t="s">
        <v>324</v>
      </c>
      <c r="G130" s="115" t="s">
        <v>195</v>
      </c>
      <c r="H130" s="105" t="s">
        <v>268</v>
      </c>
      <c r="I130" s="105"/>
      <c r="J130" s="105" t="s">
        <v>266</v>
      </c>
    </row>
    <row r="131" spans="1:10">
      <c r="A131" s="118" t="s">
        <v>315</v>
      </c>
      <c r="B131" s="115" t="s">
        <v>196</v>
      </c>
      <c r="C131" s="105" t="s">
        <v>268</v>
      </c>
      <c r="D131" s="118" t="s">
        <v>93</v>
      </c>
      <c r="E131" s="105"/>
      <c r="F131" s="122" t="s">
        <v>324</v>
      </c>
      <c r="G131" s="115" t="s">
        <v>196</v>
      </c>
      <c r="H131" s="105" t="s">
        <v>268</v>
      </c>
      <c r="I131" s="105"/>
      <c r="J131" s="105" t="s">
        <v>266</v>
      </c>
    </row>
    <row r="132" spans="1:10">
      <c r="A132" s="122" t="s">
        <v>264</v>
      </c>
      <c r="B132" s="122" t="s">
        <v>122</v>
      </c>
      <c r="C132" s="105" t="s">
        <v>281</v>
      </c>
      <c r="D132" s="105"/>
      <c r="E132" s="118" t="s">
        <v>212</v>
      </c>
      <c r="F132" s="122" t="s">
        <v>324</v>
      </c>
      <c r="G132" s="123" t="s">
        <v>217</v>
      </c>
      <c r="H132" s="105" t="s">
        <v>281</v>
      </c>
      <c r="I132" s="105"/>
      <c r="J132" s="105" t="s">
        <v>266</v>
      </c>
    </row>
    <row r="133" spans="1:10">
      <c r="A133" s="122" t="s">
        <v>264</v>
      </c>
      <c r="B133" s="122" t="s">
        <v>124</v>
      </c>
      <c r="C133" s="105" t="s">
        <v>281</v>
      </c>
      <c r="D133" s="105"/>
      <c r="E133" s="118" t="s">
        <v>212</v>
      </c>
      <c r="F133" s="122" t="s">
        <v>324</v>
      </c>
      <c r="G133" s="123" t="s">
        <v>218</v>
      </c>
      <c r="H133" s="105" t="s">
        <v>281</v>
      </c>
      <c r="I133" s="105"/>
      <c r="J133" s="105" t="s">
        <v>266</v>
      </c>
    </row>
    <row r="134" spans="1:10">
      <c r="A134" s="122" t="s">
        <v>264</v>
      </c>
      <c r="B134" s="123" t="s">
        <v>282</v>
      </c>
      <c r="C134" s="105" t="s">
        <v>281</v>
      </c>
      <c r="D134" s="105"/>
      <c r="E134" s="118" t="s">
        <v>212</v>
      </c>
      <c r="F134" s="122" t="s">
        <v>324</v>
      </c>
      <c r="G134" s="123" t="s">
        <v>329</v>
      </c>
      <c r="H134" s="105" t="s">
        <v>281</v>
      </c>
      <c r="I134" s="105"/>
      <c r="J134" s="105" t="s">
        <v>266</v>
      </c>
    </row>
    <row r="135" spans="1:10">
      <c r="A135" s="122" t="s">
        <v>264</v>
      </c>
      <c r="B135" s="123" t="s">
        <v>283</v>
      </c>
      <c r="C135" s="105" t="s">
        <v>281</v>
      </c>
      <c r="D135" s="105"/>
      <c r="E135" s="118" t="s">
        <v>212</v>
      </c>
      <c r="F135" s="122" t="s">
        <v>324</v>
      </c>
      <c r="G135" s="123" t="s">
        <v>330</v>
      </c>
      <c r="H135" s="105" t="s">
        <v>281</v>
      </c>
      <c r="I135" s="105"/>
      <c r="J135" s="105" t="s">
        <v>266</v>
      </c>
    </row>
    <row r="136" spans="1:10">
      <c r="A136" s="122" t="s">
        <v>264</v>
      </c>
      <c r="B136" s="123" t="s">
        <v>284</v>
      </c>
      <c r="C136" s="105" t="s">
        <v>281</v>
      </c>
      <c r="D136" s="105"/>
      <c r="E136" s="118" t="s">
        <v>212</v>
      </c>
      <c r="F136" s="122" t="s">
        <v>324</v>
      </c>
      <c r="G136" s="123" t="s">
        <v>331</v>
      </c>
      <c r="H136" s="105" t="s">
        <v>281</v>
      </c>
      <c r="I136" s="105"/>
      <c r="J136" s="105" t="s">
        <v>266</v>
      </c>
    </row>
    <row r="137" spans="1:10">
      <c r="A137" s="122" t="s">
        <v>264</v>
      </c>
      <c r="B137" s="123" t="s">
        <v>285</v>
      </c>
      <c r="C137" s="105" t="s">
        <v>281</v>
      </c>
      <c r="D137" s="105"/>
      <c r="E137" s="118" t="s">
        <v>212</v>
      </c>
      <c r="F137" s="122" t="s">
        <v>324</v>
      </c>
      <c r="G137" s="123" t="s">
        <v>332</v>
      </c>
      <c r="H137" s="105" t="s">
        <v>281</v>
      </c>
      <c r="I137" s="105"/>
      <c r="J137" s="105" t="s">
        <v>266</v>
      </c>
    </row>
    <row r="138" spans="1:10">
      <c r="A138" s="122" t="s">
        <v>264</v>
      </c>
      <c r="B138" s="123" t="s">
        <v>286</v>
      </c>
      <c r="C138" s="105" t="s">
        <v>281</v>
      </c>
      <c r="D138" s="105"/>
      <c r="E138" s="118" t="s">
        <v>212</v>
      </c>
      <c r="F138" s="122" t="s">
        <v>324</v>
      </c>
      <c r="G138" s="123" t="s">
        <v>333</v>
      </c>
      <c r="H138" s="105" t="s">
        <v>281</v>
      </c>
      <c r="I138" s="105"/>
      <c r="J138" s="105" t="s">
        <v>266</v>
      </c>
    </row>
    <row r="139" spans="1:10">
      <c r="A139" s="122" t="s">
        <v>264</v>
      </c>
      <c r="B139" s="123" t="s">
        <v>287</v>
      </c>
      <c r="C139" s="105" t="s">
        <v>281</v>
      </c>
      <c r="D139" s="105"/>
      <c r="E139" s="118" t="s">
        <v>212</v>
      </c>
      <c r="F139" s="122" t="s">
        <v>324</v>
      </c>
      <c r="G139" s="123" t="s">
        <v>334</v>
      </c>
      <c r="H139" s="105" t="s">
        <v>281</v>
      </c>
      <c r="I139" s="105"/>
      <c r="J139" s="105" t="s">
        <v>266</v>
      </c>
    </row>
    <row r="140" spans="1:10">
      <c r="A140" s="122" t="s">
        <v>264</v>
      </c>
      <c r="B140" s="123" t="s">
        <v>288</v>
      </c>
      <c r="C140" s="105" t="s">
        <v>281</v>
      </c>
      <c r="D140" s="105"/>
      <c r="E140" s="118" t="s">
        <v>212</v>
      </c>
      <c r="F140" s="122" t="s">
        <v>324</v>
      </c>
      <c r="G140" s="123" t="s">
        <v>335</v>
      </c>
      <c r="H140" s="105" t="s">
        <v>281</v>
      </c>
      <c r="I140" s="105"/>
      <c r="J140" s="105" t="s">
        <v>266</v>
      </c>
    </row>
    <row r="141" spans="1:10">
      <c r="A141" s="122" t="s">
        <v>264</v>
      </c>
      <c r="B141" s="123" t="s">
        <v>289</v>
      </c>
      <c r="C141" s="105" t="s">
        <v>281</v>
      </c>
      <c r="D141" s="105"/>
      <c r="E141" s="118" t="s">
        <v>212</v>
      </c>
      <c r="F141" s="122" t="s">
        <v>324</v>
      </c>
      <c r="G141" s="123" t="s">
        <v>336</v>
      </c>
      <c r="H141" s="105" t="s">
        <v>281</v>
      </c>
      <c r="I141" s="105"/>
      <c r="J141" s="105" t="s">
        <v>266</v>
      </c>
    </row>
    <row r="142" spans="1:10">
      <c r="A142" s="122" t="s">
        <v>264</v>
      </c>
      <c r="B142" s="123" t="s">
        <v>290</v>
      </c>
      <c r="C142" s="105" t="s">
        <v>281</v>
      </c>
      <c r="D142" s="105"/>
      <c r="E142" s="118" t="s">
        <v>212</v>
      </c>
      <c r="F142" s="122" t="s">
        <v>324</v>
      </c>
      <c r="G142" s="124" t="s">
        <v>337</v>
      </c>
      <c r="H142" s="105" t="s">
        <v>281</v>
      </c>
      <c r="I142" s="105"/>
      <c r="J142" s="105" t="s">
        <v>266</v>
      </c>
    </row>
    <row r="143" spans="1:10">
      <c r="A143" s="122" t="s">
        <v>264</v>
      </c>
      <c r="B143" s="124" t="s">
        <v>291</v>
      </c>
      <c r="C143" s="105" t="s">
        <v>281</v>
      </c>
      <c r="D143" s="105"/>
      <c r="E143" s="118" t="s">
        <v>212</v>
      </c>
      <c r="F143" s="122" t="s">
        <v>324</v>
      </c>
      <c r="G143" s="124" t="s">
        <v>338</v>
      </c>
      <c r="H143" s="105" t="s">
        <v>281</v>
      </c>
      <c r="I143" s="105"/>
      <c r="J143" s="105" t="s">
        <v>266</v>
      </c>
    </row>
    <row r="144" spans="1:10">
      <c r="A144" s="122" t="s">
        <v>264</v>
      </c>
      <c r="B144" s="122" t="s">
        <v>292</v>
      </c>
      <c r="C144" s="105" t="s">
        <v>281</v>
      </c>
      <c r="D144" s="105"/>
      <c r="E144" s="118" t="s">
        <v>212</v>
      </c>
      <c r="F144" s="122" t="s">
        <v>324</v>
      </c>
      <c r="G144" s="123" t="s">
        <v>339</v>
      </c>
      <c r="H144" s="105" t="s">
        <v>281</v>
      </c>
      <c r="I144" s="105"/>
      <c r="J144" s="105" t="s">
        <v>266</v>
      </c>
    </row>
    <row r="145" spans="1:10">
      <c r="A145" s="122" t="s">
        <v>264</v>
      </c>
      <c r="B145" s="123" t="s">
        <v>147</v>
      </c>
      <c r="C145" s="105" t="s">
        <v>281</v>
      </c>
      <c r="D145" s="105"/>
      <c r="E145" s="118" t="s">
        <v>212</v>
      </c>
      <c r="F145" s="122" t="s">
        <v>324</v>
      </c>
      <c r="G145" s="123" t="s">
        <v>230</v>
      </c>
      <c r="H145" s="105" t="s">
        <v>281</v>
      </c>
      <c r="I145" s="105"/>
      <c r="J145" s="105" t="s">
        <v>266</v>
      </c>
    </row>
    <row r="146" spans="1:10">
      <c r="A146" s="122" t="s">
        <v>264</v>
      </c>
      <c r="B146" s="123" t="s">
        <v>150</v>
      </c>
      <c r="C146" s="105" t="s">
        <v>281</v>
      </c>
      <c r="D146" s="105"/>
      <c r="E146" s="118" t="s">
        <v>212</v>
      </c>
      <c r="F146" s="122" t="s">
        <v>324</v>
      </c>
      <c r="G146" s="123" t="s">
        <v>231</v>
      </c>
      <c r="H146" s="105" t="s">
        <v>281</v>
      </c>
      <c r="I146" s="105"/>
      <c r="J146" s="105" t="s">
        <v>266</v>
      </c>
    </row>
    <row r="147" spans="1:10">
      <c r="A147" s="122" t="s">
        <v>264</v>
      </c>
      <c r="B147" s="122" t="s">
        <v>152</v>
      </c>
      <c r="C147" s="105" t="s">
        <v>281</v>
      </c>
      <c r="D147" s="105"/>
      <c r="E147" s="118" t="s">
        <v>212</v>
      </c>
      <c r="F147" s="122" t="s">
        <v>324</v>
      </c>
      <c r="G147" s="123" t="s">
        <v>232</v>
      </c>
      <c r="H147" s="105" t="s">
        <v>281</v>
      </c>
      <c r="I147" s="105"/>
      <c r="J147" s="105" t="s">
        <v>266</v>
      </c>
    </row>
    <row r="148" spans="1:10">
      <c r="A148" s="122" t="s">
        <v>326</v>
      </c>
      <c r="B148" s="122" t="s">
        <v>122</v>
      </c>
      <c r="C148" s="105" t="s">
        <v>281</v>
      </c>
      <c r="D148" s="105"/>
      <c r="E148" s="118" t="s">
        <v>215</v>
      </c>
      <c r="F148" s="122" t="s">
        <v>324</v>
      </c>
      <c r="G148" s="123" t="s">
        <v>233</v>
      </c>
      <c r="H148" s="105" t="s">
        <v>281</v>
      </c>
      <c r="I148" s="105"/>
      <c r="J148" s="105" t="s">
        <v>266</v>
      </c>
    </row>
    <row r="149" spans="1:10">
      <c r="A149" s="122" t="s">
        <v>326</v>
      </c>
      <c r="B149" s="122" t="s">
        <v>124</v>
      </c>
      <c r="C149" s="105" t="s">
        <v>281</v>
      </c>
      <c r="D149" s="105"/>
      <c r="E149" s="118" t="s">
        <v>215</v>
      </c>
      <c r="F149" s="122" t="s">
        <v>324</v>
      </c>
      <c r="G149" s="123" t="s">
        <v>234</v>
      </c>
      <c r="H149" s="105" t="s">
        <v>281</v>
      </c>
      <c r="I149" s="105"/>
      <c r="J149" s="105" t="s">
        <v>266</v>
      </c>
    </row>
    <row r="150" spans="1:10">
      <c r="A150" s="122" t="s">
        <v>326</v>
      </c>
      <c r="B150" s="123" t="s">
        <v>282</v>
      </c>
      <c r="C150" s="105" t="s">
        <v>281</v>
      </c>
      <c r="D150" s="105"/>
      <c r="E150" s="118" t="s">
        <v>215</v>
      </c>
      <c r="F150" s="122" t="s">
        <v>324</v>
      </c>
      <c r="G150" s="123" t="s">
        <v>340</v>
      </c>
      <c r="H150" s="105" t="s">
        <v>281</v>
      </c>
      <c r="I150" s="105"/>
      <c r="J150" s="105" t="s">
        <v>266</v>
      </c>
    </row>
    <row r="151" spans="1:10">
      <c r="A151" s="122" t="s">
        <v>326</v>
      </c>
      <c r="B151" s="123" t="s">
        <v>283</v>
      </c>
      <c r="C151" s="105" t="s">
        <v>281</v>
      </c>
      <c r="D151" s="105"/>
      <c r="E151" s="118" t="s">
        <v>215</v>
      </c>
      <c r="F151" s="122" t="s">
        <v>324</v>
      </c>
      <c r="G151" s="123" t="s">
        <v>341</v>
      </c>
      <c r="H151" s="105" t="s">
        <v>281</v>
      </c>
      <c r="I151" s="105"/>
      <c r="J151" s="105" t="s">
        <v>266</v>
      </c>
    </row>
    <row r="152" spans="1:10">
      <c r="A152" s="122" t="s">
        <v>326</v>
      </c>
      <c r="B152" s="123" t="s">
        <v>284</v>
      </c>
      <c r="C152" s="105" t="s">
        <v>281</v>
      </c>
      <c r="D152" s="105"/>
      <c r="E152" s="118" t="s">
        <v>215</v>
      </c>
      <c r="F152" s="122" t="s">
        <v>324</v>
      </c>
      <c r="G152" s="123" t="s">
        <v>342</v>
      </c>
      <c r="H152" s="105" t="s">
        <v>281</v>
      </c>
      <c r="I152" s="105"/>
      <c r="J152" s="105" t="s">
        <v>266</v>
      </c>
    </row>
    <row r="153" spans="1:10">
      <c r="A153" s="122" t="s">
        <v>326</v>
      </c>
      <c r="B153" s="123" t="s">
        <v>285</v>
      </c>
      <c r="C153" s="105" t="s">
        <v>281</v>
      </c>
      <c r="D153" s="105"/>
      <c r="E153" s="118" t="s">
        <v>215</v>
      </c>
      <c r="F153" s="122" t="s">
        <v>324</v>
      </c>
      <c r="G153" s="123" t="s">
        <v>343</v>
      </c>
      <c r="H153" s="105" t="s">
        <v>281</v>
      </c>
      <c r="I153" s="105"/>
      <c r="J153" s="105" t="s">
        <v>266</v>
      </c>
    </row>
    <row r="154" spans="1:10">
      <c r="A154" s="122" t="s">
        <v>326</v>
      </c>
      <c r="B154" s="123" t="s">
        <v>286</v>
      </c>
      <c r="C154" s="105" t="s">
        <v>281</v>
      </c>
      <c r="D154" s="105"/>
      <c r="E154" s="118" t="s">
        <v>215</v>
      </c>
      <c r="F154" s="122" t="s">
        <v>324</v>
      </c>
      <c r="G154" s="123" t="s">
        <v>344</v>
      </c>
      <c r="H154" s="105" t="s">
        <v>281</v>
      </c>
      <c r="I154" s="105"/>
      <c r="J154" s="105" t="s">
        <v>266</v>
      </c>
    </row>
    <row r="155" spans="1:10">
      <c r="A155" s="122" t="s">
        <v>326</v>
      </c>
      <c r="B155" s="123" t="s">
        <v>287</v>
      </c>
      <c r="C155" s="105" t="s">
        <v>281</v>
      </c>
      <c r="D155" s="105"/>
      <c r="E155" s="118" t="s">
        <v>215</v>
      </c>
      <c r="F155" s="122" t="s">
        <v>324</v>
      </c>
      <c r="G155" s="123" t="s">
        <v>345</v>
      </c>
      <c r="H155" s="105" t="s">
        <v>281</v>
      </c>
      <c r="I155" s="105"/>
      <c r="J155" s="105" t="s">
        <v>266</v>
      </c>
    </row>
    <row r="156" spans="1:10">
      <c r="A156" s="122" t="s">
        <v>326</v>
      </c>
      <c r="B156" s="123" t="s">
        <v>288</v>
      </c>
      <c r="C156" s="105" t="s">
        <v>281</v>
      </c>
      <c r="D156" s="105"/>
      <c r="E156" s="118" t="s">
        <v>215</v>
      </c>
      <c r="F156" s="122" t="s">
        <v>324</v>
      </c>
      <c r="G156" s="123" t="s">
        <v>346</v>
      </c>
      <c r="H156" s="105" t="s">
        <v>281</v>
      </c>
      <c r="I156" s="105"/>
      <c r="J156" s="105" t="s">
        <v>266</v>
      </c>
    </row>
    <row r="157" spans="1:10">
      <c r="A157" s="122" t="s">
        <v>326</v>
      </c>
      <c r="B157" s="123" t="s">
        <v>289</v>
      </c>
      <c r="C157" s="105" t="s">
        <v>281</v>
      </c>
      <c r="D157" s="105"/>
      <c r="E157" s="118" t="s">
        <v>215</v>
      </c>
      <c r="F157" s="122" t="s">
        <v>324</v>
      </c>
      <c r="G157" s="123" t="s">
        <v>347</v>
      </c>
      <c r="H157" s="105" t="s">
        <v>281</v>
      </c>
      <c r="I157" s="105"/>
      <c r="J157" s="105" t="s">
        <v>266</v>
      </c>
    </row>
    <row r="158" spans="1:10">
      <c r="A158" s="122" t="s">
        <v>326</v>
      </c>
      <c r="B158" s="123" t="s">
        <v>290</v>
      </c>
      <c r="C158" s="105" t="s">
        <v>281</v>
      </c>
      <c r="D158" s="105"/>
      <c r="E158" s="118" t="s">
        <v>215</v>
      </c>
      <c r="F158" s="122" t="s">
        <v>324</v>
      </c>
      <c r="G158" s="124" t="s">
        <v>348</v>
      </c>
      <c r="H158" s="105" t="s">
        <v>281</v>
      </c>
      <c r="I158" s="105"/>
      <c r="J158" s="105" t="s">
        <v>266</v>
      </c>
    </row>
    <row r="159" spans="1:10">
      <c r="A159" s="122" t="s">
        <v>326</v>
      </c>
      <c r="B159" s="124" t="s">
        <v>291</v>
      </c>
      <c r="C159" s="105" t="s">
        <v>281</v>
      </c>
      <c r="D159" s="105"/>
      <c r="E159" s="118" t="s">
        <v>215</v>
      </c>
      <c r="F159" s="122" t="s">
        <v>324</v>
      </c>
      <c r="G159" s="124" t="s">
        <v>349</v>
      </c>
      <c r="H159" s="105" t="s">
        <v>281</v>
      </c>
      <c r="I159" s="105"/>
      <c r="J159" s="105" t="s">
        <v>266</v>
      </c>
    </row>
    <row r="160" spans="1:10">
      <c r="A160" s="122" t="s">
        <v>326</v>
      </c>
      <c r="B160" s="122" t="s">
        <v>292</v>
      </c>
      <c r="C160" s="105" t="s">
        <v>281</v>
      </c>
      <c r="D160" s="105"/>
      <c r="E160" s="118" t="s">
        <v>215</v>
      </c>
      <c r="F160" s="122" t="s">
        <v>324</v>
      </c>
      <c r="G160" s="124" t="s">
        <v>350</v>
      </c>
      <c r="H160" s="105" t="s">
        <v>281</v>
      </c>
      <c r="I160" s="105"/>
      <c r="J160" s="105" t="s">
        <v>266</v>
      </c>
    </row>
    <row r="161" spans="1:19">
      <c r="A161" s="122" t="s">
        <v>326</v>
      </c>
      <c r="B161" s="123" t="s">
        <v>147</v>
      </c>
      <c r="C161" s="105" t="s">
        <v>281</v>
      </c>
      <c r="D161" s="105"/>
      <c r="E161" s="118" t="s">
        <v>215</v>
      </c>
      <c r="F161" s="122" t="s">
        <v>324</v>
      </c>
      <c r="G161" s="123" t="s">
        <v>246</v>
      </c>
      <c r="H161" s="105" t="s">
        <v>281</v>
      </c>
      <c r="I161" s="105"/>
      <c r="J161" s="105" t="s">
        <v>266</v>
      </c>
    </row>
    <row r="162" spans="1:19">
      <c r="A162" s="122" t="s">
        <v>326</v>
      </c>
      <c r="B162" s="123" t="s">
        <v>150</v>
      </c>
      <c r="C162" s="105" t="s">
        <v>281</v>
      </c>
      <c r="D162" s="105"/>
      <c r="E162" s="118" t="s">
        <v>215</v>
      </c>
      <c r="F162" s="122" t="s">
        <v>324</v>
      </c>
      <c r="G162" s="123" t="s">
        <v>247</v>
      </c>
      <c r="H162" s="105" t="s">
        <v>281</v>
      </c>
      <c r="I162" s="105"/>
      <c r="J162" s="105" t="s">
        <v>266</v>
      </c>
    </row>
    <row r="163" spans="1:19">
      <c r="A163" s="122" t="s">
        <v>326</v>
      </c>
      <c r="B163" s="122" t="s">
        <v>152</v>
      </c>
      <c r="C163" s="105" t="s">
        <v>281</v>
      </c>
      <c r="D163" s="105"/>
      <c r="E163" s="118" t="s">
        <v>215</v>
      </c>
      <c r="F163" s="122" t="s">
        <v>324</v>
      </c>
      <c r="G163" s="123" t="s">
        <v>248</v>
      </c>
      <c r="H163" s="105" t="s">
        <v>281</v>
      </c>
      <c r="I163" s="105"/>
      <c r="J163" s="105" t="s">
        <v>266</v>
      </c>
    </row>
    <row r="164" spans="1:19">
      <c r="A164" s="118" t="s">
        <v>320</v>
      </c>
      <c r="B164" s="118" t="s">
        <v>207</v>
      </c>
      <c r="C164" s="105" t="s">
        <v>351</v>
      </c>
      <c r="D164" s="105"/>
      <c r="E164" s="118" t="s">
        <v>352</v>
      </c>
      <c r="F164" s="122" t="s">
        <v>324</v>
      </c>
      <c r="G164" s="118" t="s">
        <v>250</v>
      </c>
      <c r="H164" s="105" t="s">
        <v>351</v>
      </c>
      <c r="I164" s="105"/>
      <c r="J164" s="105" t="s">
        <v>266</v>
      </c>
    </row>
    <row r="165" spans="1:19">
      <c r="A165" s="118" t="s">
        <v>353</v>
      </c>
      <c r="B165" s="118" t="s">
        <v>207</v>
      </c>
      <c r="C165" s="105" t="s">
        <v>351</v>
      </c>
      <c r="D165" s="105"/>
      <c r="E165" s="118" t="s">
        <v>354</v>
      </c>
      <c r="F165" s="122" t="s">
        <v>324</v>
      </c>
      <c r="G165" s="118" t="s">
        <v>253</v>
      </c>
      <c r="H165" s="105" t="s">
        <v>351</v>
      </c>
      <c r="I165" s="105"/>
      <c r="J165" s="105" t="s">
        <v>266</v>
      </c>
    </row>
    <row r="166" spans="1:19">
      <c r="A166" s="122" t="s">
        <v>254</v>
      </c>
      <c r="B166" s="122" t="s">
        <v>355</v>
      </c>
      <c r="C166" s="105" t="s">
        <v>351</v>
      </c>
      <c r="D166" s="105"/>
      <c r="E166" s="118" t="s">
        <v>212</v>
      </c>
      <c r="F166" s="122" t="s">
        <v>324</v>
      </c>
      <c r="G166" s="122" t="s">
        <v>256</v>
      </c>
      <c r="H166" s="105" t="s">
        <v>351</v>
      </c>
      <c r="I166" s="105"/>
      <c r="J166" s="105" t="s">
        <v>266</v>
      </c>
    </row>
    <row r="167" spans="1:19">
      <c r="A167" s="122" t="s">
        <v>257</v>
      </c>
      <c r="B167" s="122" t="s">
        <v>355</v>
      </c>
      <c r="C167" s="105" t="s">
        <v>351</v>
      </c>
      <c r="D167" s="105"/>
      <c r="E167" s="118" t="s">
        <v>215</v>
      </c>
      <c r="F167" s="122" t="s">
        <v>324</v>
      </c>
      <c r="G167" s="122" t="s">
        <v>258</v>
      </c>
      <c r="H167" s="105" t="s">
        <v>351</v>
      </c>
      <c r="I167" s="105"/>
      <c r="J167" s="105" t="s">
        <v>266</v>
      </c>
    </row>
    <row r="168" spans="1:19">
      <c r="A168" s="122" t="s">
        <v>264</v>
      </c>
      <c r="B168" s="122" t="s">
        <v>175</v>
      </c>
      <c r="C168" s="105" t="s">
        <v>275</v>
      </c>
      <c r="D168" s="118" t="s">
        <v>93</v>
      </c>
      <c r="E168" s="105"/>
      <c r="F168" s="122" t="s">
        <v>324</v>
      </c>
      <c r="G168" s="122" t="s">
        <v>175</v>
      </c>
      <c r="H168" s="105" t="s">
        <v>275</v>
      </c>
      <c r="I168" s="105"/>
      <c r="J168" s="105" t="s">
        <v>266</v>
      </c>
    </row>
    <row r="169" spans="1:19">
      <c r="A169" s="115" t="s">
        <v>264</v>
      </c>
      <c r="B169" s="115" t="s">
        <v>302</v>
      </c>
      <c r="C169" s="105" t="s">
        <v>268</v>
      </c>
      <c r="D169" s="105" t="s">
        <v>93</v>
      </c>
      <c r="E169" s="105"/>
      <c r="F169" s="115" t="s">
        <v>324</v>
      </c>
      <c r="G169" s="115" t="s">
        <v>302</v>
      </c>
      <c r="H169" s="105" t="s">
        <v>268</v>
      </c>
      <c r="I169" s="105"/>
      <c r="J169" s="105" t="s">
        <v>266</v>
      </c>
    </row>
    <row r="170" spans="1:19">
      <c r="A170" s="115" t="s">
        <v>264</v>
      </c>
      <c r="B170" s="115" t="s">
        <v>303</v>
      </c>
      <c r="C170" s="105" t="s">
        <v>268</v>
      </c>
      <c r="D170" s="105" t="s">
        <v>93</v>
      </c>
      <c r="E170" s="105"/>
      <c r="F170" s="115" t="s">
        <v>324</v>
      </c>
      <c r="G170" s="115" t="s">
        <v>303</v>
      </c>
      <c r="H170" s="105" t="s">
        <v>268</v>
      </c>
      <c r="I170" s="105"/>
      <c r="J170" s="105" t="s">
        <v>266</v>
      </c>
    </row>
    <row r="171" spans="1:19">
      <c r="A171" s="115" t="s">
        <v>264</v>
      </c>
      <c r="B171" s="115" t="s">
        <v>305</v>
      </c>
      <c r="C171" s="105" t="s">
        <v>268</v>
      </c>
      <c r="D171" s="105" t="s">
        <v>93</v>
      </c>
      <c r="E171" s="105"/>
      <c r="F171" s="115" t="s">
        <v>324</v>
      </c>
      <c r="G171" s="115" t="s">
        <v>305</v>
      </c>
      <c r="H171" s="105" t="s">
        <v>268</v>
      </c>
      <c r="I171" s="105"/>
      <c r="J171" s="105" t="s">
        <v>266</v>
      </c>
    </row>
    <row r="172" spans="1:19">
      <c r="A172" s="122" t="s">
        <v>264</v>
      </c>
      <c r="B172" s="115" t="s">
        <v>306</v>
      </c>
      <c r="C172" s="105" t="s">
        <v>268</v>
      </c>
      <c r="D172" s="105" t="s">
        <v>93</v>
      </c>
      <c r="E172" s="105"/>
      <c r="F172" s="115" t="s">
        <v>324</v>
      </c>
      <c r="G172" s="115" t="s">
        <v>306</v>
      </c>
      <c r="H172" s="105" t="s">
        <v>268</v>
      </c>
      <c r="I172" s="105"/>
      <c r="J172" s="105" t="s">
        <v>266</v>
      </c>
    </row>
    <row r="173" spans="1:19">
      <c r="A173" s="122" t="s">
        <v>264</v>
      </c>
      <c r="B173" s="115" t="s">
        <v>307</v>
      </c>
      <c r="C173" s="105" t="s">
        <v>268</v>
      </c>
      <c r="D173" s="105" t="s">
        <v>93</v>
      </c>
      <c r="E173" s="105"/>
      <c r="F173" s="115" t="s">
        <v>324</v>
      </c>
      <c r="G173" s="115" t="s">
        <v>307</v>
      </c>
      <c r="H173" s="105" t="s">
        <v>268</v>
      </c>
      <c r="I173" s="105"/>
      <c r="J173" s="105" t="s">
        <v>266</v>
      </c>
    </row>
    <row r="174" spans="1:19">
      <c r="A174" s="122" t="s">
        <v>264</v>
      </c>
      <c r="B174" s="105"/>
      <c r="C174" s="105" t="s">
        <v>268</v>
      </c>
      <c r="D174" s="105" t="s">
        <v>263</v>
      </c>
      <c r="E174" s="105" t="s">
        <v>356</v>
      </c>
      <c r="F174" s="115" t="s">
        <v>324</v>
      </c>
      <c r="G174" s="115" t="s">
        <v>357</v>
      </c>
      <c r="H174" s="105" t="s">
        <v>351</v>
      </c>
      <c r="I174" s="105"/>
      <c r="J174" s="105" t="s">
        <v>266</v>
      </c>
      <c r="K174" s="159"/>
      <c r="L174" s="159"/>
      <c r="M174" s="159"/>
      <c r="N174" s="159"/>
      <c r="O174" s="159"/>
      <c r="P174" s="159"/>
      <c r="Q174" s="159"/>
      <c r="R174" s="159"/>
      <c r="S174" s="159"/>
    </row>
    <row r="175" spans="1:19">
      <c r="J175" s="157"/>
    </row>
    <row r="176" spans="1:19" ht="23.5" customHeight="1">
      <c r="A176" s="544" t="s">
        <v>358</v>
      </c>
      <c r="B176" s="544"/>
      <c r="C176" s="544"/>
      <c r="D176" s="544"/>
      <c r="E176" s="544"/>
      <c r="F176" s="544"/>
      <c r="G176" s="544"/>
      <c r="H176" s="544"/>
      <c r="I176" s="544"/>
      <c r="J176" s="544"/>
    </row>
    <row r="177" spans="1:10">
      <c r="A177" s="157"/>
      <c r="B177" s="157"/>
      <c r="C177" s="157"/>
      <c r="D177" s="157"/>
      <c r="E177" s="157"/>
      <c r="F177" s="157"/>
      <c r="G177" s="160"/>
      <c r="H177" s="160"/>
      <c r="I177" s="160"/>
      <c r="J177" s="157"/>
    </row>
    <row r="178" spans="1:10" ht="61.4" customHeight="1">
      <c r="A178" s="545" t="s">
        <v>359</v>
      </c>
      <c r="B178" s="545"/>
      <c r="C178" s="545"/>
      <c r="D178" s="160"/>
      <c r="E178" s="160"/>
      <c r="F178" s="160"/>
      <c r="G178" s="160"/>
      <c r="H178" s="160"/>
      <c r="I178" s="160"/>
      <c r="J178" s="157"/>
    </row>
    <row r="179" spans="1:10">
      <c r="A179" s="545"/>
      <c r="B179" s="545"/>
      <c r="C179" s="545"/>
      <c r="D179" s="160"/>
      <c r="E179" s="160"/>
      <c r="F179" s="160"/>
      <c r="G179" s="160"/>
      <c r="H179" s="160"/>
      <c r="I179" s="160"/>
      <c r="J179" s="157"/>
    </row>
    <row r="180" spans="1:10">
      <c r="A180" s="545"/>
      <c r="B180" s="545"/>
      <c r="C180" s="545"/>
      <c r="D180" s="160"/>
      <c r="E180" s="160"/>
      <c r="F180" s="160"/>
      <c r="G180" s="160"/>
      <c r="H180" s="160"/>
      <c r="I180" s="160"/>
      <c r="J180" s="157"/>
    </row>
    <row r="181" spans="1:10" ht="57.65" customHeight="1">
      <c r="A181" s="535" t="s">
        <v>360</v>
      </c>
      <c r="B181" s="535"/>
      <c r="C181" s="535"/>
      <c r="D181" s="160"/>
      <c r="E181" s="160"/>
      <c r="F181" s="160"/>
      <c r="G181" s="160"/>
      <c r="H181" s="160"/>
      <c r="I181" s="160"/>
      <c r="J181" s="157"/>
    </row>
    <row r="182" spans="1:10" ht="211.75" customHeight="1">
      <c r="A182" s="534" t="s">
        <v>361</v>
      </c>
      <c r="B182" s="534"/>
      <c r="C182" s="534"/>
      <c r="D182" s="160"/>
      <c r="E182" s="160"/>
      <c r="F182" s="160"/>
      <c r="G182" s="160"/>
      <c r="H182" s="160"/>
      <c r="I182" s="160"/>
      <c r="J182" s="157"/>
    </row>
    <row r="183" spans="1:10" ht="13">
      <c r="A183" s="162" t="s">
        <v>362</v>
      </c>
      <c r="B183" s="162" t="s">
        <v>363</v>
      </c>
      <c r="C183" s="162" t="s">
        <v>364</v>
      </c>
      <c r="D183" s="162" t="s">
        <v>365</v>
      </c>
      <c r="E183" s="162" t="s">
        <v>366</v>
      </c>
      <c r="F183" s="162" t="s">
        <v>367</v>
      </c>
      <c r="G183" s="162" t="s">
        <v>368</v>
      </c>
      <c r="H183" s="162" t="s">
        <v>369</v>
      </c>
      <c r="I183" s="162" t="s">
        <v>260</v>
      </c>
      <c r="J183" s="162" t="s">
        <v>261</v>
      </c>
    </row>
    <row r="184" spans="1:10" ht="13">
      <c r="A184" s="125"/>
      <c r="B184" s="126"/>
      <c r="C184" s="127" t="s">
        <v>370</v>
      </c>
      <c r="D184" s="129" t="s">
        <v>371</v>
      </c>
      <c r="E184" s="128" t="s">
        <v>372</v>
      </c>
      <c r="F184" s="129"/>
      <c r="G184" s="129" t="s">
        <v>373</v>
      </c>
      <c r="H184" s="163"/>
      <c r="I184" s="105"/>
      <c r="J184" s="105" t="s">
        <v>374</v>
      </c>
    </row>
    <row r="185" spans="1:10">
      <c r="A185" s="122" t="s">
        <v>375</v>
      </c>
      <c r="B185" s="120" t="s">
        <v>87</v>
      </c>
      <c r="C185" s="118" t="s">
        <v>376</v>
      </c>
      <c r="D185" s="122" t="s">
        <v>371</v>
      </c>
      <c r="E185" s="123" t="s">
        <v>90</v>
      </c>
      <c r="F185" s="122"/>
      <c r="G185" s="122" t="s">
        <v>373</v>
      </c>
      <c r="H185" s="115"/>
      <c r="I185" s="105"/>
      <c r="J185" s="105" t="s">
        <v>374</v>
      </c>
    </row>
    <row r="186" spans="1:10" ht="13">
      <c r="A186" s="122" t="s">
        <v>375</v>
      </c>
      <c r="B186" s="120" t="s">
        <v>87</v>
      </c>
      <c r="C186" s="118" t="s">
        <v>377</v>
      </c>
      <c r="D186" s="122" t="s">
        <v>371</v>
      </c>
      <c r="E186" s="123" t="s">
        <v>378</v>
      </c>
      <c r="F186" s="122"/>
      <c r="G186" s="130" t="s">
        <v>379</v>
      </c>
      <c r="H186" s="115"/>
      <c r="I186" s="105"/>
      <c r="J186" s="105" t="s">
        <v>374</v>
      </c>
    </row>
    <row r="187" spans="1:10" ht="25">
      <c r="A187" s="122" t="s">
        <v>375</v>
      </c>
      <c r="B187" s="120" t="s">
        <v>380</v>
      </c>
      <c r="C187" s="164" t="s">
        <v>381</v>
      </c>
      <c r="D187" s="122" t="s">
        <v>371</v>
      </c>
      <c r="E187" s="123" t="s">
        <v>382</v>
      </c>
      <c r="F187" s="122"/>
      <c r="G187" s="122" t="s">
        <v>373</v>
      </c>
      <c r="H187" s="115"/>
      <c r="I187" s="105"/>
      <c r="J187" s="105" t="s">
        <v>374</v>
      </c>
    </row>
    <row r="188" spans="1:10">
      <c r="A188" s="122" t="s">
        <v>375</v>
      </c>
      <c r="B188" s="120" t="s">
        <v>95</v>
      </c>
      <c r="C188" s="118" t="s">
        <v>383</v>
      </c>
      <c r="D188" s="122" t="s">
        <v>371</v>
      </c>
      <c r="E188" s="123" t="s">
        <v>312</v>
      </c>
      <c r="F188" s="122"/>
      <c r="G188" s="122" t="s">
        <v>373</v>
      </c>
      <c r="H188" s="115"/>
      <c r="I188" s="105"/>
      <c r="J188" s="105" t="s">
        <v>374</v>
      </c>
    </row>
    <row r="189" spans="1:10">
      <c r="A189" s="122" t="s">
        <v>375</v>
      </c>
      <c r="B189" s="120" t="s">
        <v>99</v>
      </c>
      <c r="C189" s="118" t="s">
        <v>383</v>
      </c>
      <c r="D189" s="122" t="s">
        <v>371</v>
      </c>
      <c r="E189" s="123" t="s">
        <v>384</v>
      </c>
      <c r="F189" s="122"/>
      <c r="G189" s="122" t="s">
        <v>373</v>
      </c>
      <c r="H189" s="115"/>
      <c r="I189" s="105"/>
      <c r="J189" s="105" t="s">
        <v>374</v>
      </c>
    </row>
    <row r="190" spans="1:10">
      <c r="A190" s="122" t="s">
        <v>375</v>
      </c>
      <c r="B190" s="120" t="s">
        <v>385</v>
      </c>
      <c r="C190" s="118" t="s">
        <v>383</v>
      </c>
      <c r="D190" s="122" t="s">
        <v>371</v>
      </c>
      <c r="E190" s="123" t="s">
        <v>386</v>
      </c>
      <c r="F190" s="122"/>
      <c r="G190" s="122" t="s">
        <v>373</v>
      </c>
      <c r="H190" s="115"/>
      <c r="I190" s="105"/>
      <c r="J190" s="105" t="s">
        <v>374</v>
      </c>
    </row>
    <row r="191" spans="1:10" ht="50">
      <c r="A191" s="122" t="s">
        <v>375</v>
      </c>
      <c r="B191" s="120"/>
      <c r="C191" s="118" t="s">
        <v>387</v>
      </c>
      <c r="D191" s="122" t="s">
        <v>371</v>
      </c>
      <c r="E191" s="123" t="s">
        <v>388</v>
      </c>
      <c r="F191" s="122"/>
      <c r="G191" s="122" t="s">
        <v>373</v>
      </c>
      <c r="H191" s="115"/>
      <c r="I191" s="105"/>
      <c r="J191" s="105" t="s">
        <v>374</v>
      </c>
    </row>
    <row r="192" spans="1:10">
      <c r="A192" s="118"/>
      <c r="B192" s="120"/>
      <c r="C192" s="164" t="s">
        <v>389</v>
      </c>
      <c r="D192" s="122" t="s">
        <v>371</v>
      </c>
      <c r="E192" s="123" t="s">
        <v>390</v>
      </c>
      <c r="F192" s="122"/>
      <c r="G192" s="122" t="s">
        <v>373</v>
      </c>
      <c r="H192" s="115"/>
      <c r="I192" s="105"/>
      <c r="J192" s="105" t="s">
        <v>374</v>
      </c>
    </row>
    <row r="193" spans="1:10">
      <c r="A193" s="129" t="s">
        <v>375</v>
      </c>
      <c r="B193" s="137" t="s">
        <v>391</v>
      </c>
      <c r="C193" s="127" t="s">
        <v>383</v>
      </c>
      <c r="D193" s="129" t="s">
        <v>371</v>
      </c>
      <c r="E193" s="128" t="s">
        <v>392</v>
      </c>
      <c r="F193" s="129"/>
      <c r="G193" s="129" t="s">
        <v>373</v>
      </c>
      <c r="H193" s="163"/>
      <c r="I193" s="105"/>
      <c r="J193" s="105" t="s">
        <v>374</v>
      </c>
    </row>
    <row r="194" spans="1:10" ht="25">
      <c r="A194" s="129" t="s">
        <v>375</v>
      </c>
      <c r="B194" s="137" t="s">
        <v>98</v>
      </c>
      <c r="C194" s="127" t="s">
        <v>393</v>
      </c>
      <c r="D194" s="129" t="s">
        <v>371</v>
      </c>
      <c r="E194" s="128" t="s">
        <v>394</v>
      </c>
      <c r="F194" s="129"/>
      <c r="G194" s="129" t="s">
        <v>373</v>
      </c>
      <c r="H194" s="163"/>
      <c r="I194" s="105"/>
      <c r="J194" s="105" t="s">
        <v>374</v>
      </c>
    </row>
    <row r="195" spans="1:10">
      <c r="A195" s="129" t="s">
        <v>375</v>
      </c>
      <c r="B195" s="137" t="s">
        <v>98</v>
      </c>
      <c r="C195" s="127" t="s">
        <v>395</v>
      </c>
      <c r="D195" s="129" t="s">
        <v>371</v>
      </c>
      <c r="E195" s="128" t="s">
        <v>396</v>
      </c>
      <c r="F195" s="129"/>
      <c r="G195" s="129" t="s">
        <v>373</v>
      </c>
      <c r="H195" s="163"/>
      <c r="I195" s="105"/>
      <c r="J195" s="105" t="s">
        <v>374</v>
      </c>
    </row>
    <row r="196" spans="1:10" ht="25">
      <c r="A196" s="129" t="s">
        <v>375</v>
      </c>
      <c r="B196" s="137" t="s">
        <v>101</v>
      </c>
      <c r="C196" s="127" t="s">
        <v>397</v>
      </c>
      <c r="D196" s="129" t="s">
        <v>371</v>
      </c>
      <c r="E196" s="128" t="s">
        <v>398</v>
      </c>
      <c r="F196" s="129"/>
      <c r="G196" s="129" t="s">
        <v>373</v>
      </c>
      <c r="H196" s="163"/>
      <c r="I196" s="105"/>
      <c r="J196" s="105" t="s">
        <v>374</v>
      </c>
    </row>
    <row r="197" spans="1:10">
      <c r="A197" s="129" t="s">
        <v>375</v>
      </c>
      <c r="B197" s="137" t="s">
        <v>101</v>
      </c>
      <c r="C197" s="127" t="s">
        <v>399</v>
      </c>
      <c r="D197" s="129" t="s">
        <v>371</v>
      </c>
      <c r="E197" s="128" t="s">
        <v>400</v>
      </c>
      <c r="F197" s="129"/>
      <c r="G197" s="129" t="s">
        <v>373</v>
      </c>
      <c r="H197" s="163"/>
      <c r="I197" s="105"/>
      <c r="J197" s="105" t="s">
        <v>374</v>
      </c>
    </row>
    <row r="198" spans="1:10">
      <c r="A198" s="129" t="s">
        <v>375</v>
      </c>
      <c r="B198" s="137" t="s">
        <v>401</v>
      </c>
      <c r="C198" s="127" t="s">
        <v>402</v>
      </c>
      <c r="D198" s="129" t="s">
        <v>371</v>
      </c>
      <c r="E198" s="128" t="s">
        <v>403</v>
      </c>
      <c r="F198" s="129"/>
      <c r="G198" s="129" t="s">
        <v>373</v>
      </c>
      <c r="H198" s="163"/>
      <c r="I198" s="105"/>
      <c r="J198" s="105" t="s">
        <v>374</v>
      </c>
    </row>
    <row r="199" spans="1:10">
      <c r="A199" s="129" t="s">
        <v>375</v>
      </c>
      <c r="B199" s="137" t="s">
        <v>404</v>
      </c>
      <c r="C199" s="127" t="s">
        <v>404</v>
      </c>
      <c r="D199" s="129" t="s">
        <v>371</v>
      </c>
      <c r="E199" s="128" t="s">
        <v>405</v>
      </c>
      <c r="F199" s="129"/>
      <c r="G199" s="129" t="s">
        <v>373</v>
      </c>
      <c r="H199" s="163"/>
      <c r="I199" s="105"/>
      <c r="J199" s="105" t="s">
        <v>374</v>
      </c>
    </row>
    <row r="200" spans="1:10" ht="37.5">
      <c r="A200" s="127" t="s">
        <v>406</v>
      </c>
      <c r="B200" s="137" t="s">
        <v>407</v>
      </c>
      <c r="C200" s="127" t="s">
        <v>408</v>
      </c>
      <c r="D200" s="129" t="s">
        <v>371</v>
      </c>
      <c r="E200" s="128" t="s">
        <v>409</v>
      </c>
      <c r="F200" s="129"/>
      <c r="G200" s="129" t="s">
        <v>373</v>
      </c>
      <c r="H200" s="163"/>
      <c r="I200" s="105"/>
      <c r="J200" s="105" t="s">
        <v>374</v>
      </c>
    </row>
    <row r="201" spans="1:10" ht="25">
      <c r="A201" s="127" t="s">
        <v>406</v>
      </c>
      <c r="B201" s="137" t="s">
        <v>407</v>
      </c>
      <c r="C201" s="127" t="s">
        <v>410</v>
      </c>
      <c r="D201" s="129" t="s">
        <v>371</v>
      </c>
      <c r="E201" s="128" t="s">
        <v>411</v>
      </c>
      <c r="F201" s="129"/>
      <c r="G201" s="129" t="s">
        <v>373</v>
      </c>
      <c r="H201" s="163"/>
      <c r="I201" s="105"/>
      <c r="J201" s="105" t="s">
        <v>374</v>
      </c>
    </row>
    <row r="202" spans="1:10">
      <c r="A202" s="122" t="s">
        <v>375</v>
      </c>
      <c r="B202" s="120" t="s">
        <v>380</v>
      </c>
      <c r="C202" s="118" t="s">
        <v>383</v>
      </c>
      <c r="D202" s="122" t="s">
        <v>371</v>
      </c>
      <c r="E202" s="123" t="s">
        <v>170</v>
      </c>
      <c r="F202" s="122"/>
      <c r="G202" s="122" t="s">
        <v>373</v>
      </c>
      <c r="H202" s="115"/>
      <c r="I202" s="105"/>
      <c r="J202" s="105" t="s">
        <v>374</v>
      </c>
    </row>
    <row r="203" spans="1:10" ht="71.5" customHeight="1">
      <c r="A203" s="122" t="s">
        <v>375</v>
      </c>
      <c r="B203" s="120" t="s">
        <v>380</v>
      </c>
      <c r="C203" s="118" t="s">
        <v>412</v>
      </c>
      <c r="D203" s="122" t="s">
        <v>371</v>
      </c>
      <c r="E203" s="123" t="s">
        <v>413</v>
      </c>
      <c r="F203" s="122"/>
      <c r="G203" s="122" t="s">
        <v>373</v>
      </c>
      <c r="H203" s="115"/>
      <c r="I203" s="105"/>
      <c r="J203" s="105" t="s">
        <v>374</v>
      </c>
    </row>
    <row r="204" spans="1:10" ht="103.4" customHeight="1">
      <c r="A204" s="163" t="s">
        <v>375</v>
      </c>
      <c r="B204" s="133" t="s">
        <v>380</v>
      </c>
      <c r="C204" s="135" t="s">
        <v>414</v>
      </c>
      <c r="D204" s="163" t="s">
        <v>371</v>
      </c>
      <c r="E204" s="165" t="s">
        <v>415</v>
      </c>
      <c r="F204" s="163"/>
      <c r="G204" s="163" t="s">
        <v>373</v>
      </c>
      <c r="H204" s="163"/>
      <c r="I204" s="105"/>
      <c r="J204" s="105" t="s">
        <v>374</v>
      </c>
    </row>
    <row r="205" spans="1:10" ht="87.5">
      <c r="A205" s="163" t="s">
        <v>375</v>
      </c>
      <c r="B205" s="133" t="s">
        <v>416</v>
      </c>
      <c r="C205" s="135" t="s">
        <v>417</v>
      </c>
      <c r="D205" s="163" t="s">
        <v>371</v>
      </c>
      <c r="E205" s="165" t="s">
        <v>418</v>
      </c>
      <c r="F205" s="163"/>
      <c r="G205" s="163" t="s">
        <v>373</v>
      </c>
      <c r="H205" s="163"/>
      <c r="I205" s="105"/>
      <c r="J205" s="105" t="s">
        <v>374</v>
      </c>
    </row>
    <row r="206" spans="1:10" ht="50">
      <c r="A206" s="127" t="s">
        <v>406</v>
      </c>
      <c r="B206" s="137" t="s">
        <v>419</v>
      </c>
      <c r="C206" s="127" t="s">
        <v>420</v>
      </c>
      <c r="D206" s="129" t="s">
        <v>371</v>
      </c>
      <c r="E206" s="128" t="s">
        <v>421</v>
      </c>
      <c r="F206" s="129"/>
      <c r="G206" s="129" t="s">
        <v>373</v>
      </c>
      <c r="H206" s="163"/>
      <c r="I206" s="105"/>
      <c r="J206" s="105" t="s">
        <v>374</v>
      </c>
    </row>
    <row r="207" spans="1:10">
      <c r="A207" s="118"/>
      <c r="B207" s="120"/>
      <c r="C207" s="164" t="s">
        <v>389</v>
      </c>
      <c r="D207" s="122" t="s">
        <v>371</v>
      </c>
      <c r="E207" s="123" t="s">
        <v>422</v>
      </c>
      <c r="F207" s="122"/>
      <c r="G207" s="122" t="s">
        <v>373</v>
      </c>
      <c r="H207" s="115"/>
      <c r="I207" s="105"/>
      <c r="J207" s="105" t="s">
        <v>374</v>
      </c>
    </row>
    <row r="208" spans="1:10" ht="50">
      <c r="A208" s="122" t="s">
        <v>375</v>
      </c>
      <c r="B208" s="120" t="s">
        <v>423</v>
      </c>
      <c r="C208" s="158" t="s">
        <v>424</v>
      </c>
      <c r="D208" s="122" t="s">
        <v>371</v>
      </c>
      <c r="E208" s="123" t="s">
        <v>425</v>
      </c>
      <c r="F208" s="122"/>
      <c r="G208" s="122" t="s">
        <v>373</v>
      </c>
      <c r="H208" s="115"/>
      <c r="I208" s="105"/>
      <c r="J208" s="105" t="s">
        <v>374</v>
      </c>
    </row>
    <row r="209" spans="1:10" ht="25">
      <c r="A209" s="129" t="s">
        <v>375</v>
      </c>
      <c r="B209" s="137" t="s">
        <v>426</v>
      </c>
      <c r="C209" s="127" t="s">
        <v>427</v>
      </c>
      <c r="D209" s="129" t="s">
        <v>371</v>
      </c>
      <c r="E209" s="128" t="s">
        <v>428</v>
      </c>
      <c r="F209" s="129"/>
      <c r="G209" s="129" t="s">
        <v>373</v>
      </c>
      <c r="H209" s="163"/>
      <c r="I209" s="105"/>
      <c r="J209" s="105" t="s">
        <v>374</v>
      </c>
    </row>
    <row r="210" spans="1:10" ht="37.5">
      <c r="A210" s="127" t="s">
        <v>406</v>
      </c>
      <c r="B210" s="137" t="s">
        <v>178</v>
      </c>
      <c r="C210" s="127" t="s">
        <v>429</v>
      </c>
      <c r="D210" s="129" t="s">
        <v>371</v>
      </c>
      <c r="E210" s="128" t="s">
        <v>430</v>
      </c>
      <c r="F210" s="129"/>
      <c r="G210" s="129" t="s">
        <v>373</v>
      </c>
      <c r="H210" s="163"/>
      <c r="I210" s="105"/>
      <c r="J210" s="105" t="s">
        <v>374</v>
      </c>
    </row>
    <row r="211" spans="1:10">
      <c r="A211" s="135"/>
      <c r="B211" s="133"/>
      <c r="C211" s="164" t="s">
        <v>389</v>
      </c>
      <c r="D211" s="129" t="s">
        <v>371</v>
      </c>
      <c r="E211" s="165" t="s">
        <v>431</v>
      </c>
      <c r="F211" s="163"/>
      <c r="G211" s="163" t="s">
        <v>373</v>
      </c>
      <c r="H211" s="163"/>
      <c r="I211" s="105"/>
      <c r="J211" s="105" t="s">
        <v>374</v>
      </c>
    </row>
    <row r="212" spans="1:10">
      <c r="A212" s="163" t="s">
        <v>375</v>
      </c>
      <c r="B212" s="133" t="s">
        <v>426</v>
      </c>
      <c r="C212" s="135" t="s">
        <v>432</v>
      </c>
      <c r="D212" s="129" t="s">
        <v>371</v>
      </c>
      <c r="E212" s="165" t="s">
        <v>433</v>
      </c>
      <c r="F212" s="163"/>
      <c r="G212" s="163" t="s">
        <v>373</v>
      </c>
      <c r="H212" s="163"/>
      <c r="I212" s="105"/>
      <c r="J212" s="105" t="s">
        <v>374</v>
      </c>
    </row>
    <row r="213" spans="1:10">
      <c r="A213" s="163" t="s">
        <v>375</v>
      </c>
      <c r="B213" s="133" t="s">
        <v>426</v>
      </c>
      <c r="C213" s="135" t="s">
        <v>432</v>
      </c>
      <c r="D213" s="129" t="s">
        <v>371</v>
      </c>
      <c r="E213" s="165" t="s">
        <v>434</v>
      </c>
      <c r="F213" s="163"/>
      <c r="G213" s="163" t="s">
        <v>373</v>
      </c>
      <c r="H213" s="163"/>
      <c r="I213" s="105"/>
      <c r="J213" s="105" t="s">
        <v>374</v>
      </c>
    </row>
    <row r="214" spans="1:10" ht="37.5">
      <c r="A214" s="166" t="s">
        <v>435</v>
      </c>
      <c r="B214" s="133" t="s">
        <v>178</v>
      </c>
      <c r="C214" s="135" t="s">
        <v>436</v>
      </c>
      <c r="D214" s="129" t="s">
        <v>371</v>
      </c>
      <c r="E214" s="165" t="s">
        <v>437</v>
      </c>
      <c r="F214" s="163"/>
      <c r="G214" s="163" t="s">
        <v>373</v>
      </c>
      <c r="H214" s="163"/>
      <c r="I214" s="105"/>
      <c r="J214" s="105" t="s">
        <v>374</v>
      </c>
    </row>
    <row r="215" spans="1:10" ht="62.5">
      <c r="A215" s="119"/>
      <c r="B215" s="119" t="s">
        <v>438</v>
      </c>
      <c r="C215" s="105" t="s">
        <v>439</v>
      </c>
      <c r="D215" s="122" t="s">
        <v>371</v>
      </c>
      <c r="E215" s="124" t="s">
        <v>440</v>
      </c>
      <c r="F215" s="115"/>
      <c r="G215" s="115" t="s">
        <v>373</v>
      </c>
      <c r="H215" s="115"/>
      <c r="I215" s="105"/>
      <c r="J215" s="105" t="s">
        <v>374</v>
      </c>
    </row>
    <row r="216" spans="1:10">
      <c r="A216" s="163" t="s">
        <v>375</v>
      </c>
      <c r="B216" s="133" t="s">
        <v>441</v>
      </c>
      <c r="C216" s="135" t="s">
        <v>442</v>
      </c>
      <c r="D216" s="129" t="s">
        <v>371</v>
      </c>
      <c r="E216" s="165" t="s">
        <v>443</v>
      </c>
      <c r="F216" s="163"/>
      <c r="G216" s="163" t="s">
        <v>373</v>
      </c>
      <c r="H216" s="163"/>
      <c r="I216" s="105"/>
      <c r="J216" s="105" t="s">
        <v>374</v>
      </c>
    </row>
    <row r="217" spans="1:10">
      <c r="A217" s="115"/>
      <c r="B217" s="119"/>
      <c r="C217" s="167" t="s">
        <v>389</v>
      </c>
      <c r="D217" s="122" t="s">
        <v>371</v>
      </c>
      <c r="E217" s="124" t="s">
        <v>444</v>
      </c>
      <c r="F217" s="115"/>
      <c r="G217" s="115" t="s">
        <v>373</v>
      </c>
      <c r="H217" s="115"/>
      <c r="I217" s="105"/>
      <c r="J217" s="105" t="s">
        <v>374</v>
      </c>
    </row>
    <row r="218" spans="1:10" ht="60.65" customHeight="1">
      <c r="A218" s="105" t="s">
        <v>445</v>
      </c>
      <c r="B218" s="119" t="s">
        <v>446</v>
      </c>
      <c r="C218" s="105" t="s">
        <v>447</v>
      </c>
      <c r="D218" s="122" t="s">
        <v>371</v>
      </c>
      <c r="E218" s="124" t="s">
        <v>448</v>
      </c>
      <c r="F218" s="115"/>
      <c r="G218" s="115" t="s">
        <v>373</v>
      </c>
      <c r="H218" s="115"/>
      <c r="I218" s="105"/>
      <c r="J218" s="105" t="s">
        <v>374</v>
      </c>
    </row>
    <row r="219" spans="1:10">
      <c r="A219" s="105"/>
      <c r="B219" s="119"/>
      <c r="C219" s="105" t="s">
        <v>389</v>
      </c>
      <c r="D219" s="122" t="s">
        <v>371</v>
      </c>
      <c r="E219" s="124" t="s">
        <v>449</v>
      </c>
      <c r="F219" s="115"/>
      <c r="G219" s="115" t="s">
        <v>373</v>
      </c>
      <c r="H219" s="115"/>
      <c r="I219" s="105"/>
      <c r="J219" s="105" t="s">
        <v>374</v>
      </c>
    </row>
    <row r="220" spans="1:10">
      <c r="A220" s="105" t="s">
        <v>375</v>
      </c>
      <c r="B220" s="119" t="s">
        <v>98</v>
      </c>
      <c r="C220" s="105" t="s">
        <v>93</v>
      </c>
      <c r="D220" s="122" t="s">
        <v>371</v>
      </c>
      <c r="E220" s="124" t="s">
        <v>450</v>
      </c>
      <c r="F220" s="115"/>
      <c r="G220" s="115" t="s">
        <v>373</v>
      </c>
      <c r="H220" s="115"/>
      <c r="I220" s="105"/>
      <c r="J220" s="105" t="s">
        <v>374</v>
      </c>
    </row>
    <row r="221" spans="1:10" ht="74.5" customHeight="1">
      <c r="A221" s="168" t="s">
        <v>451</v>
      </c>
      <c r="B221" s="119" t="s">
        <v>452</v>
      </c>
      <c r="C221" s="105" t="s">
        <v>453</v>
      </c>
      <c r="D221" s="131" t="s">
        <v>371</v>
      </c>
      <c r="E221" s="123" t="s">
        <v>454</v>
      </c>
      <c r="F221" s="131" t="s">
        <v>455</v>
      </c>
      <c r="G221" s="131" t="s">
        <v>321</v>
      </c>
      <c r="H221" s="115"/>
      <c r="I221" s="105"/>
      <c r="J221" s="105" t="s">
        <v>374</v>
      </c>
    </row>
    <row r="222" spans="1:10" ht="62.5">
      <c r="A222" s="168" t="s">
        <v>456</v>
      </c>
      <c r="B222" s="119" t="s">
        <v>457</v>
      </c>
      <c r="C222" s="105" t="s">
        <v>458</v>
      </c>
      <c r="D222" s="122" t="s">
        <v>371</v>
      </c>
      <c r="E222" s="124" t="s">
        <v>459</v>
      </c>
      <c r="F222" s="115"/>
      <c r="G222" s="115" t="s">
        <v>321</v>
      </c>
      <c r="H222" s="115"/>
      <c r="I222" s="105"/>
      <c r="J222" s="105" t="s">
        <v>374</v>
      </c>
    </row>
    <row r="223" spans="1:10" ht="50">
      <c r="A223" s="168" t="s">
        <v>435</v>
      </c>
      <c r="B223" s="119" t="s">
        <v>460</v>
      </c>
      <c r="C223" s="105" t="s">
        <v>461</v>
      </c>
      <c r="D223" s="122" t="s">
        <v>371</v>
      </c>
      <c r="E223" s="124" t="s">
        <v>462</v>
      </c>
      <c r="F223" s="115"/>
      <c r="G223" s="115" t="s">
        <v>321</v>
      </c>
      <c r="H223" s="115"/>
      <c r="I223" s="105"/>
      <c r="J223" s="105" t="s">
        <v>374</v>
      </c>
    </row>
    <row r="224" spans="1:10" ht="37.5">
      <c r="A224" s="105" t="s">
        <v>463</v>
      </c>
      <c r="B224" s="119" t="s">
        <v>464</v>
      </c>
      <c r="C224" s="105" t="s">
        <v>465</v>
      </c>
      <c r="D224" s="122" t="s">
        <v>371</v>
      </c>
      <c r="E224" s="124" t="s">
        <v>466</v>
      </c>
      <c r="F224" s="115"/>
      <c r="G224" s="115" t="s">
        <v>321</v>
      </c>
      <c r="H224" s="115"/>
      <c r="I224" s="105"/>
      <c r="J224" s="105" t="s">
        <v>374</v>
      </c>
    </row>
    <row r="225" spans="1:19" ht="25">
      <c r="A225" s="163" t="s">
        <v>375</v>
      </c>
      <c r="B225" s="133"/>
      <c r="C225" s="135" t="s">
        <v>467</v>
      </c>
      <c r="D225" s="129" t="s">
        <v>371</v>
      </c>
      <c r="E225" s="165" t="s">
        <v>468</v>
      </c>
      <c r="F225" s="163"/>
      <c r="G225" s="163" t="s">
        <v>321</v>
      </c>
      <c r="H225" s="163"/>
      <c r="I225" s="105"/>
      <c r="J225" s="105" t="s">
        <v>374</v>
      </c>
    </row>
    <row r="226" spans="1:19" ht="37.5">
      <c r="A226" s="115" t="s">
        <v>375</v>
      </c>
      <c r="B226" s="119" t="s">
        <v>469</v>
      </c>
      <c r="C226" s="105" t="s">
        <v>470</v>
      </c>
      <c r="D226" s="122" t="s">
        <v>371</v>
      </c>
      <c r="E226" s="124" t="s">
        <v>471</v>
      </c>
      <c r="F226" s="115"/>
      <c r="G226" s="115" t="s">
        <v>321</v>
      </c>
      <c r="H226" s="115"/>
      <c r="I226" s="105"/>
      <c r="J226" s="105" t="s">
        <v>374</v>
      </c>
    </row>
    <row r="227" spans="1:19" ht="25">
      <c r="A227" s="115" t="s">
        <v>375</v>
      </c>
      <c r="B227" s="119" t="s">
        <v>472</v>
      </c>
      <c r="C227" s="105" t="s">
        <v>473</v>
      </c>
      <c r="D227" s="122" t="s">
        <v>371</v>
      </c>
      <c r="E227" s="124" t="s">
        <v>474</v>
      </c>
      <c r="F227" s="115"/>
      <c r="G227" s="115" t="s">
        <v>321</v>
      </c>
      <c r="H227" s="115"/>
      <c r="I227" s="105"/>
      <c r="J227" s="105" t="s">
        <v>374</v>
      </c>
    </row>
    <row r="228" spans="1:19" ht="37.5">
      <c r="A228" s="163" t="s">
        <v>375</v>
      </c>
      <c r="B228" s="133"/>
      <c r="C228" s="135" t="s">
        <v>475</v>
      </c>
      <c r="D228" s="129" t="s">
        <v>371</v>
      </c>
      <c r="E228" s="165" t="s">
        <v>476</v>
      </c>
      <c r="F228" s="163"/>
      <c r="G228" s="163" t="s">
        <v>321</v>
      </c>
      <c r="H228" s="163"/>
      <c r="I228" s="105"/>
      <c r="J228" s="105" t="s">
        <v>374</v>
      </c>
    </row>
    <row r="229" spans="1:19" ht="25">
      <c r="A229" s="115" t="s">
        <v>375</v>
      </c>
      <c r="B229" s="119" t="s">
        <v>477</v>
      </c>
      <c r="C229" s="105" t="s">
        <v>478</v>
      </c>
      <c r="D229" s="122" t="s">
        <v>371</v>
      </c>
      <c r="E229" s="124" t="s">
        <v>479</v>
      </c>
      <c r="F229" s="115"/>
      <c r="G229" s="115" t="s">
        <v>321</v>
      </c>
      <c r="H229" s="115"/>
      <c r="I229" s="105"/>
      <c r="J229" s="105" t="s">
        <v>374</v>
      </c>
    </row>
    <row r="230" spans="1:19" ht="100">
      <c r="A230" s="135"/>
      <c r="B230" s="133"/>
      <c r="C230" s="135" t="s">
        <v>480</v>
      </c>
      <c r="D230" s="129" t="s">
        <v>371</v>
      </c>
      <c r="E230" s="165" t="s">
        <v>481</v>
      </c>
      <c r="F230" s="163"/>
      <c r="G230" s="163" t="s">
        <v>321</v>
      </c>
      <c r="H230" s="163"/>
      <c r="I230" s="105"/>
      <c r="J230" s="105" t="s">
        <v>374</v>
      </c>
    </row>
    <row r="231" spans="1:19" s="132" customFormat="1">
      <c r="A231" s="118"/>
      <c r="B231" s="120"/>
      <c r="C231" s="118" t="s">
        <v>482</v>
      </c>
      <c r="D231" s="122" t="s">
        <v>371</v>
      </c>
      <c r="E231" s="123" t="s">
        <v>483</v>
      </c>
      <c r="F231" s="122"/>
      <c r="G231" s="122" t="s">
        <v>321</v>
      </c>
      <c r="H231" s="122"/>
      <c r="I231" s="118"/>
      <c r="J231" s="105" t="s">
        <v>374</v>
      </c>
      <c r="K231" s="157"/>
      <c r="L231" s="157"/>
      <c r="M231" s="157"/>
      <c r="N231" s="157"/>
      <c r="O231" s="157"/>
      <c r="P231" s="157"/>
      <c r="Q231" s="157"/>
      <c r="R231" s="157"/>
      <c r="S231" s="157"/>
    </row>
    <row r="232" spans="1:19" s="132" customFormat="1">
      <c r="A232" s="118"/>
      <c r="B232" s="120"/>
      <c r="C232" s="118" t="s">
        <v>482</v>
      </c>
      <c r="D232" s="122" t="s">
        <v>371</v>
      </c>
      <c r="E232" s="123" t="s">
        <v>484</v>
      </c>
      <c r="F232" s="122"/>
      <c r="G232" s="122" t="s">
        <v>321</v>
      </c>
      <c r="H232" s="122"/>
      <c r="I232" s="118"/>
      <c r="J232" s="105" t="s">
        <v>374</v>
      </c>
      <c r="K232" s="157"/>
      <c r="L232" s="157"/>
      <c r="M232" s="157"/>
      <c r="N232" s="157"/>
      <c r="O232" s="157"/>
      <c r="P232" s="157"/>
      <c r="Q232" s="157"/>
      <c r="R232" s="157"/>
      <c r="S232" s="157"/>
    </row>
    <row r="233" spans="1:19" ht="25">
      <c r="A233" s="129" t="s">
        <v>375</v>
      </c>
      <c r="B233" s="137" t="s">
        <v>485</v>
      </c>
      <c r="C233" s="118" t="s">
        <v>486</v>
      </c>
      <c r="D233" s="129" t="s">
        <v>371</v>
      </c>
      <c r="E233" s="128" t="s">
        <v>487</v>
      </c>
      <c r="F233" s="129"/>
      <c r="G233" s="129" t="s">
        <v>321</v>
      </c>
      <c r="H233" s="163"/>
      <c r="I233" s="105"/>
      <c r="J233" s="105" t="s">
        <v>374</v>
      </c>
    </row>
    <row r="234" spans="1:19">
      <c r="A234" s="118"/>
      <c r="B234" s="120"/>
      <c r="C234" s="118" t="s">
        <v>488</v>
      </c>
      <c r="D234" s="122" t="s">
        <v>371</v>
      </c>
      <c r="E234" s="123" t="s">
        <v>489</v>
      </c>
      <c r="F234" s="122"/>
      <c r="G234" s="122" t="s">
        <v>321</v>
      </c>
      <c r="H234" s="115"/>
      <c r="I234" s="105"/>
      <c r="J234" s="105" t="s">
        <v>374</v>
      </c>
    </row>
    <row r="235" spans="1:19">
      <c r="A235" s="118"/>
      <c r="B235" s="120"/>
      <c r="C235" s="118" t="s">
        <v>488</v>
      </c>
      <c r="D235" s="122" t="s">
        <v>371</v>
      </c>
      <c r="E235" s="123" t="s">
        <v>490</v>
      </c>
      <c r="F235" s="122"/>
      <c r="G235" s="122" t="s">
        <v>321</v>
      </c>
      <c r="H235" s="115"/>
      <c r="I235" s="105"/>
      <c r="J235" s="105" t="s">
        <v>374</v>
      </c>
    </row>
    <row r="236" spans="1:19">
      <c r="A236" s="129" t="s">
        <v>375</v>
      </c>
      <c r="B236" s="137" t="s">
        <v>491</v>
      </c>
      <c r="C236" s="127" t="s">
        <v>492</v>
      </c>
      <c r="D236" s="129" t="s">
        <v>371</v>
      </c>
      <c r="E236" s="128" t="s">
        <v>493</v>
      </c>
      <c r="F236" s="129"/>
      <c r="G236" s="129" t="s">
        <v>321</v>
      </c>
      <c r="H236" s="163"/>
      <c r="I236" s="105"/>
      <c r="J236" s="105" t="s">
        <v>374</v>
      </c>
    </row>
    <row r="237" spans="1:19" ht="69.650000000000006" customHeight="1">
      <c r="A237" s="168" t="s">
        <v>494</v>
      </c>
      <c r="B237" s="119" t="s">
        <v>495</v>
      </c>
      <c r="C237" s="118" t="s">
        <v>496</v>
      </c>
      <c r="D237" s="131" t="s">
        <v>371</v>
      </c>
      <c r="E237" s="123" t="s">
        <v>497</v>
      </c>
      <c r="F237" s="131" t="s">
        <v>498</v>
      </c>
      <c r="G237" s="131" t="s">
        <v>321</v>
      </c>
      <c r="H237" s="115"/>
      <c r="I237" s="105"/>
      <c r="J237" s="105" t="s">
        <v>374</v>
      </c>
    </row>
    <row r="238" spans="1:19" ht="62.5">
      <c r="A238" s="168" t="s">
        <v>435</v>
      </c>
      <c r="B238" s="120" t="s">
        <v>499</v>
      </c>
      <c r="C238" s="105" t="s">
        <v>500</v>
      </c>
      <c r="D238" s="122" t="s">
        <v>371</v>
      </c>
      <c r="E238" s="120" t="s">
        <v>501</v>
      </c>
      <c r="F238" s="118"/>
      <c r="G238" s="118" t="s">
        <v>321</v>
      </c>
      <c r="H238" s="115"/>
      <c r="I238" s="105"/>
      <c r="J238" s="105" t="s">
        <v>374</v>
      </c>
    </row>
    <row r="239" spans="1:19" ht="50">
      <c r="A239" s="168" t="s">
        <v>435</v>
      </c>
      <c r="B239" s="120" t="s">
        <v>502</v>
      </c>
      <c r="C239" s="118" t="s">
        <v>503</v>
      </c>
      <c r="D239" s="122" t="s">
        <v>371</v>
      </c>
      <c r="E239" s="123" t="s">
        <v>504</v>
      </c>
      <c r="F239" s="122"/>
      <c r="G239" s="122" t="s">
        <v>321</v>
      </c>
      <c r="H239" s="115"/>
      <c r="I239" s="105"/>
      <c r="J239" s="105" t="s">
        <v>374</v>
      </c>
    </row>
    <row r="240" spans="1:19" ht="25">
      <c r="A240" s="122" t="s">
        <v>375</v>
      </c>
      <c r="B240" s="120" t="s">
        <v>464</v>
      </c>
      <c r="C240" s="118" t="s">
        <v>505</v>
      </c>
      <c r="D240" s="122" t="s">
        <v>371</v>
      </c>
      <c r="E240" s="123" t="s">
        <v>506</v>
      </c>
      <c r="F240" s="122"/>
      <c r="G240" s="122" t="s">
        <v>321</v>
      </c>
      <c r="H240" s="115"/>
      <c r="I240" s="105"/>
      <c r="J240" s="105" t="s">
        <v>374</v>
      </c>
    </row>
    <row r="241" spans="1:10" ht="25">
      <c r="A241" s="118"/>
      <c r="B241" s="120"/>
      <c r="C241" s="118" t="s">
        <v>507</v>
      </c>
      <c r="D241" s="122" t="s">
        <v>371</v>
      </c>
      <c r="E241" s="123" t="s">
        <v>508</v>
      </c>
      <c r="F241" s="122"/>
      <c r="G241" s="122" t="s">
        <v>321</v>
      </c>
      <c r="H241" s="115"/>
      <c r="I241" s="105"/>
      <c r="J241" s="105" t="s">
        <v>374</v>
      </c>
    </row>
    <row r="242" spans="1:10" ht="37.5">
      <c r="A242" s="122" t="s">
        <v>375</v>
      </c>
      <c r="B242" s="119" t="s">
        <v>469</v>
      </c>
      <c r="C242" s="118" t="s">
        <v>509</v>
      </c>
      <c r="D242" s="122" t="s">
        <v>371</v>
      </c>
      <c r="E242" s="124" t="s">
        <v>510</v>
      </c>
      <c r="F242" s="115"/>
      <c r="G242" s="122" t="s">
        <v>321</v>
      </c>
      <c r="H242" s="115"/>
      <c r="I242" s="105"/>
      <c r="J242" s="105" t="s">
        <v>374</v>
      </c>
    </row>
    <row r="243" spans="1:10" ht="25">
      <c r="A243" s="122" t="s">
        <v>375</v>
      </c>
      <c r="B243" s="120" t="s">
        <v>472</v>
      </c>
      <c r="C243" s="118" t="s">
        <v>511</v>
      </c>
      <c r="D243" s="122" t="s">
        <v>371</v>
      </c>
      <c r="E243" s="123" t="s">
        <v>512</v>
      </c>
      <c r="F243" s="122"/>
      <c r="G243" s="122" t="s">
        <v>321</v>
      </c>
      <c r="H243" s="115"/>
      <c r="I243" s="105"/>
      <c r="J243" s="105" t="s">
        <v>374</v>
      </c>
    </row>
    <row r="244" spans="1:10" ht="37.5">
      <c r="A244" s="118"/>
      <c r="B244" s="120"/>
      <c r="C244" s="118" t="s">
        <v>513</v>
      </c>
      <c r="D244" s="122" t="s">
        <v>371</v>
      </c>
      <c r="E244" s="123" t="s">
        <v>514</v>
      </c>
      <c r="F244" s="122"/>
      <c r="G244" s="122" t="s">
        <v>321</v>
      </c>
      <c r="H244" s="115"/>
      <c r="I244" s="105"/>
      <c r="J244" s="105" t="s">
        <v>374</v>
      </c>
    </row>
    <row r="245" spans="1:10" ht="25">
      <c r="A245" s="122" t="s">
        <v>375</v>
      </c>
      <c r="B245" s="120" t="s">
        <v>477</v>
      </c>
      <c r="C245" s="118" t="s">
        <v>515</v>
      </c>
      <c r="D245" s="122" t="s">
        <v>371</v>
      </c>
      <c r="E245" s="123" t="s">
        <v>516</v>
      </c>
      <c r="F245" s="122"/>
      <c r="G245" s="122" t="s">
        <v>321</v>
      </c>
      <c r="H245" s="115"/>
      <c r="I245" s="105"/>
      <c r="J245" s="105" t="s">
        <v>374</v>
      </c>
    </row>
    <row r="246" spans="1:10" ht="100">
      <c r="A246" s="127"/>
      <c r="B246" s="137"/>
      <c r="C246" s="127" t="s">
        <v>517</v>
      </c>
      <c r="D246" s="129" t="s">
        <v>371</v>
      </c>
      <c r="E246" s="128" t="s">
        <v>518</v>
      </c>
      <c r="F246" s="129"/>
      <c r="G246" s="129" t="s">
        <v>321</v>
      </c>
      <c r="H246" s="163"/>
      <c r="I246" s="105"/>
      <c r="J246" s="105" t="s">
        <v>374</v>
      </c>
    </row>
    <row r="247" spans="1:10">
      <c r="A247" s="118"/>
      <c r="B247" s="120"/>
      <c r="C247" s="118" t="s">
        <v>482</v>
      </c>
      <c r="D247" s="122" t="s">
        <v>371</v>
      </c>
      <c r="E247" s="123" t="s">
        <v>519</v>
      </c>
      <c r="F247" s="122"/>
      <c r="G247" s="122" t="s">
        <v>321</v>
      </c>
      <c r="H247" s="115"/>
      <c r="I247" s="105"/>
      <c r="J247" s="105" t="s">
        <v>374</v>
      </c>
    </row>
    <row r="248" spans="1:10">
      <c r="A248" s="118"/>
      <c r="B248" s="120"/>
      <c r="C248" s="118" t="s">
        <v>482</v>
      </c>
      <c r="D248" s="122" t="s">
        <v>371</v>
      </c>
      <c r="E248" s="123" t="s">
        <v>520</v>
      </c>
      <c r="F248" s="122"/>
      <c r="G248" s="122" t="s">
        <v>321</v>
      </c>
      <c r="H248" s="115"/>
      <c r="I248" s="105"/>
      <c r="J248" s="105" t="s">
        <v>374</v>
      </c>
    </row>
    <row r="249" spans="1:10" ht="25">
      <c r="A249" s="129" t="s">
        <v>375</v>
      </c>
      <c r="B249" s="137" t="s">
        <v>485</v>
      </c>
      <c r="C249" s="157" t="s">
        <v>521</v>
      </c>
      <c r="D249" s="129" t="s">
        <v>371</v>
      </c>
      <c r="E249" s="128" t="s">
        <v>522</v>
      </c>
      <c r="F249" s="129"/>
      <c r="G249" s="129" t="s">
        <v>321</v>
      </c>
      <c r="H249" s="163"/>
      <c r="I249" s="105"/>
      <c r="J249" s="105" t="s">
        <v>374</v>
      </c>
    </row>
    <row r="250" spans="1:10">
      <c r="A250" s="118"/>
      <c r="B250" s="120"/>
      <c r="C250" s="118" t="s">
        <v>482</v>
      </c>
      <c r="D250" s="122" t="s">
        <v>371</v>
      </c>
      <c r="E250" s="123" t="s">
        <v>523</v>
      </c>
      <c r="F250" s="122"/>
      <c r="G250" s="122" t="s">
        <v>321</v>
      </c>
      <c r="H250" s="115"/>
      <c r="I250" s="105"/>
      <c r="J250" s="105" t="s">
        <v>374</v>
      </c>
    </row>
    <row r="251" spans="1:10">
      <c r="A251" s="118"/>
      <c r="B251" s="120"/>
      <c r="C251" s="118" t="s">
        <v>482</v>
      </c>
      <c r="D251" s="122" t="s">
        <v>371</v>
      </c>
      <c r="E251" s="123" t="s">
        <v>524</v>
      </c>
      <c r="F251" s="122"/>
      <c r="G251" s="122" t="s">
        <v>321</v>
      </c>
      <c r="H251" s="115"/>
      <c r="I251" s="105"/>
      <c r="J251" s="105" t="s">
        <v>374</v>
      </c>
    </row>
    <row r="252" spans="1:10">
      <c r="A252" s="118"/>
      <c r="B252" s="120"/>
      <c r="C252" s="118" t="s">
        <v>482</v>
      </c>
      <c r="D252" s="122" t="s">
        <v>371</v>
      </c>
      <c r="E252" s="123" t="s">
        <v>525</v>
      </c>
      <c r="F252" s="122"/>
      <c r="G252" s="122" t="s">
        <v>321</v>
      </c>
      <c r="H252" s="115"/>
      <c r="I252" s="105"/>
      <c r="J252" s="105" t="s">
        <v>374</v>
      </c>
    </row>
    <row r="253" spans="1:10">
      <c r="A253" s="118"/>
      <c r="B253" s="120"/>
      <c r="C253" s="118" t="s">
        <v>482</v>
      </c>
      <c r="D253" s="122" t="s">
        <v>371</v>
      </c>
      <c r="E253" s="123" t="s">
        <v>526</v>
      </c>
      <c r="F253" s="122"/>
      <c r="G253" s="122" t="s">
        <v>321</v>
      </c>
      <c r="H253" s="115"/>
      <c r="I253" s="105"/>
      <c r="J253" s="105" t="s">
        <v>374</v>
      </c>
    </row>
    <row r="254" spans="1:10">
      <c r="A254" s="127"/>
      <c r="B254" s="137"/>
      <c r="C254" s="127" t="s">
        <v>527</v>
      </c>
      <c r="D254" s="129" t="s">
        <v>371</v>
      </c>
      <c r="E254" s="128" t="s">
        <v>528</v>
      </c>
      <c r="F254" s="129"/>
      <c r="G254" s="129" t="s">
        <v>321</v>
      </c>
      <c r="H254" s="163"/>
      <c r="I254" s="105"/>
      <c r="J254" s="105" t="s">
        <v>374</v>
      </c>
    </row>
    <row r="255" spans="1:10">
      <c r="A255" s="127"/>
      <c r="B255" s="137"/>
      <c r="C255" s="127" t="s">
        <v>529</v>
      </c>
      <c r="D255" s="129" t="s">
        <v>371</v>
      </c>
      <c r="E255" s="128" t="s">
        <v>530</v>
      </c>
      <c r="F255" s="129"/>
      <c r="G255" s="129" t="s">
        <v>321</v>
      </c>
      <c r="H255" s="163"/>
      <c r="I255" s="105"/>
      <c r="J255" s="105" t="s">
        <v>374</v>
      </c>
    </row>
    <row r="256" spans="1:10" ht="25">
      <c r="A256" s="127"/>
      <c r="B256" s="137"/>
      <c r="C256" s="127" t="s">
        <v>531</v>
      </c>
      <c r="D256" s="129" t="s">
        <v>371</v>
      </c>
      <c r="E256" s="128" t="s">
        <v>532</v>
      </c>
      <c r="F256" s="129"/>
      <c r="G256" s="129" t="s">
        <v>321</v>
      </c>
      <c r="H256" s="163"/>
      <c r="I256" s="105"/>
      <c r="J256" s="105" t="s">
        <v>374</v>
      </c>
    </row>
    <row r="257" spans="1:10" ht="25">
      <c r="A257" s="127"/>
      <c r="B257" s="137"/>
      <c r="C257" s="127" t="s">
        <v>533</v>
      </c>
      <c r="D257" s="129" t="s">
        <v>371</v>
      </c>
      <c r="E257" s="128" t="s">
        <v>534</v>
      </c>
      <c r="F257" s="129"/>
      <c r="G257" s="129" t="s">
        <v>321</v>
      </c>
      <c r="H257" s="163"/>
      <c r="I257" s="105"/>
      <c r="J257" s="105" t="s">
        <v>374</v>
      </c>
    </row>
    <row r="258" spans="1:10" ht="25">
      <c r="A258" s="127"/>
      <c r="B258" s="137"/>
      <c r="C258" s="127" t="s">
        <v>535</v>
      </c>
      <c r="D258" s="129" t="s">
        <v>371</v>
      </c>
      <c r="E258" s="128" t="s">
        <v>536</v>
      </c>
      <c r="F258" s="129"/>
      <c r="G258" s="129" t="s">
        <v>321</v>
      </c>
      <c r="H258" s="163"/>
      <c r="I258" s="105"/>
      <c r="J258" s="105" t="s">
        <v>374</v>
      </c>
    </row>
    <row r="259" spans="1:10" ht="25">
      <c r="A259" s="127"/>
      <c r="B259" s="137"/>
      <c r="C259" s="127" t="s">
        <v>537</v>
      </c>
      <c r="D259" s="129" t="s">
        <v>371</v>
      </c>
      <c r="E259" s="128" t="s">
        <v>538</v>
      </c>
      <c r="F259" s="129"/>
      <c r="G259" s="129" t="s">
        <v>321</v>
      </c>
      <c r="H259" s="163"/>
      <c r="I259" s="105"/>
      <c r="J259" s="105" t="s">
        <v>374</v>
      </c>
    </row>
    <row r="260" spans="1:10">
      <c r="A260" s="127"/>
      <c r="B260" s="137"/>
      <c r="C260" s="127" t="s">
        <v>539</v>
      </c>
      <c r="D260" s="129" t="s">
        <v>371</v>
      </c>
      <c r="E260" s="128" t="s">
        <v>540</v>
      </c>
      <c r="F260" s="129"/>
      <c r="G260" s="129" t="s">
        <v>321</v>
      </c>
      <c r="H260" s="163"/>
      <c r="I260" s="105"/>
      <c r="J260" s="105" t="s">
        <v>374</v>
      </c>
    </row>
    <row r="261" spans="1:10" ht="25">
      <c r="A261" s="127"/>
      <c r="B261" s="137"/>
      <c r="C261" s="127" t="s">
        <v>541</v>
      </c>
      <c r="D261" s="129" t="s">
        <v>371</v>
      </c>
      <c r="E261" s="128" t="s">
        <v>542</v>
      </c>
      <c r="F261" s="129"/>
      <c r="G261" s="129" t="s">
        <v>321</v>
      </c>
      <c r="H261" s="163"/>
      <c r="I261" s="105"/>
      <c r="J261" s="105" t="s">
        <v>374</v>
      </c>
    </row>
    <row r="262" spans="1:10">
      <c r="A262" s="127"/>
      <c r="B262" s="137"/>
      <c r="C262" s="127" t="s">
        <v>543</v>
      </c>
      <c r="D262" s="129" t="s">
        <v>371</v>
      </c>
      <c r="E262" s="128" t="s">
        <v>544</v>
      </c>
      <c r="F262" s="129"/>
      <c r="G262" s="129" t="s">
        <v>321</v>
      </c>
      <c r="H262" s="163"/>
      <c r="I262" s="105"/>
      <c r="J262" s="105" t="s">
        <v>374</v>
      </c>
    </row>
    <row r="263" spans="1:10">
      <c r="A263" s="127"/>
      <c r="B263" s="137"/>
      <c r="C263" s="127">
        <v>0</v>
      </c>
      <c r="D263" s="129" t="s">
        <v>371</v>
      </c>
      <c r="E263" s="128" t="s">
        <v>545</v>
      </c>
      <c r="F263" s="129"/>
      <c r="G263" s="129" t="s">
        <v>321</v>
      </c>
      <c r="H263" s="163"/>
      <c r="I263" s="105"/>
      <c r="J263" s="105" t="s">
        <v>374</v>
      </c>
    </row>
    <row r="264" spans="1:10">
      <c r="A264" s="127"/>
      <c r="B264" s="137"/>
      <c r="C264" s="127">
        <v>0</v>
      </c>
      <c r="D264" s="129" t="s">
        <v>371</v>
      </c>
      <c r="E264" s="128" t="s">
        <v>546</v>
      </c>
      <c r="F264" s="129"/>
      <c r="G264" s="129" t="s">
        <v>321</v>
      </c>
      <c r="H264" s="163"/>
      <c r="I264" s="105"/>
      <c r="J264" s="105" t="s">
        <v>374</v>
      </c>
    </row>
    <row r="265" spans="1:10">
      <c r="A265" s="127"/>
      <c r="B265" s="137"/>
      <c r="C265" s="127" t="s">
        <v>547</v>
      </c>
      <c r="D265" s="129" t="s">
        <v>371</v>
      </c>
      <c r="E265" s="128" t="s">
        <v>548</v>
      </c>
      <c r="F265" s="129"/>
      <c r="G265" s="129" t="s">
        <v>321</v>
      </c>
      <c r="H265" s="163"/>
      <c r="I265" s="105"/>
      <c r="J265" s="105" t="s">
        <v>374</v>
      </c>
    </row>
    <row r="266" spans="1:10">
      <c r="A266" s="127"/>
      <c r="B266" s="137"/>
      <c r="C266" s="127" t="s">
        <v>549</v>
      </c>
      <c r="D266" s="129" t="s">
        <v>371</v>
      </c>
      <c r="E266" s="128" t="s">
        <v>550</v>
      </c>
      <c r="F266" s="129"/>
      <c r="G266" s="129" t="s">
        <v>321</v>
      </c>
      <c r="H266" s="163"/>
      <c r="I266" s="105"/>
      <c r="J266" s="105" t="s">
        <v>374</v>
      </c>
    </row>
    <row r="267" spans="1:10">
      <c r="A267" s="127"/>
      <c r="B267" s="137"/>
      <c r="C267" s="127" t="s">
        <v>551</v>
      </c>
      <c r="D267" s="129" t="s">
        <v>371</v>
      </c>
      <c r="E267" s="128" t="s">
        <v>552</v>
      </c>
      <c r="F267" s="129"/>
      <c r="G267" s="129" t="s">
        <v>321</v>
      </c>
      <c r="H267" s="163"/>
      <c r="I267" s="105"/>
      <c r="J267" s="105" t="s">
        <v>374</v>
      </c>
    </row>
    <row r="268" spans="1:10">
      <c r="A268" s="127"/>
      <c r="B268" s="137"/>
      <c r="C268" s="127">
        <v>0</v>
      </c>
      <c r="D268" s="129" t="s">
        <v>371</v>
      </c>
      <c r="E268" s="128" t="s">
        <v>553</v>
      </c>
      <c r="F268" s="129"/>
      <c r="G268" s="129" t="s">
        <v>321</v>
      </c>
      <c r="H268" s="163"/>
      <c r="I268" s="105"/>
      <c r="J268" s="105" t="s">
        <v>374</v>
      </c>
    </row>
    <row r="269" spans="1:10" ht="25">
      <c r="A269" s="163"/>
      <c r="B269" s="133"/>
      <c r="C269" s="135" t="s">
        <v>554</v>
      </c>
      <c r="D269" s="129" t="s">
        <v>371</v>
      </c>
      <c r="E269" s="165" t="s">
        <v>555</v>
      </c>
      <c r="F269" s="163" t="s">
        <v>556</v>
      </c>
      <c r="G269" s="163" t="s">
        <v>321</v>
      </c>
      <c r="H269" s="163"/>
      <c r="I269" s="105"/>
      <c r="J269" s="105" t="s">
        <v>374</v>
      </c>
    </row>
    <row r="270" spans="1:10">
      <c r="A270" s="163" t="s">
        <v>557</v>
      </c>
      <c r="B270" s="133" t="s">
        <v>558</v>
      </c>
      <c r="C270" s="135" t="s">
        <v>93</v>
      </c>
      <c r="D270" s="129" t="s">
        <v>371</v>
      </c>
      <c r="E270" s="165" t="s">
        <v>559</v>
      </c>
      <c r="F270" s="163"/>
      <c r="G270" s="163" t="s">
        <v>373</v>
      </c>
      <c r="H270" s="163"/>
      <c r="I270" s="105"/>
      <c r="J270" s="105" t="s">
        <v>374</v>
      </c>
    </row>
    <row r="271" spans="1:10" ht="112.5">
      <c r="A271" s="127" t="s">
        <v>560</v>
      </c>
      <c r="B271" s="136" t="s">
        <v>561</v>
      </c>
      <c r="C271" s="127" t="s">
        <v>562</v>
      </c>
      <c r="D271" s="134" t="s">
        <v>371</v>
      </c>
      <c r="E271" s="133" t="s">
        <v>563</v>
      </c>
      <c r="F271" s="134" t="s">
        <v>564</v>
      </c>
      <c r="G271" s="134" t="s">
        <v>321</v>
      </c>
      <c r="H271" s="127" t="s">
        <v>565</v>
      </c>
      <c r="I271" s="105"/>
      <c r="J271" s="105" t="s">
        <v>374</v>
      </c>
    </row>
    <row r="272" spans="1:10" ht="112.5">
      <c r="A272" s="127" t="s">
        <v>560</v>
      </c>
      <c r="B272" s="136" t="s">
        <v>561</v>
      </c>
      <c r="C272" s="127" t="s">
        <v>566</v>
      </c>
      <c r="D272" s="134" t="s">
        <v>371</v>
      </c>
      <c r="E272" s="133" t="s">
        <v>567</v>
      </c>
      <c r="F272" s="134" t="s">
        <v>568</v>
      </c>
      <c r="G272" s="134" t="s">
        <v>321</v>
      </c>
      <c r="H272" s="127" t="s">
        <v>565</v>
      </c>
      <c r="I272" s="105"/>
      <c r="J272" s="105" t="s">
        <v>374</v>
      </c>
    </row>
    <row r="273" spans="1:10" ht="162.5">
      <c r="A273" s="127" t="s">
        <v>560</v>
      </c>
      <c r="B273" s="136" t="s">
        <v>569</v>
      </c>
      <c r="C273" s="135" t="s">
        <v>570</v>
      </c>
      <c r="D273" s="134" t="s">
        <v>371</v>
      </c>
      <c r="E273" s="133" t="s">
        <v>571</v>
      </c>
      <c r="F273" s="134" t="s">
        <v>572</v>
      </c>
      <c r="G273" s="134" t="s">
        <v>321</v>
      </c>
      <c r="H273" s="127" t="s">
        <v>565</v>
      </c>
      <c r="I273" s="105"/>
      <c r="J273" s="105" t="s">
        <v>374</v>
      </c>
    </row>
    <row r="274" spans="1:10" ht="162.5">
      <c r="A274" s="127" t="s">
        <v>573</v>
      </c>
      <c r="B274" s="136" t="s">
        <v>569</v>
      </c>
      <c r="C274" s="135" t="s">
        <v>574</v>
      </c>
      <c r="D274" s="134" t="s">
        <v>371</v>
      </c>
      <c r="E274" s="133" t="s">
        <v>575</v>
      </c>
      <c r="F274" s="134" t="s">
        <v>576</v>
      </c>
      <c r="G274" s="134" t="s">
        <v>321</v>
      </c>
      <c r="H274" s="127" t="s">
        <v>565</v>
      </c>
      <c r="I274" s="105"/>
      <c r="J274" s="105" t="s">
        <v>374</v>
      </c>
    </row>
    <row r="275" spans="1:10" ht="37.5">
      <c r="A275" s="134" t="s">
        <v>371</v>
      </c>
      <c r="B275" s="136" t="s">
        <v>577</v>
      </c>
      <c r="C275" s="127" t="s">
        <v>578</v>
      </c>
      <c r="D275" s="134" t="s">
        <v>371</v>
      </c>
      <c r="E275" s="137" t="s">
        <v>579</v>
      </c>
      <c r="F275" s="134"/>
      <c r="G275" s="134" t="s">
        <v>321</v>
      </c>
      <c r="H275" s="129"/>
      <c r="I275" s="105"/>
      <c r="J275" s="105" t="s">
        <v>374</v>
      </c>
    </row>
    <row r="276" spans="1:10" ht="37.5">
      <c r="A276" s="134" t="s">
        <v>371</v>
      </c>
      <c r="B276" s="136" t="s">
        <v>580</v>
      </c>
      <c r="C276" s="127" t="s">
        <v>581</v>
      </c>
      <c r="D276" s="134" t="s">
        <v>371</v>
      </c>
      <c r="E276" s="137" t="s">
        <v>582</v>
      </c>
      <c r="F276" s="134"/>
      <c r="G276" s="134" t="s">
        <v>321</v>
      </c>
      <c r="H276" s="129"/>
      <c r="I276" s="105"/>
      <c r="J276" s="105" t="s">
        <v>374</v>
      </c>
    </row>
    <row r="277" spans="1:10" ht="137.5">
      <c r="A277" s="127" t="s">
        <v>573</v>
      </c>
      <c r="B277" s="136" t="s">
        <v>569</v>
      </c>
      <c r="C277" s="135" t="s">
        <v>583</v>
      </c>
      <c r="D277" s="134" t="s">
        <v>371</v>
      </c>
      <c r="E277" s="133" t="s">
        <v>584</v>
      </c>
      <c r="F277" s="134" t="s">
        <v>572</v>
      </c>
      <c r="G277" s="134" t="s">
        <v>321</v>
      </c>
      <c r="H277" s="127" t="s">
        <v>565</v>
      </c>
      <c r="I277" s="105"/>
      <c r="J277" s="105" t="s">
        <v>374</v>
      </c>
    </row>
    <row r="278" spans="1:10" ht="112.5">
      <c r="A278" s="127" t="s">
        <v>573</v>
      </c>
      <c r="B278" s="136" t="s">
        <v>569</v>
      </c>
      <c r="C278" s="135" t="s">
        <v>585</v>
      </c>
      <c r="D278" s="134" t="s">
        <v>371</v>
      </c>
      <c r="E278" s="133" t="s">
        <v>586</v>
      </c>
      <c r="F278" s="134" t="s">
        <v>576</v>
      </c>
      <c r="G278" s="134" t="s">
        <v>321</v>
      </c>
      <c r="H278" s="127" t="s">
        <v>565</v>
      </c>
      <c r="I278" s="105"/>
      <c r="J278" s="105" t="s">
        <v>374</v>
      </c>
    </row>
    <row r="279" spans="1:10" ht="138">
      <c r="A279" s="127" t="s">
        <v>587</v>
      </c>
      <c r="B279" s="136" t="s">
        <v>588</v>
      </c>
      <c r="C279" s="118" t="s">
        <v>589</v>
      </c>
      <c r="D279" s="131" t="s">
        <v>371</v>
      </c>
      <c r="E279" s="119" t="s">
        <v>590</v>
      </c>
      <c r="F279" s="131" t="s">
        <v>591</v>
      </c>
      <c r="G279" s="131" t="s">
        <v>321</v>
      </c>
      <c r="H279" s="118" t="s">
        <v>592</v>
      </c>
      <c r="I279" s="105"/>
      <c r="J279" s="105" t="s">
        <v>374</v>
      </c>
    </row>
    <row r="280" spans="1:10" ht="150.5">
      <c r="A280" s="127" t="s">
        <v>587</v>
      </c>
      <c r="B280" s="136" t="s">
        <v>588</v>
      </c>
      <c r="C280" s="169" t="s">
        <v>593</v>
      </c>
      <c r="D280" s="149" t="s">
        <v>371</v>
      </c>
      <c r="E280" s="119" t="s">
        <v>594</v>
      </c>
      <c r="F280" s="131" t="s">
        <v>595</v>
      </c>
      <c r="G280" s="131" t="s">
        <v>321</v>
      </c>
      <c r="H280" s="118" t="s">
        <v>592</v>
      </c>
      <c r="I280" s="105"/>
      <c r="J280" s="105" t="s">
        <v>374</v>
      </c>
    </row>
    <row r="281" spans="1:10" ht="25">
      <c r="A281" s="134" t="s">
        <v>371</v>
      </c>
      <c r="B281" s="136" t="s">
        <v>596</v>
      </c>
      <c r="C281" s="135" t="s">
        <v>597</v>
      </c>
      <c r="D281" s="134" t="s">
        <v>371</v>
      </c>
      <c r="E281" s="128" t="s">
        <v>598</v>
      </c>
      <c r="F281" s="134"/>
      <c r="G281" s="134" t="s">
        <v>321</v>
      </c>
      <c r="H281" s="163"/>
      <c r="I281" s="105"/>
      <c r="J281" s="105" t="s">
        <v>374</v>
      </c>
    </row>
    <row r="282" spans="1:10" ht="25">
      <c r="A282" s="134" t="s">
        <v>371</v>
      </c>
      <c r="B282" s="136" t="s">
        <v>599</v>
      </c>
      <c r="C282" s="135" t="s">
        <v>600</v>
      </c>
      <c r="D282" s="134" t="s">
        <v>371</v>
      </c>
      <c r="E282" s="128" t="s">
        <v>601</v>
      </c>
      <c r="F282" s="134" t="s">
        <v>602</v>
      </c>
      <c r="G282" s="134" t="s">
        <v>321</v>
      </c>
      <c r="H282" s="163"/>
      <c r="I282" s="105"/>
      <c r="J282" s="105" t="s">
        <v>374</v>
      </c>
    </row>
    <row r="283" spans="1:10">
      <c r="A283" s="131"/>
      <c r="B283" s="138"/>
      <c r="C283" s="105">
        <v>0</v>
      </c>
      <c r="D283" s="131" t="s">
        <v>371</v>
      </c>
      <c r="E283" s="123" t="s">
        <v>603</v>
      </c>
      <c r="F283" s="131"/>
      <c r="G283" s="131" t="s">
        <v>321</v>
      </c>
      <c r="H283" s="115"/>
      <c r="I283" s="105"/>
      <c r="J283" s="105" t="s">
        <v>374</v>
      </c>
    </row>
    <row r="284" spans="1:10">
      <c r="A284" s="131"/>
      <c r="B284" s="138"/>
      <c r="C284" s="105">
        <v>0</v>
      </c>
      <c r="D284" s="131" t="s">
        <v>371</v>
      </c>
      <c r="E284" s="123" t="s">
        <v>604</v>
      </c>
      <c r="F284" s="131"/>
      <c r="G284" s="131" t="s">
        <v>321</v>
      </c>
      <c r="H284" s="115"/>
      <c r="I284" s="105"/>
      <c r="J284" s="105" t="s">
        <v>374</v>
      </c>
    </row>
    <row r="285" spans="1:10" ht="112.5">
      <c r="A285" s="134" t="s">
        <v>371</v>
      </c>
      <c r="B285" s="136" t="s">
        <v>605</v>
      </c>
      <c r="C285" s="135" t="s">
        <v>606</v>
      </c>
      <c r="D285" s="134" t="s">
        <v>371</v>
      </c>
      <c r="E285" s="128" t="s">
        <v>607</v>
      </c>
      <c r="F285" s="134"/>
      <c r="G285" s="134" t="s">
        <v>321</v>
      </c>
      <c r="H285" s="163"/>
      <c r="I285" s="105"/>
      <c r="J285" s="105" t="s">
        <v>374</v>
      </c>
    </row>
    <row r="286" spans="1:10" ht="112.5">
      <c r="A286" s="134" t="s">
        <v>371</v>
      </c>
      <c r="B286" s="136" t="s">
        <v>605</v>
      </c>
      <c r="C286" s="135" t="s">
        <v>608</v>
      </c>
      <c r="D286" s="134" t="s">
        <v>371</v>
      </c>
      <c r="E286" s="128" t="s">
        <v>609</v>
      </c>
      <c r="F286" s="134"/>
      <c r="G286" s="134" t="s">
        <v>321</v>
      </c>
      <c r="H286" s="163"/>
      <c r="I286" s="105"/>
      <c r="J286" s="105" t="s">
        <v>374</v>
      </c>
    </row>
    <row r="287" spans="1:10" ht="25">
      <c r="A287" s="134" t="s">
        <v>371</v>
      </c>
      <c r="B287" s="136" t="s">
        <v>610</v>
      </c>
      <c r="C287" s="127" t="s">
        <v>611</v>
      </c>
      <c r="D287" s="134" t="s">
        <v>371</v>
      </c>
      <c r="E287" s="128" t="s">
        <v>612</v>
      </c>
      <c r="F287" s="134"/>
      <c r="G287" s="134" t="s">
        <v>321</v>
      </c>
      <c r="H287" s="163"/>
      <c r="I287" s="105"/>
      <c r="J287" s="105" t="s">
        <v>374</v>
      </c>
    </row>
    <row r="288" spans="1:10" ht="25">
      <c r="A288" s="134" t="s">
        <v>371</v>
      </c>
      <c r="B288" s="136" t="s">
        <v>613</v>
      </c>
      <c r="C288" s="139" t="s">
        <v>614</v>
      </c>
      <c r="D288" s="134" t="s">
        <v>371</v>
      </c>
      <c r="E288" s="128" t="s">
        <v>615</v>
      </c>
      <c r="F288" s="134"/>
      <c r="G288" s="134" t="s">
        <v>321</v>
      </c>
      <c r="H288" s="163"/>
      <c r="I288" s="105"/>
      <c r="J288" s="105" t="s">
        <v>374</v>
      </c>
    </row>
    <row r="289" spans="1:19" ht="25">
      <c r="A289" s="134" t="s">
        <v>371</v>
      </c>
      <c r="B289" s="136" t="s">
        <v>616</v>
      </c>
      <c r="C289" s="139" t="s">
        <v>617</v>
      </c>
      <c r="D289" s="134" t="s">
        <v>371</v>
      </c>
      <c r="E289" s="128" t="s">
        <v>618</v>
      </c>
      <c r="F289" s="134"/>
      <c r="G289" s="134" t="s">
        <v>321</v>
      </c>
      <c r="H289" s="163"/>
      <c r="I289" s="105"/>
      <c r="J289" s="105" t="s">
        <v>374</v>
      </c>
    </row>
    <row r="290" spans="1:19" ht="25">
      <c r="A290" s="134" t="s">
        <v>371</v>
      </c>
      <c r="B290" s="136" t="s">
        <v>619</v>
      </c>
      <c r="C290" s="139" t="s">
        <v>620</v>
      </c>
      <c r="D290" s="134" t="s">
        <v>371</v>
      </c>
      <c r="E290" s="128" t="s">
        <v>621</v>
      </c>
      <c r="F290" s="134"/>
      <c r="G290" s="134" t="s">
        <v>321</v>
      </c>
      <c r="H290" s="163"/>
      <c r="I290" s="105"/>
      <c r="J290" s="105" t="s">
        <v>374</v>
      </c>
    </row>
    <row r="291" spans="1:19" ht="25">
      <c r="A291" s="134" t="s">
        <v>371</v>
      </c>
      <c r="B291" s="136" t="s">
        <v>622</v>
      </c>
      <c r="C291" s="139" t="s">
        <v>623</v>
      </c>
      <c r="D291" s="134" t="s">
        <v>371</v>
      </c>
      <c r="E291" s="128" t="s">
        <v>624</v>
      </c>
      <c r="F291" s="134"/>
      <c r="G291" s="134" t="s">
        <v>321</v>
      </c>
      <c r="H291" s="163"/>
      <c r="I291" s="105"/>
      <c r="J291" s="105" t="s">
        <v>374</v>
      </c>
    </row>
    <row r="292" spans="1:19" ht="25">
      <c r="A292" s="134" t="s">
        <v>371</v>
      </c>
      <c r="B292" s="136" t="s">
        <v>625</v>
      </c>
      <c r="C292" s="139" t="s">
        <v>626</v>
      </c>
      <c r="D292" s="134" t="s">
        <v>371</v>
      </c>
      <c r="E292" s="128" t="s">
        <v>627</v>
      </c>
      <c r="F292" s="134"/>
      <c r="G292" s="134" t="s">
        <v>321</v>
      </c>
      <c r="H292" s="163"/>
      <c r="I292" s="105"/>
      <c r="J292" s="105" t="s">
        <v>374</v>
      </c>
    </row>
    <row r="293" spans="1:19">
      <c r="A293" s="134" t="s">
        <v>371</v>
      </c>
      <c r="B293" s="136" t="s">
        <v>628</v>
      </c>
      <c r="C293" s="135" t="s">
        <v>629</v>
      </c>
      <c r="D293" s="134" t="s">
        <v>371</v>
      </c>
      <c r="E293" s="128" t="s">
        <v>630</v>
      </c>
      <c r="F293" s="134"/>
      <c r="G293" s="134" t="s">
        <v>321</v>
      </c>
      <c r="H293" s="163"/>
      <c r="I293" s="105"/>
      <c r="J293" s="105" t="s">
        <v>374</v>
      </c>
    </row>
    <row r="294" spans="1:19">
      <c r="A294" s="134" t="s">
        <v>375</v>
      </c>
      <c r="B294" s="136" t="s">
        <v>631</v>
      </c>
      <c r="C294" s="140" t="s">
        <v>631</v>
      </c>
      <c r="D294" s="134" t="s">
        <v>371</v>
      </c>
      <c r="E294" s="128" t="s">
        <v>632</v>
      </c>
      <c r="F294" s="134"/>
      <c r="G294" s="134" t="s">
        <v>373</v>
      </c>
      <c r="H294" s="163"/>
      <c r="I294" s="105"/>
      <c r="J294" s="105" t="s">
        <v>374</v>
      </c>
    </row>
    <row r="295" spans="1:19">
      <c r="A295" s="131" t="s">
        <v>375</v>
      </c>
      <c r="B295" s="120" t="s">
        <v>633</v>
      </c>
      <c r="C295" s="141"/>
      <c r="D295" s="142" t="s">
        <v>371</v>
      </c>
      <c r="E295" s="123" t="s">
        <v>175</v>
      </c>
      <c r="F295" s="142"/>
      <c r="G295" s="142" t="s">
        <v>321</v>
      </c>
      <c r="H295" s="142"/>
      <c r="I295" s="105"/>
      <c r="J295" s="105" t="s">
        <v>374</v>
      </c>
    </row>
    <row r="296" spans="1:19">
      <c r="A296" s="131" t="s">
        <v>375</v>
      </c>
      <c r="B296" s="120" t="s">
        <v>634</v>
      </c>
      <c r="C296" s="105" t="s">
        <v>93</v>
      </c>
      <c r="D296" s="142" t="s">
        <v>371</v>
      </c>
      <c r="E296" s="123" t="s">
        <v>635</v>
      </c>
      <c r="F296" s="142"/>
      <c r="G296" s="142" t="s">
        <v>321</v>
      </c>
      <c r="H296" s="142"/>
      <c r="I296" s="105"/>
      <c r="J296" s="105" t="s">
        <v>374</v>
      </c>
    </row>
    <row r="297" spans="1:19">
      <c r="A297" s="131" t="s">
        <v>375</v>
      </c>
      <c r="B297" s="120" t="s">
        <v>636</v>
      </c>
      <c r="C297" s="105" t="s">
        <v>93</v>
      </c>
      <c r="D297" s="142" t="s">
        <v>371</v>
      </c>
      <c r="E297" s="123" t="s">
        <v>637</v>
      </c>
      <c r="F297" s="142"/>
      <c r="G297" s="142" t="s">
        <v>321</v>
      </c>
      <c r="H297" s="142"/>
      <c r="I297" s="105"/>
      <c r="J297" s="105" t="s">
        <v>374</v>
      </c>
    </row>
    <row r="298" spans="1:19">
      <c r="J298" s="157"/>
    </row>
    <row r="299" spans="1:19" ht="14">
      <c r="A299" s="543" t="s">
        <v>638</v>
      </c>
      <c r="B299" s="543"/>
      <c r="C299" s="543"/>
      <c r="D299" s="543"/>
      <c r="E299" s="543"/>
      <c r="F299" s="543"/>
      <c r="G299" s="543"/>
      <c r="H299" s="543"/>
      <c r="I299" s="543"/>
      <c r="J299" s="543"/>
    </row>
    <row r="300" spans="1:19">
      <c r="A300" s="157"/>
      <c r="B300" s="157"/>
      <c r="C300" s="157"/>
      <c r="D300" s="157"/>
      <c r="E300" s="157"/>
      <c r="F300" s="157"/>
      <c r="G300" s="157"/>
      <c r="H300" s="157"/>
      <c r="I300" s="157"/>
      <c r="J300" s="157"/>
    </row>
    <row r="301" spans="1:19" s="170" customFormat="1" ht="45.65" customHeight="1">
      <c r="A301" s="524" t="s">
        <v>639</v>
      </c>
      <c r="B301" s="524"/>
      <c r="C301" s="524"/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</row>
    <row r="302" spans="1:19" s="170" customFormat="1" ht="31.75" customHeight="1">
      <c r="A302" s="524"/>
      <c r="B302" s="524"/>
      <c r="C302" s="524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</row>
    <row r="303" spans="1:19" s="170" customFormat="1" hidden="1">
      <c r="A303" s="524"/>
      <c r="B303" s="524"/>
      <c r="C303" s="524"/>
      <c r="D303" s="157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</row>
    <row r="304" spans="1:19" s="159" customFormat="1" ht="199" customHeight="1">
      <c r="A304" s="546" t="s">
        <v>640</v>
      </c>
      <c r="B304" s="546"/>
      <c r="C304" s="546"/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</row>
    <row r="305" spans="1:19" s="171" customFormat="1" ht="67" customHeight="1">
      <c r="A305" s="532" t="s">
        <v>360</v>
      </c>
      <c r="B305" s="532"/>
      <c r="C305" s="532"/>
      <c r="D305" s="157"/>
      <c r="E305" s="157"/>
      <c r="F305" s="157"/>
      <c r="G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</row>
    <row r="306" spans="1:19" s="159" customFormat="1" ht="13.4" customHeight="1">
      <c r="A306" s="533" t="s">
        <v>641</v>
      </c>
      <c r="B306" s="533"/>
      <c r="C306" s="533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</row>
    <row r="307" spans="1:19" s="159" customFormat="1" ht="24.65" customHeight="1">
      <c r="A307" s="533" t="s">
        <v>642</v>
      </c>
      <c r="B307" s="533"/>
      <c r="C307" s="533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</row>
    <row r="308" spans="1:19" s="159" customFormat="1" ht="52.4" customHeight="1">
      <c r="A308" s="533" t="s">
        <v>643</v>
      </c>
      <c r="B308" s="533"/>
      <c r="C308" s="533"/>
      <c r="D308" s="157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</row>
    <row r="309" spans="1:19" s="159" customFormat="1" ht="13">
      <c r="A309" s="113"/>
      <c r="B309" s="143"/>
      <c r="C309" s="143"/>
      <c r="D309" s="173"/>
      <c r="E309" s="173"/>
      <c r="F309" s="173"/>
      <c r="G309" s="173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</row>
    <row r="310" spans="1:19" s="159" customFormat="1" ht="13">
      <c r="A310" s="144" t="s">
        <v>362</v>
      </c>
      <c r="B310" s="144" t="s">
        <v>363</v>
      </c>
      <c r="C310" s="145" t="s">
        <v>364</v>
      </c>
      <c r="D310" s="144" t="s">
        <v>365</v>
      </c>
      <c r="E310" s="144" t="s">
        <v>366</v>
      </c>
      <c r="F310" s="144"/>
      <c r="G310" s="144" t="s">
        <v>368</v>
      </c>
      <c r="H310" s="174"/>
      <c r="I310" s="144" t="s">
        <v>260</v>
      </c>
      <c r="J310" s="144" t="s">
        <v>261</v>
      </c>
      <c r="K310" s="157"/>
      <c r="L310" s="157"/>
      <c r="M310" s="157"/>
      <c r="N310" s="157"/>
      <c r="O310" s="157"/>
      <c r="P310" s="157"/>
      <c r="Q310" s="157"/>
      <c r="R310" s="157"/>
      <c r="S310" s="157"/>
    </row>
    <row r="311" spans="1:19" s="159" customFormat="1" ht="13">
      <c r="A311" s="130"/>
      <c r="B311" s="130"/>
      <c r="C311" s="118" t="s">
        <v>644</v>
      </c>
      <c r="D311" s="122" t="s">
        <v>371</v>
      </c>
      <c r="E311" s="122" t="s">
        <v>372</v>
      </c>
      <c r="F311" s="122"/>
      <c r="G311" s="122" t="s">
        <v>373</v>
      </c>
      <c r="H311" s="122"/>
      <c r="I311" s="122"/>
      <c r="J311" s="105" t="s">
        <v>374</v>
      </c>
      <c r="K311" s="157"/>
      <c r="L311" s="157"/>
      <c r="M311" s="157"/>
      <c r="N311" s="157"/>
      <c r="O311" s="157"/>
      <c r="P311" s="157"/>
      <c r="Q311" s="157"/>
      <c r="R311" s="157"/>
      <c r="S311" s="157"/>
    </row>
    <row r="312" spans="1:19" s="159" customFormat="1">
      <c r="A312" s="122" t="s">
        <v>375</v>
      </c>
      <c r="B312" s="122" t="s">
        <v>87</v>
      </c>
      <c r="C312" s="118" t="s">
        <v>376</v>
      </c>
      <c r="D312" s="122" t="s">
        <v>371</v>
      </c>
      <c r="E312" s="122" t="s">
        <v>90</v>
      </c>
      <c r="F312" s="122"/>
      <c r="G312" s="122" t="s">
        <v>373</v>
      </c>
      <c r="H312" s="122"/>
      <c r="I312" s="122"/>
      <c r="J312" s="105" t="s">
        <v>374</v>
      </c>
      <c r="K312" s="157"/>
      <c r="L312" s="157"/>
      <c r="M312" s="157"/>
      <c r="N312" s="157"/>
      <c r="O312" s="157"/>
      <c r="P312" s="157"/>
      <c r="Q312" s="157"/>
      <c r="R312" s="157"/>
      <c r="S312" s="157"/>
    </row>
    <row r="313" spans="1:19" s="159" customFormat="1">
      <c r="A313" s="122" t="s">
        <v>375</v>
      </c>
      <c r="B313" s="122" t="s">
        <v>87</v>
      </c>
      <c r="C313" s="118" t="s">
        <v>377</v>
      </c>
      <c r="D313" s="122" t="s">
        <v>371</v>
      </c>
      <c r="E313" s="122" t="s">
        <v>378</v>
      </c>
      <c r="F313" s="122"/>
      <c r="G313" s="122" t="s">
        <v>379</v>
      </c>
      <c r="H313" s="122"/>
      <c r="I313" s="122"/>
      <c r="J313" s="105" t="s">
        <v>374</v>
      </c>
      <c r="K313" s="157"/>
      <c r="L313" s="157"/>
      <c r="M313" s="157"/>
      <c r="N313" s="157"/>
      <c r="O313" s="157"/>
      <c r="P313" s="157"/>
      <c r="Q313" s="157"/>
      <c r="R313" s="157"/>
      <c r="S313" s="157"/>
    </row>
    <row r="314" spans="1:19" s="159" customFormat="1" ht="25">
      <c r="A314" s="122"/>
      <c r="B314" s="122"/>
      <c r="C314" s="118" t="s">
        <v>645</v>
      </c>
      <c r="D314" s="122" t="s">
        <v>371</v>
      </c>
      <c r="E314" s="122" t="s">
        <v>382</v>
      </c>
      <c r="F314" s="122"/>
      <c r="G314" s="122" t="s">
        <v>373</v>
      </c>
      <c r="H314" s="122"/>
      <c r="I314" s="122"/>
      <c r="J314" s="105" t="s">
        <v>374</v>
      </c>
      <c r="K314" s="157"/>
      <c r="L314" s="157"/>
      <c r="M314" s="157"/>
      <c r="N314" s="157"/>
      <c r="O314" s="157"/>
      <c r="P314" s="157"/>
      <c r="Q314" s="157"/>
      <c r="R314" s="157"/>
      <c r="S314" s="157"/>
    </row>
    <row r="315" spans="1:19" s="159" customFormat="1">
      <c r="A315" s="122" t="s">
        <v>375</v>
      </c>
      <c r="B315" s="122" t="s">
        <v>95</v>
      </c>
      <c r="C315" s="118" t="s">
        <v>383</v>
      </c>
      <c r="D315" s="122" t="s">
        <v>371</v>
      </c>
      <c r="E315" s="122" t="s">
        <v>312</v>
      </c>
      <c r="F315" s="122"/>
      <c r="G315" s="122" t="s">
        <v>373</v>
      </c>
      <c r="H315" s="122"/>
      <c r="I315" s="122"/>
      <c r="J315" s="105" t="s">
        <v>374</v>
      </c>
      <c r="K315" s="157"/>
      <c r="L315" s="157"/>
      <c r="M315" s="157"/>
      <c r="N315" s="157"/>
      <c r="O315" s="157"/>
      <c r="P315" s="157"/>
      <c r="Q315" s="157"/>
      <c r="R315" s="157"/>
      <c r="S315" s="157"/>
    </row>
    <row r="316" spans="1:19" s="159" customFormat="1">
      <c r="A316" s="122" t="s">
        <v>375</v>
      </c>
      <c r="B316" s="118" t="s">
        <v>99</v>
      </c>
      <c r="C316" s="118" t="s">
        <v>383</v>
      </c>
      <c r="D316" s="122" t="s">
        <v>371</v>
      </c>
      <c r="E316" s="122" t="s">
        <v>384</v>
      </c>
      <c r="F316" s="122"/>
      <c r="G316" s="122" t="s">
        <v>373</v>
      </c>
      <c r="H316" s="122"/>
      <c r="I316" s="122"/>
      <c r="J316" s="105" t="s">
        <v>374</v>
      </c>
      <c r="K316" s="157"/>
      <c r="L316" s="157"/>
      <c r="M316" s="157"/>
      <c r="N316" s="157"/>
      <c r="O316" s="157"/>
      <c r="P316" s="157"/>
      <c r="Q316" s="157"/>
      <c r="R316" s="157"/>
      <c r="S316" s="157"/>
    </row>
    <row r="317" spans="1:19" s="159" customFormat="1">
      <c r="A317" s="122" t="s">
        <v>375</v>
      </c>
      <c r="B317" s="118" t="s">
        <v>385</v>
      </c>
      <c r="C317" s="118" t="s">
        <v>383</v>
      </c>
      <c r="D317" s="122" t="s">
        <v>371</v>
      </c>
      <c r="E317" s="122" t="s">
        <v>386</v>
      </c>
      <c r="F317" s="122"/>
      <c r="G317" s="122" t="s">
        <v>373</v>
      </c>
      <c r="H317" s="122"/>
      <c r="I317" s="122"/>
      <c r="J317" s="105" t="s">
        <v>374</v>
      </c>
      <c r="K317" s="157"/>
      <c r="L317" s="157"/>
      <c r="M317" s="157"/>
      <c r="N317" s="157"/>
      <c r="O317" s="157"/>
      <c r="P317" s="157"/>
      <c r="Q317" s="157"/>
      <c r="R317" s="157"/>
      <c r="S317" s="157"/>
    </row>
    <row r="318" spans="1:19" s="159" customFormat="1" ht="50">
      <c r="A318" s="122" t="s">
        <v>375</v>
      </c>
      <c r="B318" s="118" t="s">
        <v>646</v>
      </c>
      <c r="C318" s="118" t="s">
        <v>387</v>
      </c>
      <c r="D318" s="122" t="s">
        <v>371</v>
      </c>
      <c r="E318" s="175" t="s">
        <v>388</v>
      </c>
      <c r="F318" s="122"/>
      <c r="G318" s="122" t="s">
        <v>373</v>
      </c>
      <c r="H318" s="122"/>
      <c r="I318" s="122"/>
      <c r="J318" s="105" t="s">
        <v>374</v>
      </c>
      <c r="K318" s="157"/>
      <c r="L318" s="157"/>
      <c r="M318" s="157"/>
      <c r="N318" s="157"/>
      <c r="O318" s="157"/>
      <c r="P318" s="157"/>
      <c r="Q318" s="157"/>
      <c r="R318" s="157"/>
      <c r="S318" s="157"/>
    </row>
    <row r="319" spans="1:19" s="159" customFormat="1">
      <c r="A319" s="118"/>
      <c r="B319" s="118"/>
      <c r="C319" s="118" t="s">
        <v>389</v>
      </c>
      <c r="D319" s="122" t="s">
        <v>371</v>
      </c>
      <c r="E319" s="122" t="s">
        <v>390</v>
      </c>
      <c r="F319" s="122"/>
      <c r="G319" s="122" t="s">
        <v>373</v>
      </c>
      <c r="H319" s="122"/>
      <c r="I319" s="122"/>
      <c r="J319" s="105" t="s">
        <v>374</v>
      </c>
      <c r="K319" s="157"/>
      <c r="L319" s="157"/>
      <c r="M319" s="157"/>
      <c r="N319" s="157"/>
      <c r="O319" s="157"/>
      <c r="P319" s="157"/>
      <c r="Q319" s="157"/>
      <c r="R319" s="157"/>
      <c r="S319" s="157"/>
    </row>
    <row r="320" spans="1:19" s="159" customFormat="1">
      <c r="A320" s="122" t="s">
        <v>375</v>
      </c>
      <c r="B320" s="118" t="s">
        <v>391</v>
      </c>
      <c r="C320" s="118" t="s">
        <v>383</v>
      </c>
      <c r="D320" s="122" t="s">
        <v>371</v>
      </c>
      <c r="E320" s="122" t="s">
        <v>392</v>
      </c>
      <c r="F320" s="122"/>
      <c r="G320" s="122" t="s">
        <v>373</v>
      </c>
      <c r="H320" s="122"/>
      <c r="I320" s="122"/>
      <c r="J320" s="105" t="s">
        <v>374</v>
      </c>
      <c r="K320" s="157"/>
      <c r="L320" s="157"/>
      <c r="M320" s="157"/>
      <c r="N320" s="157"/>
      <c r="O320" s="157"/>
      <c r="P320" s="157"/>
      <c r="Q320" s="157"/>
      <c r="R320" s="157"/>
      <c r="S320" s="157"/>
    </row>
    <row r="321" spans="1:19" s="159" customFormat="1" ht="25">
      <c r="A321" s="122" t="s">
        <v>375</v>
      </c>
      <c r="B321" s="118" t="s">
        <v>98</v>
      </c>
      <c r="C321" s="118" t="s">
        <v>393</v>
      </c>
      <c r="D321" s="122" t="s">
        <v>371</v>
      </c>
      <c r="E321" s="122" t="s">
        <v>394</v>
      </c>
      <c r="F321" s="122"/>
      <c r="G321" s="122" t="s">
        <v>373</v>
      </c>
      <c r="H321" s="122"/>
      <c r="I321" s="122"/>
      <c r="J321" s="105" t="s">
        <v>374</v>
      </c>
      <c r="K321" s="157"/>
      <c r="L321" s="157"/>
      <c r="M321" s="157"/>
      <c r="N321" s="157"/>
      <c r="O321" s="157"/>
      <c r="P321" s="157"/>
      <c r="Q321" s="157"/>
      <c r="R321" s="157"/>
      <c r="S321" s="157"/>
    </row>
    <row r="322" spans="1:19" s="159" customFormat="1">
      <c r="A322" s="122" t="s">
        <v>375</v>
      </c>
      <c r="B322" s="118" t="s">
        <v>98</v>
      </c>
      <c r="C322" s="118" t="s">
        <v>395</v>
      </c>
      <c r="D322" s="122" t="s">
        <v>371</v>
      </c>
      <c r="E322" s="122" t="s">
        <v>396</v>
      </c>
      <c r="F322" s="122"/>
      <c r="G322" s="122" t="s">
        <v>373</v>
      </c>
      <c r="H322" s="122"/>
      <c r="I322" s="122"/>
      <c r="J322" s="105" t="s">
        <v>374</v>
      </c>
      <c r="K322" s="157"/>
      <c r="L322" s="157"/>
      <c r="M322" s="157"/>
      <c r="N322" s="157"/>
      <c r="O322" s="157"/>
      <c r="P322" s="157"/>
      <c r="Q322" s="157"/>
      <c r="R322" s="157"/>
      <c r="S322" s="157"/>
    </row>
    <row r="323" spans="1:19" s="159" customFormat="1" ht="25">
      <c r="A323" s="122" t="s">
        <v>375</v>
      </c>
      <c r="B323" s="118" t="s">
        <v>101</v>
      </c>
      <c r="C323" s="118" t="s">
        <v>397</v>
      </c>
      <c r="D323" s="122" t="s">
        <v>371</v>
      </c>
      <c r="E323" s="122" t="s">
        <v>398</v>
      </c>
      <c r="F323" s="122"/>
      <c r="G323" s="122" t="s">
        <v>373</v>
      </c>
      <c r="H323" s="122"/>
      <c r="I323" s="122"/>
      <c r="J323" s="105" t="s">
        <v>374</v>
      </c>
      <c r="K323" s="157"/>
      <c r="L323" s="157"/>
      <c r="M323" s="157"/>
      <c r="N323" s="157"/>
      <c r="O323" s="157"/>
      <c r="P323" s="157"/>
      <c r="Q323" s="157"/>
      <c r="R323" s="157"/>
      <c r="S323" s="157"/>
    </row>
    <row r="324" spans="1:19" s="159" customFormat="1">
      <c r="A324" s="122" t="s">
        <v>375</v>
      </c>
      <c r="B324" s="118" t="s">
        <v>101</v>
      </c>
      <c r="C324" s="118" t="s">
        <v>399</v>
      </c>
      <c r="D324" s="122" t="s">
        <v>371</v>
      </c>
      <c r="E324" s="122" t="s">
        <v>400</v>
      </c>
      <c r="F324" s="122"/>
      <c r="G324" s="122" t="s">
        <v>373</v>
      </c>
      <c r="H324" s="122"/>
      <c r="I324" s="122"/>
      <c r="J324" s="105" t="s">
        <v>374</v>
      </c>
      <c r="K324" s="157"/>
      <c r="L324" s="157"/>
      <c r="M324" s="157"/>
      <c r="N324" s="157"/>
      <c r="O324" s="157"/>
      <c r="P324" s="157"/>
      <c r="Q324" s="157"/>
      <c r="R324" s="157"/>
      <c r="S324" s="157"/>
    </row>
    <row r="325" spans="1:19" s="159" customFormat="1">
      <c r="A325" s="122" t="s">
        <v>375</v>
      </c>
      <c r="B325" s="118" t="s">
        <v>401</v>
      </c>
      <c r="C325" s="118" t="s">
        <v>402</v>
      </c>
      <c r="D325" s="122" t="s">
        <v>371</v>
      </c>
      <c r="E325" s="122" t="s">
        <v>403</v>
      </c>
      <c r="F325" s="122"/>
      <c r="G325" s="122" t="s">
        <v>373</v>
      </c>
      <c r="H325" s="122"/>
      <c r="I325" s="122"/>
      <c r="J325" s="105" t="s">
        <v>374</v>
      </c>
      <c r="K325" s="157"/>
      <c r="L325" s="157"/>
      <c r="M325" s="157"/>
      <c r="N325" s="157"/>
      <c r="O325" s="157"/>
      <c r="P325" s="157"/>
      <c r="Q325" s="157"/>
      <c r="R325" s="157"/>
      <c r="S325" s="157"/>
    </row>
    <row r="326" spans="1:19" s="159" customFormat="1">
      <c r="A326" s="122" t="s">
        <v>375</v>
      </c>
      <c r="B326" s="118" t="s">
        <v>404</v>
      </c>
      <c r="C326" s="118" t="s">
        <v>647</v>
      </c>
      <c r="D326" s="122" t="s">
        <v>371</v>
      </c>
      <c r="E326" s="122" t="s">
        <v>405</v>
      </c>
      <c r="F326" s="122"/>
      <c r="G326" s="122" t="s">
        <v>373</v>
      </c>
      <c r="H326" s="122"/>
      <c r="I326" s="122"/>
      <c r="J326" s="105" t="s">
        <v>374</v>
      </c>
      <c r="K326" s="157"/>
      <c r="L326" s="157"/>
      <c r="M326" s="157"/>
      <c r="N326" s="157"/>
      <c r="O326" s="157"/>
      <c r="P326" s="157"/>
      <c r="Q326" s="157"/>
      <c r="R326" s="157"/>
      <c r="S326" s="157"/>
    </row>
    <row r="327" spans="1:19" s="159" customFormat="1" ht="37.5">
      <c r="A327" s="118" t="s">
        <v>406</v>
      </c>
      <c r="B327" s="118" t="s">
        <v>407</v>
      </c>
      <c r="C327" s="118" t="s">
        <v>408</v>
      </c>
      <c r="D327" s="122" t="s">
        <v>371</v>
      </c>
      <c r="E327" s="122" t="s">
        <v>409</v>
      </c>
      <c r="F327" s="122"/>
      <c r="G327" s="122" t="s">
        <v>373</v>
      </c>
      <c r="H327" s="122"/>
      <c r="I327" s="122"/>
      <c r="J327" s="105" t="s">
        <v>374</v>
      </c>
      <c r="K327" s="157"/>
      <c r="L327" s="157"/>
      <c r="M327" s="157"/>
      <c r="N327" s="157"/>
      <c r="O327" s="157"/>
      <c r="P327" s="157"/>
      <c r="Q327" s="157"/>
      <c r="R327" s="157"/>
      <c r="S327" s="157"/>
    </row>
    <row r="328" spans="1:19" s="159" customFormat="1" ht="25">
      <c r="A328" s="118" t="s">
        <v>406</v>
      </c>
      <c r="B328" s="118" t="s">
        <v>407</v>
      </c>
      <c r="C328" s="118" t="s">
        <v>410</v>
      </c>
      <c r="D328" s="122" t="s">
        <v>371</v>
      </c>
      <c r="E328" s="122" t="s">
        <v>411</v>
      </c>
      <c r="F328" s="122"/>
      <c r="G328" s="122" t="s">
        <v>373</v>
      </c>
      <c r="H328" s="122"/>
      <c r="I328" s="122"/>
      <c r="J328" s="105" t="s">
        <v>374</v>
      </c>
      <c r="K328" s="157"/>
      <c r="L328" s="157"/>
      <c r="M328" s="157"/>
      <c r="N328" s="157"/>
      <c r="O328" s="157"/>
      <c r="P328" s="157"/>
      <c r="Q328" s="157"/>
      <c r="R328" s="157"/>
      <c r="S328" s="157"/>
    </row>
    <row r="329" spans="1:19" s="159" customFormat="1" ht="91.4" customHeight="1">
      <c r="A329" s="122" t="s">
        <v>375</v>
      </c>
      <c r="B329" s="118" t="s">
        <v>380</v>
      </c>
      <c r="C329" s="120" t="s">
        <v>648</v>
      </c>
      <c r="D329" s="122" t="s">
        <v>371</v>
      </c>
      <c r="E329" s="151" t="s">
        <v>170</v>
      </c>
      <c r="F329" s="122"/>
      <c r="G329" s="122" t="s">
        <v>373</v>
      </c>
      <c r="H329" s="122"/>
      <c r="I329" s="122"/>
      <c r="J329" s="105" t="s">
        <v>374</v>
      </c>
      <c r="K329" s="157"/>
      <c r="L329" s="157"/>
      <c r="M329" s="157"/>
      <c r="N329" s="157"/>
      <c r="O329" s="157"/>
      <c r="P329" s="157"/>
      <c r="Q329" s="157"/>
      <c r="R329" s="157"/>
      <c r="S329" s="157"/>
    </row>
    <row r="330" spans="1:19" s="159" customFormat="1" ht="132.65" customHeight="1">
      <c r="A330" s="151" t="s">
        <v>375</v>
      </c>
      <c r="B330" s="172" t="s">
        <v>380</v>
      </c>
      <c r="C330" s="120" t="s">
        <v>649</v>
      </c>
      <c r="D330" s="151" t="s">
        <v>371</v>
      </c>
      <c r="E330" s="151" t="s">
        <v>413</v>
      </c>
      <c r="F330" s="122"/>
      <c r="G330" s="122" t="s">
        <v>373</v>
      </c>
      <c r="H330" s="122"/>
      <c r="I330" s="122"/>
      <c r="J330" s="105" t="s">
        <v>374</v>
      </c>
      <c r="K330" s="157"/>
      <c r="L330" s="157"/>
      <c r="M330" s="157"/>
      <c r="N330" s="157"/>
      <c r="O330" s="157"/>
      <c r="P330" s="157"/>
      <c r="Q330" s="157"/>
      <c r="R330" s="157"/>
      <c r="S330" s="157"/>
    </row>
    <row r="331" spans="1:19" s="159" customFormat="1" ht="117" customHeight="1">
      <c r="A331" s="151" t="s">
        <v>375</v>
      </c>
      <c r="B331" s="172" t="s">
        <v>380</v>
      </c>
      <c r="C331" s="120" t="s">
        <v>650</v>
      </c>
      <c r="D331" s="151" t="s">
        <v>371</v>
      </c>
      <c r="E331" s="151" t="s">
        <v>415</v>
      </c>
      <c r="F331" s="122"/>
      <c r="G331" s="122" t="s">
        <v>373</v>
      </c>
      <c r="H331" s="122"/>
      <c r="I331" s="122"/>
      <c r="J331" s="105" t="s">
        <v>374</v>
      </c>
      <c r="K331" s="157"/>
      <c r="L331" s="157"/>
      <c r="M331" s="157"/>
      <c r="N331" s="157"/>
      <c r="O331" s="157"/>
      <c r="P331" s="157"/>
      <c r="Q331" s="157"/>
      <c r="R331" s="157"/>
      <c r="S331" s="157"/>
    </row>
    <row r="332" spans="1:19" s="159" customFormat="1" ht="37.5">
      <c r="A332" s="122" t="s">
        <v>375</v>
      </c>
      <c r="B332" s="118" t="s">
        <v>416</v>
      </c>
      <c r="C332" s="118" t="s">
        <v>651</v>
      </c>
      <c r="D332" s="122" t="s">
        <v>371</v>
      </c>
      <c r="E332" s="122" t="s">
        <v>418</v>
      </c>
      <c r="F332" s="122"/>
      <c r="G332" s="122" t="s">
        <v>373</v>
      </c>
      <c r="H332" s="122"/>
      <c r="I332" s="122"/>
      <c r="J332" s="105" t="s">
        <v>374</v>
      </c>
      <c r="K332" s="157"/>
      <c r="L332" s="157"/>
      <c r="M332" s="157"/>
      <c r="N332" s="157"/>
      <c r="O332" s="157"/>
      <c r="P332" s="157"/>
      <c r="Q332" s="157"/>
      <c r="R332" s="157"/>
      <c r="S332" s="157"/>
    </row>
    <row r="333" spans="1:19" s="159" customFormat="1" ht="50">
      <c r="A333" s="118" t="s">
        <v>406</v>
      </c>
      <c r="B333" s="118" t="s">
        <v>419</v>
      </c>
      <c r="C333" s="118" t="s">
        <v>420</v>
      </c>
      <c r="D333" s="122" t="s">
        <v>371</v>
      </c>
      <c r="E333" s="122" t="s">
        <v>421</v>
      </c>
      <c r="F333" s="122"/>
      <c r="G333" s="122" t="s">
        <v>373</v>
      </c>
      <c r="H333" s="122"/>
      <c r="I333" s="122"/>
      <c r="J333" s="105" t="s">
        <v>374</v>
      </c>
      <c r="K333" s="157"/>
      <c r="L333" s="157"/>
      <c r="M333" s="157"/>
      <c r="N333" s="157"/>
      <c r="O333" s="157"/>
      <c r="P333" s="157"/>
      <c r="Q333" s="157"/>
      <c r="R333" s="157"/>
      <c r="S333" s="157"/>
    </row>
    <row r="334" spans="1:19" s="159" customFormat="1">
      <c r="A334" s="118"/>
      <c r="B334" s="118"/>
      <c r="C334" s="118" t="s">
        <v>389</v>
      </c>
      <c r="D334" s="122" t="s">
        <v>371</v>
      </c>
      <c r="E334" s="122" t="s">
        <v>422</v>
      </c>
      <c r="F334" s="122"/>
      <c r="G334" s="122" t="s">
        <v>373</v>
      </c>
      <c r="H334" s="122"/>
      <c r="I334" s="122"/>
      <c r="J334" s="105" t="s">
        <v>374</v>
      </c>
      <c r="K334" s="157"/>
      <c r="L334" s="157"/>
      <c r="M334" s="157"/>
      <c r="N334" s="157"/>
      <c r="O334" s="157"/>
      <c r="P334" s="157"/>
      <c r="Q334" s="157"/>
      <c r="R334" s="157"/>
      <c r="S334" s="157"/>
    </row>
    <row r="335" spans="1:19" s="159" customFormat="1" ht="50">
      <c r="A335" s="122" t="s">
        <v>375</v>
      </c>
      <c r="B335" s="122" t="s">
        <v>423</v>
      </c>
      <c r="C335" s="158" t="s">
        <v>424</v>
      </c>
      <c r="D335" s="122" t="s">
        <v>371</v>
      </c>
      <c r="E335" s="122" t="s">
        <v>425</v>
      </c>
      <c r="F335" s="122"/>
      <c r="G335" s="122" t="s">
        <v>373</v>
      </c>
      <c r="H335" s="122"/>
      <c r="I335" s="122"/>
      <c r="J335" s="105" t="s">
        <v>374</v>
      </c>
      <c r="K335" s="157"/>
      <c r="L335" s="157"/>
      <c r="M335" s="157"/>
      <c r="N335" s="157"/>
      <c r="O335" s="157"/>
      <c r="P335" s="157"/>
      <c r="Q335" s="157"/>
      <c r="R335" s="157"/>
      <c r="S335" s="157"/>
    </row>
    <row r="336" spans="1:19" s="159" customFormat="1" ht="25">
      <c r="A336" s="122" t="s">
        <v>375</v>
      </c>
      <c r="B336" s="118" t="s">
        <v>426</v>
      </c>
      <c r="C336" s="118" t="s">
        <v>427</v>
      </c>
      <c r="D336" s="122" t="s">
        <v>371</v>
      </c>
      <c r="E336" s="122" t="s">
        <v>428</v>
      </c>
      <c r="F336" s="122"/>
      <c r="G336" s="122" t="s">
        <v>373</v>
      </c>
      <c r="H336" s="122"/>
      <c r="I336" s="122"/>
      <c r="J336" s="105" t="s">
        <v>374</v>
      </c>
      <c r="K336" s="157"/>
      <c r="L336" s="157"/>
      <c r="M336" s="157"/>
      <c r="N336" s="157"/>
      <c r="O336" s="157"/>
      <c r="P336" s="157"/>
      <c r="Q336" s="157"/>
      <c r="R336" s="157"/>
      <c r="S336" s="157"/>
    </row>
    <row r="337" spans="1:19" s="159" customFormat="1" ht="37.5">
      <c r="A337" s="118" t="s">
        <v>406</v>
      </c>
      <c r="B337" s="118" t="s">
        <v>178</v>
      </c>
      <c r="C337" s="118" t="s">
        <v>429</v>
      </c>
      <c r="D337" s="122" t="s">
        <v>371</v>
      </c>
      <c r="E337" s="122" t="s">
        <v>430</v>
      </c>
      <c r="F337" s="122"/>
      <c r="G337" s="122" t="s">
        <v>373</v>
      </c>
      <c r="H337" s="122"/>
      <c r="I337" s="122"/>
      <c r="J337" s="105" t="s">
        <v>374</v>
      </c>
      <c r="K337" s="157"/>
      <c r="L337" s="157"/>
      <c r="M337" s="157"/>
      <c r="N337" s="157"/>
      <c r="O337" s="157"/>
      <c r="P337" s="157"/>
      <c r="Q337" s="157"/>
      <c r="R337" s="157"/>
      <c r="S337" s="157"/>
    </row>
    <row r="338" spans="1:19" s="159" customFormat="1">
      <c r="A338" s="105"/>
      <c r="B338" s="105"/>
      <c r="C338" s="105" t="s">
        <v>389</v>
      </c>
      <c r="D338" s="122" t="s">
        <v>371</v>
      </c>
      <c r="E338" s="115" t="s">
        <v>431</v>
      </c>
      <c r="F338" s="115"/>
      <c r="G338" s="115" t="s">
        <v>373</v>
      </c>
      <c r="H338" s="122"/>
      <c r="I338" s="122"/>
      <c r="J338" s="105" t="s">
        <v>374</v>
      </c>
      <c r="K338" s="157"/>
      <c r="L338" s="157"/>
      <c r="M338" s="157"/>
      <c r="N338" s="157"/>
      <c r="O338" s="157"/>
      <c r="P338" s="157"/>
      <c r="Q338" s="157"/>
      <c r="R338" s="157"/>
      <c r="S338" s="157"/>
    </row>
    <row r="339" spans="1:19" s="159" customFormat="1">
      <c r="A339" s="115" t="s">
        <v>375</v>
      </c>
      <c r="B339" s="105" t="s">
        <v>426</v>
      </c>
      <c r="C339" s="105" t="s">
        <v>432</v>
      </c>
      <c r="D339" s="122" t="s">
        <v>371</v>
      </c>
      <c r="E339" s="115" t="s">
        <v>433</v>
      </c>
      <c r="F339" s="115"/>
      <c r="G339" s="115" t="s">
        <v>373</v>
      </c>
      <c r="H339" s="122"/>
      <c r="I339" s="122"/>
      <c r="J339" s="105" t="s">
        <v>374</v>
      </c>
      <c r="K339" s="157"/>
      <c r="L339" s="157"/>
      <c r="M339" s="157"/>
      <c r="N339" s="157"/>
      <c r="O339" s="157"/>
      <c r="P339" s="157"/>
      <c r="Q339" s="157"/>
      <c r="R339" s="157"/>
      <c r="S339" s="157"/>
    </row>
    <row r="340" spans="1:19" s="159" customFormat="1">
      <c r="A340" s="115" t="s">
        <v>375</v>
      </c>
      <c r="B340" s="105" t="s">
        <v>426</v>
      </c>
      <c r="C340" s="105" t="s">
        <v>432</v>
      </c>
      <c r="D340" s="122" t="s">
        <v>371</v>
      </c>
      <c r="E340" s="115" t="s">
        <v>434</v>
      </c>
      <c r="F340" s="115"/>
      <c r="G340" s="115" t="s">
        <v>373</v>
      </c>
      <c r="H340" s="122"/>
      <c r="I340" s="122"/>
      <c r="J340" s="105" t="s">
        <v>374</v>
      </c>
      <c r="K340" s="157"/>
      <c r="L340" s="157"/>
      <c r="M340" s="157"/>
      <c r="N340" s="157"/>
      <c r="O340" s="157"/>
      <c r="P340" s="157"/>
      <c r="Q340" s="157"/>
      <c r="R340" s="157"/>
      <c r="S340" s="157"/>
    </row>
    <row r="341" spans="1:19" s="159" customFormat="1" ht="25">
      <c r="A341" s="105" t="s">
        <v>406</v>
      </c>
      <c r="B341" s="105" t="s">
        <v>178</v>
      </c>
      <c r="C341" s="105" t="s">
        <v>436</v>
      </c>
      <c r="D341" s="122" t="s">
        <v>371</v>
      </c>
      <c r="E341" s="115" t="s">
        <v>437</v>
      </c>
      <c r="F341" s="115"/>
      <c r="G341" s="115" t="s">
        <v>373</v>
      </c>
      <c r="H341" s="122"/>
      <c r="I341" s="122"/>
      <c r="J341" s="105" t="s">
        <v>374</v>
      </c>
      <c r="K341" s="157"/>
      <c r="L341" s="157"/>
      <c r="M341" s="157"/>
      <c r="N341" s="157"/>
      <c r="O341" s="157"/>
      <c r="P341" s="157"/>
      <c r="Q341" s="157"/>
      <c r="R341" s="157"/>
      <c r="S341" s="157"/>
    </row>
    <row r="342" spans="1:19" s="159" customFormat="1" ht="51" customHeight="1">
      <c r="A342" s="115" t="s">
        <v>375</v>
      </c>
      <c r="B342" s="105" t="s">
        <v>652</v>
      </c>
      <c r="C342" s="105" t="s">
        <v>439</v>
      </c>
      <c r="D342" s="122" t="s">
        <v>371</v>
      </c>
      <c r="E342" s="115" t="s">
        <v>440</v>
      </c>
      <c r="F342" s="115"/>
      <c r="G342" s="115" t="s">
        <v>373</v>
      </c>
      <c r="H342" s="122"/>
      <c r="I342" s="122"/>
      <c r="J342" s="105" t="s">
        <v>374</v>
      </c>
      <c r="K342" s="157"/>
      <c r="L342" s="157"/>
      <c r="M342" s="157"/>
      <c r="N342" s="157"/>
      <c r="O342" s="157"/>
      <c r="P342" s="157"/>
      <c r="Q342" s="157"/>
      <c r="R342" s="157"/>
      <c r="S342" s="157"/>
    </row>
    <row r="343" spans="1:19" s="159" customFormat="1">
      <c r="A343" s="115" t="s">
        <v>375</v>
      </c>
      <c r="B343" s="105" t="s">
        <v>441</v>
      </c>
      <c r="C343" s="105" t="s">
        <v>442</v>
      </c>
      <c r="D343" s="122" t="s">
        <v>371</v>
      </c>
      <c r="E343" s="115" t="s">
        <v>443</v>
      </c>
      <c r="F343" s="115"/>
      <c r="G343" s="115" t="s">
        <v>373</v>
      </c>
      <c r="H343" s="122"/>
      <c r="I343" s="122"/>
      <c r="J343" s="105" t="s">
        <v>374</v>
      </c>
      <c r="K343" s="157"/>
      <c r="L343" s="157"/>
      <c r="M343" s="157"/>
      <c r="N343" s="157"/>
      <c r="O343" s="157"/>
      <c r="P343" s="157"/>
      <c r="Q343" s="157"/>
      <c r="R343" s="157"/>
      <c r="S343" s="157"/>
    </row>
    <row r="344" spans="1:19" s="159" customFormat="1">
      <c r="A344" s="115" t="s">
        <v>375</v>
      </c>
      <c r="B344" s="105" t="s">
        <v>653</v>
      </c>
      <c r="C344" s="105" t="s">
        <v>93</v>
      </c>
      <c r="D344" s="122" t="s">
        <v>371</v>
      </c>
      <c r="E344" s="115" t="s">
        <v>444</v>
      </c>
      <c r="F344" s="115"/>
      <c r="G344" s="115" t="s">
        <v>373</v>
      </c>
      <c r="H344" s="122"/>
      <c r="I344" s="122"/>
      <c r="J344" s="105" t="s">
        <v>374</v>
      </c>
      <c r="K344" s="157"/>
      <c r="L344" s="157"/>
      <c r="M344" s="157"/>
      <c r="N344" s="157"/>
      <c r="O344" s="157"/>
      <c r="P344" s="157"/>
      <c r="Q344" s="157"/>
      <c r="R344" s="157"/>
      <c r="S344" s="157"/>
    </row>
    <row r="345" spans="1:19" s="159" customFormat="1" ht="84" customHeight="1">
      <c r="A345" s="115" t="s">
        <v>375</v>
      </c>
      <c r="B345" s="105" t="s">
        <v>654</v>
      </c>
      <c r="C345" s="105" t="s">
        <v>655</v>
      </c>
      <c r="D345" s="122" t="s">
        <v>371</v>
      </c>
      <c r="E345" s="176" t="s">
        <v>448</v>
      </c>
      <c r="F345" s="115"/>
      <c r="G345" s="115" t="s">
        <v>373</v>
      </c>
      <c r="H345" s="122"/>
      <c r="I345" s="122"/>
      <c r="J345" s="105" t="s">
        <v>374</v>
      </c>
      <c r="K345" s="157"/>
      <c r="L345" s="157"/>
      <c r="M345" s="157"/>
      <c r="N345" s="157"/>
      <c r="O345" s="157"/>
      <c r="P345" s="157"/>
      <c r="Q345" s="157"/>
      <c r="R345" s="157"/>
      <c r="S345" s="157"/>
    </row>
    <row r="346" spans="1:19" s="159" customFormat="1">
      <c r="A346" s="105"/>
      <c r="B346" s="105"/>
      <c r="C346" s="105" t="s">
        <v>389</v>
      </c>
      <c r="D346" s="122" t="s">
        <v>371</v>
      </c>
      <c r="E346" s="115" t="s">
        <v>449</v>
      </c>
      <c r="F346" s="115"/>
      <c r="G346" s="115" t="s">
        <v>373</v>
      </c>
      <c r="H346" s="122"/>
      <c r="I346" s="122"/>
      <c r="J346" s="105" t="s">
        <v>374</v>
      </c>
      <c r="K346" s="157"/>
      <c r="L346" s="157"/>
      <c r="M346" s="157"/>
      <c r="N346" s="157"/>
      <c r="O346" s="157"/>
      <c r="P346" s="157"/>
      <c r="Q346" s="157"/>
      <c r="R346" s="157"/>
      <c r="S346" s="157"/>
    </row>
    <row r="347" spans="1:19" s="159" customFormat="1">
      <c r="A347" s="105" t="s">
        <v>375</v>
      </c>
      <c r="B347" s="119" t="s">
        <v>98</v>
      </c>
      <c r="C347" s="105" t="s">
        <v>93</v>
      </c>
      <c r="D347" s="122" t="s">
        <v>371</v>
      </c>
      <c r="E347" s="115" t="s">
        <v>450</v>
      </c>
      <c r="F347" s="115"/>
      <c r="G347" s="115" t="s">
        <v>373</v>
      </c>
      <c r="H347" s="122"/>
      <c r="I347" s="122"/>
      <c r="J347" s="105" t="s">
        <v>374</v>
      </c>
      <c r="K347" s="157"/>
      <c r="L347" s="157"/>
      <c r="M347" s="157"/>
      <c r="N347" s="157"/>
      <c r="O347" s="157"/>
      <c r="P347" s="157"/>
      <c r="Q347" s="157"/>
      <c r="R347" s="157"/>
      <c r="S347" s="157"/>
    </row>
    <row r="348" spans="1:19" s="159" customFormat="1" ht="91.75" customHeight="1">
      <c r="A348" s="177" t="s">
        <v>656</v>
      </c>
      <c r="B348" s="177" t="s">
        <v>657</v>
      </c>
      <c r="C348" s="105" t="s">
        <v>453</v>
      </c>
      <c r="D348" s="131" t="s">
        <v>371</v>
      </c>
      <c r="E348" s="151" t="s">
        <v>454</v>
      </c>
      <c r="F348" s="142" t="s">
        <v>455</v>
      </c>
      <c r="G348" s="146" t="s">
        <v>321</v>
      </c>
      <c r="H348" s="146"/>
      <c r="I348" s="122"/>
      <c r="J348" s="105" t="s">
        <v>374</v>
      </c>
      <c r="K348" s="157"/>
      <c r="L348" s="157"/>
      <c r="M348" s="157"/>
      <c r="N348" s="157"/>
      <c r="O348" s="157"/>
      <c r="P348" s="157"/>
      <c r="Q348" s="157"/>
      <c r="R348" s="157"/>
      <c r="S348" s="157"/>
    </row>
    <row r="349" spans="1:19" s="159" customFormat="1" ht="68.5" customHeight="1">
      <c r="A349" s="105" t="s">
        <v>658</v>
      </c>
      <c r="B349" s="105" t="s">
        <v>659</v>
      </c>
      <c r="C349" s="178" t="s">
        <v>660</v>
      </c>
      <c r="D349" s="122" t="s">
        <v>371</v>
      </c>
      <c r="E349" s="176" t="s">
        <v>459</v>
      </c>
      <c r="F349" s="115"/>
      <c r="G349" s="115" t="s">
        <v>321</v>
      </c>
      <c r="H349" s="158" t="s">
        <v>661</v>
      </c>
      <c r="I349" s="122"/>
      <c r="J349" s="105" t="s">
        <v>374</v>
      </c>
      <c r="K349" s="157"/>
      <c r="L349" s="157"/>
      <c r="M349" s="157"/>
      <c r="N349" s="157"/>
      <c r="O349" s="157"/>
      <c r="P349" s="157"/>
      <c r="Q349" s="157"/>
      <c r="R349" s="157"/>
      <c r="S349" s="157"/>
    </row>
    <row r="350" spans="1:19" s="159" customFormat="1" ht="62.5">
      <c r="A350" s="105" t="s">
        <v>406</v>
      </c>
      <c r="B350" s="105" t="s">
        <v>502</v>
      </c>
      <c r="C350" s="105" t="s">
        <v>662</v>
      </c>
      <c r="D350" s="122" t="s">
        <v>371</v>
      </c>
      <c r="E350" s="115" t="s">
        <v>462</v>
      </c>
      <c r="F350" s="115"/>
      <c r="G350" s="115" t="s">
        <v>321</v>
      </c>
      <c r="H350" s="122"/>
      <c r="I350" s="122"/>
      <c r="J350" s="105" t="s">
        <v>374</v>
      </c>
      <c r="K350" s="157"/>
      <c r="L350" s="157"/>
      <c r="M350" s="157"/>
      <c r="N350" s="157"/>
      <c r="O350" s="157"/>
      <c r="P350" s="157"/>
      <c r="Q350" s="157"/>
      <c r="R350" s="157"/>
      <c r="S350" s="157"/>
    </row>
    <row r="351" spans="1:19" s="159" customFormat="1" ht="25">
      <c r="A351" s="115" t="s">
        <v>375</v>
      </c>
      <c r="B351" s="105" t="s">
        <v>464</v>
      </c>
      <c r="C351" s="105" t="s">
        <v>663</v>
      </c>
      <c r="D351" s="122" t="s">
        <v>371</v>
      </c>
      <c r="E351" s="115" t="s">
        <v>466</v>
      </c>
      <c r="F351" s="115"/>
      <c r="G351" s="115" t="s">
        <v>321</v>
      </c>
      <c r="H351" s="122"/>
      <c r="I351" s="122"/>
      <c r="J351" s="105" t="s">
        <v>374</v>
      </c>
      <c r="K351" s="157"/>
      <c r="L351" s="157"/>
      <c r="M351" s="157"/>
      <c r="N351" s="157"/>
      <c r="O351" s="157"/>
      <c r="P351" s="157"/>
      <c r="Q351" s="157"/>
      <c r="R351" s="157"/>
      <c r="S351" s="157"/>
    </row>
    <row r="352" spans="1:19" s="159" customFormat="1">
      <c r="A352" s="105"/>
      <c r="B352" s="105"/>
      <c r="C352" s="105">
        <v>0</v>
      </c>
      <c r="D352" s="122" t="s">
        <v>371</v>
      </c>
      <c r="E352" s="115" t="s">
        <v>468</v>
      </c>
      <c r="F352" s="115"/>
      <c r="G352" s="115" t="s">
        <v>321</v>
      </c>
      <c r="H352" s="122"/>
      <c r="I352" s="122"/>
      <c r="J352" s="105" t="s">
        <v>374</v>
      </c>
      <c r="K352" s="157"/>
      <c r="L352" s="157"/>
      <c r="M352" s="157"/>
      <c r="N352" s="157"/>
      <c r="O352" s="157"/>
      <c r="P352" s="157"/>
      <c r="Q352" s="157"/>
      <c r="R352" s="157"/>
      <c r="S352" s="157"/>
    </row>
    <row r="353" spans="1:19" s="159" customFormat="1" ht="37.5">
      <c r="A353" s="115" t="s">
        <v>375</v>
      </c>
      <c r="B353" s="105" t="s">
        <v>469</v>
      </c>
      <c r="C353" s="105" t="s">
        <v>664</v>
      </c>
      <c r="D353" s="122" t="s">
        <v>371</v>
      </c>
      <c r="E353" s="115" t="s">
        <v>471</v>
      </c>
      <c r="F353" s="115"/>
      <c r="G353" s="115" t="s">
        <v>321</v>
      </c>
      <c r="H353" s="122"/>
      <c r="I353" s="122"/>
      <c r="J353" s="105" t="s">
        <v>374</v>
      </c>
      <c r="K353" s="157"/>
      <c r="L353" s="157"/>
      <c r="M353" s="157"/>
      <c r="N353" s="157"/>
      <c r="O353" s="157"/>
      <c r="P353" s="157"/>
      <c r="Q353" s="157"/>
      <c r="R353" s="157"/>
      <c r="S353" s="157"/>
    </row>
    <row r="354" spans="1:19" s="159" customFormat="1" ht="25">
      <c r="A354" s="115" t="s">
        <v>375</v>
      </c>
      <c r="B354" s="105" t="s">
        <v>472</v>
      </c>
      <c r="C354" s="105" t="s">
        <v>665</v>
      </c>
      <c r="D354" s="122" t="s">
        <v>371</v>
      </c>
      <c r="E354" s="115" t="s">
        <v>474</v>
      </c>
      <c r="F354" s="115"/>
      <c r="G354" s="115" t="s">
        <v>321</v>
      </c>
      <c r="H354" s="122"/>
      <c r="I354" s="122"/>
      <c r="J354" s="105" t="s">
        <v>374</v>
      </c>
      <c r="K354" s="157"/>
      <c r="L354" s="157"/>
      <c r="M354" s="157"/>
      <c r="N354" s="157"/>
      <c r="O354" s="157"/>
      <c r="P354" s="157"/>
      <c r="Q354" s="157"/>
      <c r="R354" s="157"/>
      <c r="S354" s="157"/>
    </row>
    <row r="355" spans="1:19" s="159" customFormat="1" ht="37.5">
      <c r="A355" s="115" t="s">
        <v>375</v>
      </c>
      <c r="B355" s="105"/>
      <c r="C355" s="105" t="s">
        <v>475</v>
      </c>
      <c r="D355" s="122" t="s">
        <v>371</v>
      </c>
      <c r="E355" s="115" t="s">
        <v>476</v>
      </c>
      <c r="F355" s="115"/>
      <c r="G355" s="115" t="s">
        <v>321</v>
      </c>
      <c r="H355" s="122"/>
      <c r="I355" s="122"/>
      <c r="J355" s="105" t="s">
        <v>374</v>
      </c>
      <c r="K355" s="157"/>
      <c r="L355" s="157"/>
      <c r="M355" s="157"/>
      <c r="N355" s="157"/>
      <c r="O355" s="157"/>
      <c r="P355" s="157"/>
      <c r="Q355" s="157"/>
      <c r="R355" s="157"/>
      <c r="S355" s="157"/>
    </row>
    <row r="356" spans="1:19" s="159" customFormat="1" ht="25">
      <c r="A356" s="115" t="s">
        <v>375</v>
      </c>
      <c r="B356" s="105" t="s">
        <v>477</v>
      </c>
      <c r="C356" s="105" t="s">
        <v>666</v>
      </c>
      <c r="D356" s="122" t="s">
        <v>371</v>
      </c>
      <c r="E356" s="115" t="s">
        <v>479</v>
      </c>
      <c r="F356" s="115"/>
      <c r="G356" s="115" t="s">
        <v>321</v>
      </c>
      <c r="H356" s="122"/>
      <c r="I356" s="122"/>
      <c r="J356" s="105" t="s">
        <v>374</v>
      </c>
      <c r="K356" s="157"/>
      <c r="L356" s="157"/>
      <c r="M356" s="157"/>
      <c r="N356" s="157"/>
      <c r="O356" s="157"/>
      <c r="P356" s="157"/>
      <c r="Q356" s="157"/>
      <c r="R356" s="157"/>
      <c r="S356" s="157"/>
    </row>
    <row r="357" spans="1:19" s="159" customFormat="1" ht="60" customHeight="1">
      <c r="A357" s="105"/>
      <c r="B357" s="105"/>
      <c r="C357" s="105" t="s">
        <v>667</v>
      </c>
      <c r="D357" s="122" t="s">
        <v>371</v>
      </c>
      <c r="E357" s="115" t="s">
        <v>481</v>
      </c>
      <c r="F357" s="115"/>
      <c r="G357" s="115" t="s">
        <v>321</v>
      </c>
      <c r="H357" s="122"/>
      <c r="I357" s="122"/>
      <c r="J357" s="105" t="s">
        <v>374</v>
      </c>
      <c r="K357" s="157"/>
      <c r="L357" s="157"/>
      <c r="M357" s="157"/>
      <c r="N357" s="157"/>
      <c r="O357" s="157"/>
      <c r="P357" s="157"/>
      <c r="Q357" s="157"/>
      <c r="R357" s="157"/>
      <c r="S357" s="157"/>
    </row>
    <row r="358" spans="1:19" s="159" customFormat="1">
      <c r="A358" s="118"/>
      <c r="B358" s="118"/>
      <c r="C358" s="118" t="s">
        <v>482</v>
      </c>
      <c r="D358" s="122" t="s">
        <v>371</v>
      </c>
      <c r="E358" s="122" t="s">
        <v>483</v>
      </c>
      <c r="F358" s="122"/>
      <c r="G358" s="122" t="s">
        <v>321</v>
      </c>
      <c r="H358" s="122"/>
      <c r="I358" s="122"/>
      <c r="J358" s="105" t="s">
        <v>374</v>
      </c>
      <c r="K358" s="157"/>
      <c r="L358" s="157"/>
      <c r="M358" s="157"/>
      <c r="N358" s="157"/>
      <c r="O358" s="157"/>
      <c r="P358" s="157"/>
      <c r="Q358" s="157"/>
      <c r="R358" s="157"/>
      <c r="S358" s="157"/>
    </row>
    <row r="359" spans="1:19" s="159" customFormat="1">
      <c r="A359" s="118"/>
      <c r="B359" s="118"/>
      <c r="C359" s="118" t="s">
        <v>482</v>
      </c>
      <c r="D359" s="122" t="s">
        <v>371</v>
      </c>
      <c r="E359" s="122" t="s">
        <v>484</v>
      </c>
      <c r="F359" s="122"/>
      <c r="G359" s="122" t="s">
        <v>321</v>
      </c>
      <c r="H359" s="122"/>
      <c r="I359" s="122"/>
      <c r="J359" s="105" t="s">
        <v>374</v>
      </c>
      <c r="K359" s="157"/>
      <c r="L359" s="157"/>
      <c r="M359" s="157"/>
      <c r="N359" s="157"/>
      <c r="O359" s="157"/>
      <c r="P359" s="157"/>
      <c r="Q359" s="157"/>
      <c r="R359" s="157"/>
      <c r="S359" s="157"/>
    </row>
    <row r="360" spans="1:19" s="159" customFormat="1" ht="25">
      <c r="A360" s="122" t="s">
        <v>375</v>
      </c>
      <c r="B360" s="118" t="s">
        <v>485</v>
      </c>
      <c r="C360" s="118" t="s">
        <v>486</v>
      </c>
      <c r="D360" s="122" t="s">
        <v>371</v>
      </c>
      <c r="E360" s="122" t="s">
        <v>487</v>
      </c>
      <c r="F360" s="122"/>
      <c r="G360" s="122" t="s">
        <v>321</v>
      </c>
      <c r="H360" s="122"/>
      <c r="I360" s="122"/>
      <c r="J360" s="105" t="s">
        <v>374</v>
      </c>
      <c r="K360" s="157"/>
      <c r="L360" s="157"/>
      <c r="M360" s="157"/>
      <c r="N360" s="157"/>
      <c r="O360" s="157"/>
      <c r="P360" s="157"/>
      <c r="Q360" s="157"/>
      <c r="R360" s="157"/>
      <c r="S360" s="157"/>
    </row>
    <row r="361" spans="1:19" s="159" customFormat="1">
      <c r="A361" s="118"/>
      <c r="B361" s="118"/>
      <c r="C361" s="118" t="s">
        <v>482</v>
      </c>
      <c r="D361" s="122" t="s">
        <v>371</v>
      </c>
      <c r="E361" s="122" t="s">
        <v>489</v>
      </c>
      <c r="F361" s="122"/>
      <c r="G361" s="122" t="s">
        <v>321</v>
      </c>
      <c r="H361" s="122"/>
      <c r="I361" s="122"/>
      <c r="J361" s="105" t="s">
        <v>374</v>
      </c>
      <c r="K361" s="157"/>
      <c r="L361" s="157"/>
      <c r="M361" s="157"/>
      <c r="N361" s="157"/>
      <c r="O361" s="157"/>
      <c r="P361" s="157"/>
      <c r="Q361" s="157"/>
      <c r="R361" s="157"/>
      <c r="S361" s="157"/>
    </row>
    <row r="362" spans="1:19" s="159" customFormat="1">
      <c r="A362" s="118"/>
      <c r="B362" s="118"/>
      <c r="C362" s="118" t="s">
        <v>482</v>
      </c>
      <c r="D362" s="122" t="s">
        <v>371</v>
      </c>
      <c r="E362" s="122" t="s">
        <v>490</v>
      </c>
      <c r="F362" s="122"/>
      <c r="G362" s="122" t="s">
        <v>321</v>
      </c>
      <c r="H362" s="122"/>
      <c r="I362" s="122"/>
      <c r="J362" s="105" t="s">
        <v>374</v>
      </c>
      <c r="K362" s="157"/>
      <c r="L362" s="157"/>
      <c r="M362" s="157"/>
      <c r="N362" s="157"/>
      <c r="O362" s="157"/>
      <c r="P362" s="157"/>
      <c r="Q362" s="157"/>
      <c r="R362" s="157"/>
      <c r="S362" s="157"/>
    </row>
    <row r="363" spans="1:19" s="159" customFormat="1">
      <c r="A363" s="122" t="s">
        <v>375</v>
      </c>
      <c r="B363" s="118" t="s">
        <v>491</v>
      </c>
      <c r="C363" s="118" t="s">
        <v>492</v>
      </c>
      <c r="D363" s="122" t="s">
        <v>371</v>
      </c>
      <c r="E363" s="122" t="s">
        <v>493</v>
      </c>
      <c r="F363" s="122"/>
      <c r="G363" s="122" t="s">
        <v>321</v>
      </c>
      <c r="H363" s="122"/>
      <c r="I363" s="122"/>
      <c r="J363" s="105" t="s">
        <v>374</v>
      </c>
      <c r="K363" s="157"/>
      <c r="L363" s="157"/>
      <c r="M363" s="157"/>
      <c r="N363" s="157"/>
      <c r="O363" s="157"/>
      <c r="P363" s="157"/>
      <c r="Q363" s="157"/>
      <c r="R363" s="157"/>
      <c r="S363" s="157"/>
    </row>
    <row r="364" spans="1:19" s="159" customFormat="1" ht="109.4" customHeight="1">
      <c r="A364" s="177" t="s">
        <v>656</v>
      </c>
      <c r="B364" s="177" t="s">
        <v>668</v>
      </c>
      <c r="C364" s="105" t="s">
        <v>669</v>
      </c>
      <c r="D364" s="131" t="s">
        <v>371</v>
      </c>
      <c r="E364" s="151" t="s">
        <v>497</v>
      </c>
      <c r="F364" s="131" t="s">
        <v>498</v>
      </c>
      <c r="G364" s="131" t="s">
        <v>321</v>
      </c>
      <c r="H364" s="122"/>
      <c r="I364" s="122"/>
      <c r="J364" s="105" t="s">
        <v>374</v>
      </c>
      <c r="K364" s="157"/>
      <c r="L364" s="157"/>
      <c r="M364" s="157"/>
      <c r="N364" s="157"/>
      <c r="O364" s="157"/>
      <c r="P364" s="157"/>
      <c r="Q364" s="157"/>
      <c r="R364" s="157"/>
      <c r="S364" s="157"/>
    </row>
    <row r="365" spans="1:19" s="159" customFormat="1" ht="103.75" customHeight="1">
      <c r="A365" s="105" t="s">
        <v>658</v>
      </c>
      <c r="B365" s="105" t="s">
        <v>659</v>
      </c>
      <c r="C365" s="178" t="s">
        <v>670</v>
      </c>
      <c r="D365" s="122" t="s">
        <v>371</v>
      </c>
      <c r="E365" s="172" t="s">
        <v>501</v>
      </c>
      <c r="F365" s="118"/>
      <c r="G365" s="118" t="s">
        <v>321</v>
      </c>
      <c r="H365" s="158" t="s">
        <v>661</v>
      </c>
      <c r="I365" s="122"/>
      <c r="J365" s="105" t="s">
        <v>374</v>
      </c>
      <c r="K365" s="157"/>
      <c r="L365" s="157"/>
      <c r="M365" s="157"/>
      <c r="N365" s="157"/>
      <c r="O365" s="157"/>
      <c r="P365" s="157"/>
      <c r="Q365" s="157"/>
      <c r="R365" s="157"/>
      <c r="S365" s="157"/>
    </row>
    <row r="366" spans="1:19" s="159" customFormat="1" ht="50">
      <c r="A366" s="118" t="s">
        <v>406</v>
      </c>
      <c r="B366" s="118" t="s">
        <v>502</v>
      </c>
      <c r="C366" s="118" t="s">
        <v>503</v>
      </c>
      <c r="D366" s="122" t="s">
        <v>371</v>
      </c>
      <c r="E366" s="122" t="s">
        <v>504</v>
      </c>
      <c r="F366" s="122"/>
      <c r="G366" s="122" t="s">
        <v>321</v>
      </c>
      <c r="H366" s="122"/>
      <c r="I366" s="122"/>
      <c r="J366" s="105" t="s">
        <v>374</v>
      </c>
      <c r="K366" s="157"/>
      <c r="L366" s="157"/>
      <c r="M366" s="157"/>
      <c r="N366" s="157"/>
      <c r="O366" s="157"/>
      <c r="P366" s="157"/>
      <c r="Q366" s="157"/>
      <c r="R366" s="157"/>
      <c r="S366" s="157"/>
    </row>
    <row r="367" spans="1:19" s="159" customFormat="1">
      <c r="A367" s="122" t="s">
        <v>375</v>
      </c>
      <c r="B367" s="118" t="s">
        <v>464</v>
      </c>
      <c r="C367" s="118" t="s">
        <v>383</v>
      </c>
      <c r="D367" s="122" t="s">
        <v>371</v>
      </c>
      <c r="E367" s="122" t="s">
        <v>506</v>
      </c>
      <c r="F367" s="122"/>
      <c r="G367" s="122" t="s">
        <v>321</v>
      </c>
      <c r="H367" s="122"/>
      <c r="I367" s="122"/>
      <c r="J367" s="105" t="s">
        <v>374</v>
      </c>
      <c r="K367" s="157"/>
      <c r="L367" s="157"/>
      <c r="M367" s="157"/>
      <c r="N367" s="157"/>
      <c r="O367" s="157"/>
      <c r="P367" s="157"/>
      <c r="Q367" s="157"/>
      <c r="R367" s="157"/>
      <c r="S367" s="157"/>
    </row>
    <row r="368" spans="1:19" s="159" customFormat="1" ht="25">
      <c r="A368" s="118"/>
      <c r="B368" s="118"/>
      <c r="C368" s="118" t="s">
        <v>507</v>
      </c>
      <c r="D368" s="122" t="s">
        <v>371</v>
      </c>
      <c r="E368" s="122" t="s">
        <v>508</v>
      </c>
      <c r="F368" s="122"/>
      <c r="G368" s="122" t="s">
        <v>321</v>
      </c>
      <c r="H368" s="122"/>
      <c r="I368" s="122"/>
      <c r="J368" s="105" t="s">
        <v>374</v>
      </c>
      <c r="K368" s="157"/>
      <c r="L368" s="157"/>
      <c r="M368" s="157"/>
      <c r="N368" s="157"/>
      <c r="O368" s="157"/>
      <c r="P368" s="157"/>
      <c r="Q368" s="157"/>
      <c r="R368" s="157"/>
      <c r="S368" s="157"/>
    </row>
    <row r="369" spans="1:19" s="159" customFormat="1" ht="37.5">
      <c r="A369" s="122" t="s">
        <v>375</v>
      </c>
      <c r="B369" s="105" t="s">
        <v>469</v>
      </c>
      <c r="C369" s="105" t="s">
        <v>671</v>
      </c>
      <c r="D369" s="122" t="s">
        <v>371</v>
      </c>
      <c r="E369" s="115" t="s">
        <v>510</v>
      </c>
      <c r="F369" s="115"/>
      <c r="G369" s="122" t="s">
        <v>321</v>
      </c>
      <c r="H369" s="122"/>
      <c r="I369" s="122"/>
      <c r="J369" s="105" t="s">
        <v>374</v>
      </c>
      <c r="K369" s="157"/>
      <c r="L369" s="157"/>
      <c r="M369" s="157"/>
      <c r="N369" s="157"/>
      <c r="O369" s="157"/>
      <c r="P369" s="157"/>
      <c r="Q369" s="157"/>
      <c r="R369" s="157"/>
      <c r="S369" s="157"/>
    </row>
    <row r="370" spans="1:19" s="159" customFormat="1">
      <c r="A370" s="122" t="s">
        <v>375</v>
      </c>
      <c r="B370" s="118" t="s">
        <v>472</v>
      </c>
      <c r="C370" s="118" t="s">
        <v>93</v>
      </c>
      <c r="D370" s="122" t="s">
        <v>371</v>
      </c>
      <c r="E370" s="122" t="s">
        <v>512</v>
      </c>
      <c r="F370" s="122"/>
      <c r="G370" s="122" t="s">
        <v>321</v>
      </c>
      <c r="H370" s="122"/>
      <c r="I370" s="122"/>
      <c r="J370" s="105" t="s">
        <v>374</v>
      </c>
      <c r="K370" s="157"/>
      <c r="L370" s="157"/>
      <c r="M370" s="157"/>
      <c r="N370" s="157"/>
      <c r="O370" s="157"/>
      <c r="P370" s="157"/>
      <c r="Q370" s="157"/>
      <c r="R370" s="157"/>
      <c r="S370" s="157"/>
    </row>
    <row r="371" spans="1:19" s="159" customFormat="1" ht="37.5">
      <c r="A371" s="118"/>
      <c r="B371" s="118"/>
      <c r="C371" s="118" t="s">
        <v>672</v>
      </c>
      <c r="D371" s="122" t="s">
        <v>371</v>
      </c>
      <c r="E371" s="122" t="s">
        <v>514</v>
      </c>
      <c r="F371" s="122"/>
      <c r="G371" s="122" t="s">
        <v>321</v>
      </c>
      <c r="H371" s="122"/>
      <c r="I371" s="122"/>
      <c r="J371" s="105" t="s">
        <v>374</v>
      </c>
      <c r="K371" s="157"/>
      <c r="L371" s="157"/>
      <c r="M371" s="157"/>
      <c r="N371" s="157"/>
      <c r="O371" s="157"/>
      <c r="P371" s="157"/>
      <c r="Q371" s="157"/>
      <c r="R371" s="157"/>
      <c r="S371" s="157"/>
    </row>
    <row r="372" spans="1:19" s="159" customFormat="1">
      <c r="A372" s="122" t="s">
        <v>375</v>
      </c>
      <c r="B372" s="118" t="s">
        <v>477</v>
      </c>
      <c r="C372" s="118" t="s">
        <v>93</v>
      </c>
      <c r="D372" s="122" t="s">
        <v>371</v>
      </c>
      <c r="E372" s="122" t="s">
        <v>516</v>
      </c>
      <c r="F372" s="122"/>
      <c r="G372" s="122" t="s">
        <v>321</v>
      </c>
      <c r="H372" s="122"/>
      <c r="I372" s="122"/>
      <c r="J372" s="105" t="s">
        <v>374</v>
      </c>
      <c r="K372" s="157"/>
      <c r="L372" s="157"/>
      <c r="M372" s="157"/>
      <c r="N372" s="157"/>
      <c r="O372" s="157"/>
      <c r="P372" s="157"/>
      <c r="Q372" s="157"/>
      <c r="R372" s="157"/>
      <c r="S372" s="157"/>
    </row>
    <row r="373" spans="1:19" s="159" customFormat="1" ht="100">
      <c r="A373" s="118"/>
      <c r="B373" s="118"/>
      <c r="C373" s="118" t="s">
        <v>673</v>
      </c>
      <c r="D373" s="122" t="s">
        <v>371</v>
      </c>
      <c r="E373" s="122" t="s">
        <v>518</v>
      </c>
      <c r="F373" s="122"/>
      <c r="G373" s="122" t="s">
        <v>321</v>
      </c>
      <c r="H373" s="122"/>
      <c r="I373" s="122"/>
      <c r="J373" s="105" t="s">
        <v>374</v>
      </c>
      <c r="K373" s="157"/>
      <c r="L373" s="157"/>
      <c r="M373" s="157"/>
      <c r="N373" s="157"/>
      <c r="O373" s="157"/>
      <c r="P373" s="157"/>
      <c r="Q373" s="157"/>
      <c r="R373" s="157"/>
      <c r="S373" s="157"/>
    </row>
    <row r="374" spans="1:19" s="159" customFormat="1">
      <c r="A374" s="118"/>
      <c r="B374" s="118"/>
      <c r="C374" s="118" t="s">
        <v>482</v>
      </c>
      <c r="D374" s="122" t="s">
        <v>371</v>
      </c>
      <c r="E374" s="122" t="s">
        <v>519</v>
      </c>
      <c r="F374" s="122"/>
      <c r="G374" s="122" t="s">
        <v>321</v>
      </c>
      <c r="H374" s="122"/>
      <c r="I374" s="122"/>
      <c r="J374" s="105" t="s">
        <v>374</v>
      </c>
      <c r="K374" s="157"/>
      <c r="L374" s="157"/>
      <c r="M374" s="157"/>
      <c r="N374" s="157"/>
      <c r="O374" s="157"/>
      <c r="P374" s="157"/>
      <c r="Q374" s="157"/>
      <c r="R374" s="157"/>
      <c r="S374" s="157"/>
    </row>
    <row r="375" spans="1:19" s="159" customFormat="1">
      <c r="A375" s="118"/>
      <c r="B375" s="118"/>
      <c r="C375" s="118" t="s">
        <v>482</v>
      </c>
      <c r="D375" s="122" t="s">
        <v>371</v>
      </c>
      <c r="E375" s="122" t="s">
        <v>520</v>
      </c>
      <c r="F375" s="122"/>
      <c r="G375" s="122" t="s">
        <v>321</v>
      </c>
      <c r="H375" s="122"/>
      <c r="I375" s="122"/>
      <c r="J375" s="105" t="s">
        <v>374</v>
      </c>
      <c r="K375" s="157"/>
      <c r="L375" s="157"/>
      <c r="M375" s="157"/>
      <c r="N375" s="157"/>
      <c r="O375" s="157"/>
      <c r="P375" s="157"/>
      <c r="Q375" s="157"/>
      <c r="R375" s="157"/>
      <c r="S375" s="157"/>
    </row>
    <row r="376" spans="1:19" s="159" customFormat="1" ht="25">
      <c r="A376" s="122" t="s">
        <v>375</v>
      </c>
      <c r="B376" s="118" t="s">
        <v>485</v>
      </c>
      <c r="C376" s="118" t="s">
        <v>674</v>
      </c>
      <c r="D376" s="122" t="s">
        <v>371</v>
      </c>
      <c r="E376" s="122" t="s">
        <v>522</v>
      </c>
      <c r="F376" s="122"/>
      <c r="G376" s="122" t="s">
        <v>321</v>
      </c>
      <c r="H376" s="122"/>
      <c r="I376" s="122"/>
      <c r="J376" s="105" t="s">
        <v>374</v>
      </c>
      <c r="K376" s="157"/>
      <c r="L376" s="157"/>
      <c r="M376" s="157"/>
      <c r="N376" s="157"/>
      <c r="O376" s="157"/>
      <c r="P376" s="157"/>
      <c r="Q376" s="157"/>
      <c r="R376" s="157"/>
      <c r="S376" s="157"/>
    </row>
    <row r="377" spans="1:19" s="159" customFormat="1">
      <c r="A377" s="118"/>
      <c r="B377" s="118"/>
      <c r="C377" s="118" t="s">
        <v>482</v>
      </c>
      <c r="D377" s="122" t="s">
        <v>371</v>
      </c>
      <c r="E377" s="122" t="s">
        <v>523</v>
      </c>
      <c r="F377" s="122"/>
      <c r="G377" s="122" t="s">
        <v>321</v>
      </c>
      <c r="H377" s="122"/>
      <c r="I377" s="122"/>
      <c r="J377" s="105" t="s">
        <v>374</v>
      </c>
      <c r="K377" s="157"/>
      <c r="L377" s="157"/>
      <c r="M377" s="157"/>
      <c r="N377" s="157"/>
      <c r="O377" s="157"/>
      <c r="P377" s="157"/>
      <c r="Q377" s="157"/>
      <c r="R377" s="157"/>
      <c r="S377" s="157"/>
    </row>
    <row r="378" spans="1:19" s="159" customFormat="1">
      <c r="A378" s="118"/>
      <c r="B378" s="118"/>
      <c r="C378" s="118" t="s">
        <v>482</v>
      </c>
      <c r="D378" s="122" t="s">
        <v>371</v>
      </c>
      <c r="E378" s="122" t="s">
        <v>524</v>
      </c>
      <c r="F378" s="122"/>
      <c r="G378" s="122" t="s">
        <v>321</v>
      </c>
      <c r="H378" s="122"/>
      <c r="I378" s="122"/>
      <c r="J378" s="105" t="s">
        <v>374</v>
      </c>
      <c r="K378" s="157"/>
      <c r="L378" s="157"/>
      <c r="M378" s="157"/>
      <c r="N378" s="157"/>
      <c r="O378" s="157"/>
      <c r="P378" s="157"/>
      <c r="Q378" s="157"/>
      <c r="R378" s="157"/>
      <c r="S378" s="157"/>
    </row>
    <row r="379" spans="1:19" s="159" customFormat="1">
      <c r="A379" s="118"/>
      <c r="B379" s="118"/>
      <c r="C379" s="118" t="s">
        <v>675</v>
      </c>
      <c r="D379" s="122" t="s">
        <v>371</v>
      </c>
      <c r="E379" s="122" t="s">
        <v>525</v>
      </c>
      <c r="F379" s="122"/>
      <c r="G379" s="122" t="s">
        <v>321</v>
      </c>
      <c r="H379" s="122"/>
      <c r="I379" s="122"/>
      <c r="J379" s="105" t="s">
        <v>374</v>
      </c>
      <c r="K379" s="157"/>
      <c r="L379" s="157"/>
      <c r="M379" s="157"/>
      <c r="N379" s="157"/>
      <c r="O379" s="157"/>
      <c r="P379" s="157"/>
      <c r="Q379" s="157"/>
      <c r="R379" s="157"/>
      <c r="S379" s="157"/>
    </row>
    <row r="380" spans="1:19" s="159" customFormat="1">
      <c r="A380" s="118"/>
      <c r="B380" s="118"/>
      <c r="C380" s="118" t="s">
        <v>482</v>
      </c>
      <c r="D380" s="122" t="s">
        <v>371</v>
      </c>
      <c r="E380" s="122" t="s">
        <v>526</v>
      </c>
      <c r="F380" s="122"/>
      <c r="G380" s="122" t="s">
        <v>321</v>
      </c>
      <c r="H380" s="122"/>
      <c r="I380" s="122"/>
      <c r="J380" s="105" t="s">
        <v>374</v>
      </c>
      <c r="K380" s="157"/>
      <c r="L380" s="157"/>
      <c r="M380" s="157"/>
      <c r="N380" s="157"/>
      <c r="O380" s="157"/>
      <c r="P380" s="157"/>
      <c r="Q380" s="157"/>
      <c r="R380" s="157"/>
      <c r="S380" s="157"/>
    </row>
    <row r="381" spans="1:19" s="159" customFormat="1">
      <c r="A381" s="118"/>
      <c r="B381" s="118"/>
      <c r="C381" s="118" t="s">
        <v>527</v>
      </c>
      <c r="D381" s="122" t="s">
        <v>371</v>
      </c>
      <c r="E381" s="122" t="s">
        <v>528</v>
      </c>
      <c r="F381" s="122"/>
      <c r="G381" s="122" t="s">
        <v>321</v>
      </c>
      <c r="H381" s="122"/>
      <c r="I381" s="122"/>
      <c r="J381" s="105" t="s">
        <v>374</v>
      </c>
      <c r="K381" s="157"/>
      <c r="L381" s="157"/>
      <c r="M381" s="157"/>
      <c r="N381" s="157"/>
      <c r="O381" s="157"/>
      <c r="P381" s="157"/>
      <c r="Q381" s="157"/>
      <c r="R381" s="157"/>
      <c r="S381" s="157"/>
    </row>
    <row r="382" spans="1:19" s="159" customFormat="1">
      <c r="A382" s="118"/>
      <c r="B382" s="118"/>
      <c r="C382" s="118" t="s">
        <v>529</v>
      </c>
      <c r="D382" s="122" t="s">
        <v>371</v>
      </c>
      <c r="E382" s="122" t="s">
        <v>530</v>
      </c>
      <c r="F382" s="122"/>
      <c r="G382" s="122" t="s">
        <v>321</v>
      </c>
      <c r="H382" s="122"/>
      <c r="I382" s="122"/>
      <c r="J382" s="105" t="s">
        <v>374</v>
      </c>
      <c r="K382" s="157"/>
      <c r="L382" s="157"/>
      <c r="M382" s="157"/>
      <c r="N382" s="157"/>
      <c r="O382" s="157"/>
      <c r="P382" s="157"/>
      <c r="Q382" s="157"/>
      <c r="R382" s="157"/>
      <c r="S382" s="157"/>
    </row>
    <row r="383" spans="1:19" s="159" customFormat="1" ht="25">
      <c r="A383" s="118"/>
      <c r="B383" s="118"/>
      <c r="C383" s="118" t="s">
        <v>531</v>
      </c>
      <c r="D383" s="122" t="s">
        <v>371</v>
      </c>
      <c r="E383" s="122" t="s">
        <v>532</v>
      </c>
      <c r="F383" s="122"/>
      <c r="G383" s="122" t="s">
        <v>321</v>
      </c>
      <c r="H383" s="122"/>
      <c r="I383" s="122"/>
      <c r="J383" s="105" t="s">
        <v>374</v>
      </c>
      <c r="K383" s="157"/>
      <c r="L383" s="157"/>
      <c r="M383" s="157"/>
      <c r="N383" s="157"/>
      <c r="O383" s="157"/>
      <c r="P383" s="157"/>
      <c r="Q383" s="157"/>
      <c r="R383" s="157"/>
      <c r="S383" s="157"/>
    </row>
    <row r="384" spans="1:19" s="159" customFormat="1" ht="25">
      <c r="A384" s="118"/>
      <c r="B384" s="118"/>
      <c r="C384" s="118" t="s">
        <v>533</v>
      </c>
      <c r="D384" s="122" t="s">
        <v>371</v>
      </c>
      <c r="E384" s="122" t="s">
        <v>534</v>
      </c>
      <c r="F384" s="122"/>
      <c r="G384" s="122" t="s">
        <v>321</v>
      </c>
      <c r="H384" s="122"/>
      <c r="I384" s="122"/>
      <c r="J384" s="105" t="s">
        <v>374</v>
      </c>
      <c r="K384" s="157"/>
      <c r="L384" s="157"/>
      <c r="M384" s="157"/>
      <c r="N384" s="157"/>
      <c r="O384" s="157"/>
      <c r="P384" s="157"/>
      <c r="Q384" s="157"/>
      <c r="R384" s="157"/>
      <c r="S384" s="157"/>
    </row>
    <row r="385" spans="1:19" s="159" customFormat="1" ht="25">
      <c r="A385" s="118"/>
      <c r="B385" s="118"/>
      <c r="C385" s="118" t="s">
        <v>535</v>
      </c>
      <c r="D385" s="122" t="s">
        <v>371</v>
      </c>
      <c r="E385" s="122" t="s">
        <v>536</v>
      </c>
      <c r="F385" s="122"/>
      <c r="G385" s="122" t="s">
        <v>321</v>
      </c>
      <c r="H385" s="122"/>
      <c r="I385" s="122"/>
      <c r="J385" s="105" t="s">
        <v>374</v>
      </c>
      <c r="K385" s="157"/>
      <c r="L385" s="157"/>
      <c r="M385" s="157"/>
      <c r="N385" s="157"/>
      <c r="O385" s="157"/>
      <c r="P385" s="157"/>
      <c r="Q385" s="157"/>
      <c r="R385" s="157"/>
      <c r="S385" s="157"/>
    </row>
    <row r="386" spans="1:19" s="159" customFormat="1" ht="25">
      <c r="A386" s="118"/>
      <c r="B386" s="118"/>
      <c r="C386" s="118" t="s">
        <v>537</v>
      </c>
      <c r="D386" s="122" t="s">
        <v>371</v>
      </c>
      <c r="E386" s="122" t="s">
        <v>538</v>
      </c>
      <c r="F386" s="122"/>
      <c r="G386" s="122" t="s">
        <v>321</v>
      </c>
      <c r="H386" s="122"/>
      <c r="I386" s="122"/>
      <c r="J386" s="105" t="s">
        <v>374</v>
      </c>
      <c r="K386" s="157"/>
      <c r="L386" s="157"/>
      <c r="M386" s="157"/>
      <c r="N386" s="157"/>
      <c r="O386" s="157"/>
      <c r="P386" s="157"/>
      <c r="Q386" s="157"/>
      <c r="R386" s="157"/>
      <c r="S386" s="157"/>
    </row>
    <row r="387" spans="1:19" s="159" customFormat="1">
      <c r="A387" s="118"/>
      <c r="B387" s="118"/>
      <c r="C387" s="118" t="s">
        <v>539</v>
      </c>
      <c r="D387" s="122" t="s">
        <v>371</v>
      </c>
      <c r="E387" s="122" t="s">
        <v>540</v>
      </c>
      <c r="F387" s="122"/>
      <c r="G387" s="122" t="s">
        <v>321</v>
      </c>
      <c r="H387" s="122"/>
      <c r="I387" s="122"/>
      <c r="J387" s="105" t="s">
        <v>374</v>
      </c>
      <c r="K387" s="157"/>
      <c r="L387" s="157"/>
      <c r="M387" s="157"/>
      <c r="N387" s="157"/>
      <c r="O387" s="157"/>
      <c r="P387" s="157"/>
      <c r="Q387" s="157"/>
      <c r="R387" s="157"/>
      <c r="S387" s="157"/>
    </row>
    <row r="388" spans="1:19" s="159" customFormat="1" ht="25">
      <c r="A388" s="118"/>
      <c r="B388" s="118"/>
      <c r="C388" s="118" t="s">
        <v>541</v>
      </c>
      <c r="D388" s="122" t="s">
        <v>371</v>
      </c>
      <c r="E388" s="122" t="s">
        <v>542</v>
      </c>
      <c r="F388" s="122"/>
      <c r="G388" s="122" t="s">
        <v>321</v>
      </c>
      <c r="H388" s="122"/>
      <c r="I388" s="122"/>
      <c r="J388" s="105" t="s">
        <v>374</v>
      </c>
      <c r="K388" s="157"/>
      <c r="L388" s="157"/>
      <c r="M388" s="157"/>
      <c r="N388" s="157"/>
      <c r="O388" s="157"/>
      <c r="P388" s="157"/>
      <c r="Q388" s="157"/>
      <c r="R388" s="157"/>
      <c r="S388" s="157"/>
    </row>
    <row r="389" spans="1:19" s="159" customFormat="1">
      <c r="A389" s="118"/>
      <c r="B389" s="118"/>
      <c r="C389" s="118" t="s">
        <v>543</v>
      </c>
      <c r="D389" s="122" t="s">
        <v>371</v>
      </c>
      <c r="E389" s="122" t="s">
        <v>544</v>
      </c>
      <c r="F389" s="122"/>
      <c r="G389" s="122" t="s">
        <v>321</v>
      </c>
      <c r="H389" s="122"/>
      <c r="I389" s="122"/>
      <c r="J389" s="105" t="s">
        <v>374</v>
      </c>
      <c r="K389" s="157"/>
      <c r="L389" s="157"/>
      <c r="M389" s="157"/>
      <c r="N389" s="157"/>
      <c r="O389" s="157"/>
      <c r="P389" s="157"/>
      <c r="Q389" s="157"/>
      <c r="R389" s="157"/>
      <c r="S389" s="157"/>
    </row>
    <row r="390" spans="1:19" s="159" customFormat="1">
      <c r="A390" s="118"/>
      <c r="B390" s="118"/>
      <c r="C390" s="118">
        <v>0</v>
      </c>
      <c r="D390" s="122" t="s">
        <v>371</v>
      </c>
      <c r="E390" s="122" t="s">
        <v>545</v>
      </c>
      <c r="F390" s="122"/>
      <c r="G390" s="122" t="s">
        <v>321</v>
      </c>
      <c r="H390" s="122"/>
      <c r="I390" s="122"/>
      <c r="J390" s="105" t="s">
        <v>374</v>
      </c>
      <c r="K390" s="157"/>
      <c r="L390" s="157"/>
      <c r="M390" s="157"/>
      <c r="N390" s="157"/>
      <c r="O390" s="157"/>
      <c r="P390" s="157"/>
      <c r="Q390" s="157"/>
      <c r="R390" s="157"/>
      <c r="S390" s="157"/>
    </row>
    <row r="391" spans="1:19" s="159" customFormat="1">
      <c r="A391" s="118"/>
      <c r="B391" s="118"/>
      <c r="C391" s="118">
        <v>0</v>
      </c>
      <c r="D391" s="122" t="s">
        <v>371</v>
      </c>
      <c r="E391" s="122" t="s">
        <v>546</v>
      </c>
      <c r="F391" s="122"/>
      <c r="G391" s="122" t="s">
        <v>321</v>
      </c>
      <c r="H391" s="122"/>
      <c r="I391" s="122"/>
      <c r="J391" s="105" t="s">
        <v>374</v>
      </c>
      <c r="K391" s="157"/>
      <c r="L391" s="157"/>
      <c r="M391" s="157"/>
      <c r="N391" s="157"/>
      <c r="O391" s="157"/>
      <c r="P391" s="157"/>
      <c r="Q391" s="157"/>
      <c r="R391" s="157"/>
      <c r="S391" s="157"/>
    </row>
    <row r="392" spans="1:19" s="159" customFormat="1">
      <c r="A392" s="118"/>
      <c r="B392" s="118"/>
      <c r="C392" s="118" t="s">
        <v>547</v>
      </c>
      <c r="D392" s="122" t="s">
        <v>371</v>
      </c>
      <c r="E392" s="122" t="s">
        <v>548</v>
      </c>
      <c r="F392" s="122"/>
      <c r="G392" s="122" t="s">
        <v>321</v>
      </c>
      <c r="H392" s="122"/>
      <c r="I392" s="122"/>
      <c r="J392" s="105" t="s">
        <v>374</v>
      </c>
      <c r="K392" s="157"/>
      <c r="L392" s="157"/>
      <c r="M392" s="157"/>
      <c r="N392" s="157"/>
      <c r="O392" s="157"/>
      <c r="P392" s="157"/>
      <c r="Q392" s="157"/>
      <c r="R392" s="157"/>
      <c r="S392" s="157"/>
    </row>
    <row r="393" spans="1:19" s="159" customFormat="1">
      <c r="A393" s="118"/>
      <c r="B393" s="118"/>
      <c r="C393" s="118" t="s">
        <v>549</v>
      </c>
      <c r="D393" s="122" t="s">
        <v>371</v>
      </c>
      <c r="E393" s="122" t="s">
        <v>550</v>
      </c>
      <c r="F393" s="122"/>
      <c r="G393" s="122" t="s">
        <v>321</v>
      </c>
      <c r="H393" s="122"/>
      <c r="I393" s="122"/>
      <c r="J393" s="105" t="s">
        <v>374</v>
      </c>
      <c r="K393" s="157"/>
      <c r="L393" s="157"/>
      <c r="M393" s="157"/>
      <c r="N393" s="157"/>
      <c r="O393" s="157"/>
      <c r="P393" s="157"/>
      <c r="Q393" s="157"/>
      <c r="R393" s="157"/>
      <c r="S393" s="157"/>
    </row>
    <row r="394" spans="1:19" s="159" customFormat="1">
      <c r="A394" s="118"/>
      <c r="B394" s="118"/>
      <c r="C394" s="118" t="s">
        <v>524</v>
      </c>
      <c r="D394" s="122" t="s">
        <v>371</v>
      </c>
      <c r="E394" s="122" t="s">
        <v>552</v>
      </c>
      <c r="F394" s="122"/>
      <c r="G394" s="122" t="s">
        <v>321</v>
      </c>
      <c r="H394" s="122"/>
      <c r="I394" s="122"/>
      <c r="J394" s="105" t="s">
        <v>374</v>
      </c>
      <c r="K394" s="157"/>
      <c r="L394" s="157"/>
      <c r="M394" s="157"/>
      <c r="N394" s="157"/>
      <c r="O394" s="157"/>
      <c r="P394" s="157"/>
      <c r="Q394" s="157"/>
      <c r="R394" s="157"/>
      <c r="S394" s="157"/>
    </row>
    <row r="395" spans="1:19" s="159" customFormat="1">
      <c r="A395" s="118"/>
      <c r="B395" s="118"/>
      <c r="C395" s="118">
        <v>0</v>
      </c>
      <c r="D395" s="122" t="s">
        <v>371</v>
      </c>
      <c r="E395" s="122" t="s">
        <v>553</v>
      </c>
      <c r="F395" s="122"/>
      <c r="G395" s="122" t="s">
        <v>321</v>
      </c>
      <c r="H395" s="122"/>
      <c r="I395" s="122"/>
      <c r="J395" s="105" t="s">
        <v>374</v>
      </c>
      <c r="K395" s="157"/>
      <c r="L395" s="157"/>
      <c r="M395" s="157"/>
      <c r="N395" s="157"/>
      <c r="O395" s="157"/>
      <c r="P395" s="157"/>
      <c r="Q395" s="157"/>
      <c r="R395" s="157"/>
      <c r="S395" s="157"/>
    </row>
    <row r="396" spans="1:19" s="159" customFormat="1">
      <c r="A396" s="115"/>
      <c r="B396" s="115"/>
      <c r="C396" s="115" t="s">
        <v>554</v>
      </c>
      <c r="D396" s="122" t="s">
        <v>371</v>
      </c>
      <c r="E396" s="115" t="s">
        <v>555</v>
      </c>
      <c r="F396" s="115"/>
      <c r="G396" s="115" t="s">
        <v>321</v>
      </c>
      <c r="H396" s="122"/>
      <c r="I396" s="122"/>
      <c r="J396" s="105" t="s">
        <v>374</v>
      </c>
      <c r="K396" s="157"/>
      <c r="L396" s="157"/>
      <c r="M396" s="157"/>
      <c r="N396" s="157"/>
      <c r="O396" s="157"/>
      <c r="P396" s="157"/>
      <c r="Q396" s="157"/>
      <c r="R396" s="157"/>
      <c r="S396" s="157"/>
    </row>
    <row r="397" spans="1:19" s="159" customFormat="1">
      <c r="A397" s="115" t="s">
        <v>557</v>
      </c>
      <c r="B397" s="115" t="s">
        <v>558</v>
      </c>
      <c r="C397" s="115" t="s">
        <v>93</v>
      </c>
      <c r="D397" s="122" t="s">
        <v>371</v>
      </c>
      <c r="E397" s="115" t="s">
        <v>559</v>
      </c>
      <c r="F397" s="115"/>
      <c r="G397" s="115" t="s">
        <v>373</v>
      </c>
      <c r="H397" s="122"/>
      <c r="I397" s="122"/>
      <c r="J397" s="105" t="s">
        <v>374</v>
      </c>
      <c r="K397" s="157"/>
      <c r="L397" s="157"/>
      <c r="M397" s="157"/>
      <c r="N397" s="157"/>
      <c r="O397" s="157"/>
      <c r="P397" s="157"/>
      <c r="Q397" s="157"/>
      <c r="R397" s="157"/>
      <c r="S397" s="157"/>
    </row>
    <row r="398" spans="1:19" s="159" customFormat="1" ht="112.5">
      <c r="A398" s="118" t="s">
        <v>560</v>
      </c>
      <c r="B398" s="147" t="s">
        <v>561</v>
      </c>
      <c r="C398" s="118" t="s">
        <v>562</v>
      </c>
      <c r="D398" s="131" t="s">
        <v>371</v>
      </c>
      <c r="E398" s="105" t="s">
        <v>563</v>
      </c>
      <c r="F398" s="131" t="s">
        <v>564</v>
      </c>
      <c r="G398" s="131" t="s">
        <v>321</v>
      </c>
      <c r="H398" s="118" t="s">
        <v>565</v>
      </c>
      <c r="I398" s="122"/>
      <c r="J398" s="105" t="s">
        <v>374</v>
      </c>
      <c r="K398" s="157"/>
      <c r="L398" s="157"/>
      <c r="M398" s="157"/>
      <c r="N398" s="157"/>
      <c r="O398" s="157"/>
      <c r="P398" s="157"/>
      <c r="Q398" s="157"/>
      <c r="R398" s="157"/>
      <c r="S398" s="157"/>
    </row>
    <row r="399" spans="1:19" s="159" customFormat="1" ht="112.5">
      <c r="A399" s="118" t="s">
        <v>560</v>
      </c>
      <c r="B399" s="147" t="s">
        <v>561</v>
      </c>
      <c r="C399" s="118" t="s">
        <v>566</v>
      </c>
      <c r="D399" s="131" t="s">
        <v>371</v>
      </c>
      <c r="E399" s="105" t="s">
        <v>567</v>
      </c>
      <c r="F399" s="131" t="s">
        <v>568</v>
      </c>
      <c r="G399" s="131" t="s">
        <v>321</v>
      </c>
      <c r="H399" s="118" t="s">
        <v>565</v>
      </c>
      <c r="I399" s="122"/>
      <c r="J399" s="105" t="s">
        <v>374</v>
      </c>
      <c r="K399" s="157"/>
      <c r="L399" s="157"/>
      <c r="M399" s="157"/>
      <c r="N399" s="157"/>
      <c r="O399" s="157"/>
      <c r="P399" s="157"/>
      <c r="Q399" s="157"/>
      <c r="R399" s="157"/>
      <c r="S399" s="157"/>
    </row>
    <row r="400" spans="1:19" s="179" customFormat="1" ht="162.5">
      <c r="A400" s="118" t="s">
        <v>375</v>
      </c>
      <c r="B400" s="147" t="s">
        <v>569</v>
      </c>
      <c r="C400" s="105" t="s">
        <v>570</v>
      </c>
      <c r="D400" s="131" t="s">
        <v>371</v>
      </c>
      <c r="E400" s="105" t="s">
        <v>571</v>
      </c>
      <c r="F400" s="131" t="s">
        <v>572</v>
      </c>
      <c r="G400" s="131" t="s">
        <v>321</v>
      </c>
      <c r="H400" s="118" t="s">
        <v>565</v>
      </c>
      <c r="I400" s="115"/>
      <c r="J400" s="105" t="s">
        <v>374</v>
      </c>
      <c r="K400" s="157"/>
      <c r="L400" s="157"/>
      <c r="M400" s="157"/>
      <c r="N400" s="157"/>
      <c r="O400" s="157"/>
      <c r="P400" s="157"/>
      <c r="Q400" s="157"/>
      <c r="R400" s="157"/>
      <c r="S400" s="157"/>
    </row>
    <row r="401" spans="1:19" s="179" customFormat="1" ht="162.5">
      <c r="A401" s="118" t="s">
        <v>573</v>
      </c>
      <c r="B401" s="147" t="s">
        <v>569</v>
      </c>
      <c r="C401" s="105" t="s">
        <v>574</v>
      </c>
      <c r="D401" s="131" t="s">
        <v>371</v>
      </c>
      <c r="E401" s="105" t="s">
        <v>575</v>
      </c>
      <c r="F401" s="131" t="s">
        <v>576</v>
      </c>
      <c r="G401" s="131" t="s">
        <v>321</v>
      </c>
      <c r="H401" s="118" t="s">
        <v>565</v>
      </c>
      <c r="I401" s="115"/>
      <c r="J401" s="105" t="s">
        <v>374</v>
      </c>
      <c r="K401" s="157"/>
      <c r="L401" s="157"/>
      <c r="M401" s="157"/>
      <c r="N401" s="157"/>
      <c r="O401" s="157"/>
      <c r="P401" s="157"/>
      <c r="Q401" s="157"/>
      <c r="R401" s="157"/>
      <c r="S401" s="157"/>
    </row>
    <row r="402" spans="1:19" s="159" customFormat="1" ht="37.5">
      <c r="A402" s="131" t="s">
        <v>371</v>
      </c>
      <c r="B402" s="147" t="s">
        <v>577</v>
      </c>
      <c r="C402" s="118" t="s">
        <v>578</v>
      </c>
      <c r="D402" s="131" t="s">
        <v>371</v>
      </c>
      <c r="E402" s="118" t="s">
        <v>579</v>
      </c>
      <c r="F402" s="131"/>
      <c r="G402" s="131" t="s">
        <v>321</v>
      </c>
      <c r="H402" s="122"/>
      <c r="I402" s="122"/>
      <c r="J402" s="105" t="s">
        <v>374</v>
      </c>
      <c r="K402" s="157"/>
      <c r="L402" s="157"/>
      <c r="M402" s="157"/>
      <c r="N402" s="157"/>
      <c r="O402" s="157"/>
      <c r="P402" s="157"/>
      <c r="Q402" s="157"/>
      <c r="R402" s="157"/>
      <c r="S402" s="157"/>
    </row>
    <row r="403" spans="1:19" s="159" customFormat="1" ht="37.5">
      <c r="A403" s="131" t="s">
        <v>371</v>
      </c>
      <c r="B403" s="147" t="s">
        <v>580</v>
      </c>
      <c r="C403" s="118" t="s">
        <v>581</v>
      </c>
      <c r="D403" s="131" t="s">
        <v>371</v>
      </c>
      <c r="E403" s="118" t="s">
        <v>582</v>
      </c>
      <c r="F403" s="131"/>
      <c r="G403" s="131" t="s">
        <v>321</v>
      </c>
      <c r="H403" s="122"/>
      <c r="I403" s="122"/>
      <c r="J403" s="105" t="s">
        <v>374</v>
      </c>
      <c r="K403" s="157"/>
      <c r="L403" s="157"/>
      <c r="M403" s="157"/>
      <c r="N403" s="157"/>
      <c r="O403" s="157"/>
      <c r="P403" s="157"/>
      <c r="Q403" s="157"/>
      <c r="R403" s="157"/>
      <c r="S403" s="157"/>
    </row>
    <row r="404" spans="1:19" s="159" customFormat="1" ht="137.5">
      <c r="A404" s="118" t="s">
        <v>573</v>
      </c>
      <c r="B404" s="147" t="s">
        <v>569</v>
      </c>
      <c r="C404" s="105" t="s">
        <v>583</v>
      </c>
      <c r="D404" s="131" t="s">
        <v>371</v>
      </c>
      <c r="E404" s="105" t="s">
        <v>584</v>
      </c>
      <c r="F404" s="131" t="s">
        <v>572</v>
      </c>
      <c r="G404" s="131" t="s">
        <v>321</v>
      </c>
      <c r="H404" s="118" t="s">
        <v>565</v>
      </c>
      <c r="I404" s="122"/>
      <c r="J404" s="105" t="s">
        <v>374</v>
      </c>
      <c r="K404" s="157"/>
      <c r="L404" s="157"/>
      <c r="M404" s="157"/>
      <c r="N404" s="157"/>
      <c r="O404" s="157"/>
      <c r="P404" s="157"/>
      <c r="Q404" s="157"/>
      <c r="R404" s="157"/>
      <c r="S404" s="157"/>
    </row>
    <row r="405" spans="1:19" s="159" customFormat="1" ht="112.5">
      <c r="A405" s="118" t="s">
        <v>573</v>
      </c>
      <c r="B405" s="147" t="s">
        <v>569</v>
      </c>
      <c r="C405" s="105" t="s">
        <v>585</v>
      </c>
      <c r="D405" s="131" t="s">
        <v>371</v>
      </c>
      <c r="E405" s="105" t="s">
        <v>586</v>
      </c>
      <c r="F405" s="131" t="s">
        <v>576</v>
      </c>
      <c r="G405" s="131" t="s">
        <v>321</v>
      </c>
      <c r="H405" s="118" t="s">
        <v>565</v>
      </c>
      <c r="I405" s="122"/>
      <c r="J405" s="105" t="s">
        <v>374</v>
      </c>
      <c r="K405" s="157"/>
      <c r="L405" s="157"/>
      <c r="M405" s="157"/>
      <c r="N405" s="157"/>
      <c r="O405" s="157"/>
      <c r="P405" s="157"/>
      <c r="Q405" s="157"/>
      <c r="R405" s="157"/>
      <c r="S405" s="157"/>
    </row>
    <row r="406" spans="1:19" s="159" customFormat="1" ht="137.5">
      <c r="A406" s="118" t="s">
        <v>587</v>
      </c>
      <c r="B406" s="147" t="s">
        <v>588</v>
      </c>
      <c r="C406" s="118" t="s">
        <v>676</v>
      </c>
      <c r="D406" s="131" t="s">
        <v>371</v>
      </c>
      <c r="E406" s="148" t="s">
        <v>590</v>
      </c>
      <c r="F406" s="131" t="s">
        <v>591</v>
      </c>
      <c r="G406" s="131" t="s">
        <v>321</v>
      </c>
      <c r="H406" s="118" t="s">
        <v>592</v>
      </c>
      <c r="I406" s="122"/>
      <c r="J406" s="105" t="s">
        <v>374</v>
      </c>
      <c r="K406" s="157"/>
      <c r="L406" s="157"/>
      <c r="M406" s="157"/>
      <c r="N406" s="157"/>
      <c r="O406" s="157"/>
      <c r="P406" s="157"/>
      <c r="Q406" s="157"/>
      <c r="R406" s="157"/>
      <c r="S406" s="157"/>
    </row>
    <row r="407" spans="1:19" s="159" customFormat="1" ht="89.5" customHeight="1">
      <c r="A407" s="118" t="s">
        <v>587</v>
      </c>
      <c r="B407" s="147" t="s">
        <v>588</v>
      </c>
      <c r="C407" s="169" t="s">
        <v>593</v>
      </c>
      <c r="D407" s="149" t="s">
        <v>371</v>
      </c>
      <c r="E407" s="148" t="s">
        <v>594</v>
      </c>
      <c r="F407" s="131" t="s">
        <v>595</v>
      </c>
      <c r="G407" s="149" t="s">
        <v>321</v>
      </c>
      <c r="H407" s="118" t="s">
        <v>592</v>
      </c>
      <c r="I407" s="122"/>
      <c r="J407" s="105" t="s">
        <v>374</v>
      </c>
      <c r="K407" s="157"/>
      <c r="L407" s="157"/>
      <c r="M407" s="157"/>
      <c r="N407" s="157"/>
      <c r="O407" s="157"/>
      <c r="P407" s="157"/>
      <c r="Q407" s="157"/>
      <c r="R407" s="157"/>
      <c r="S407" s="157"/>
    </row>
    <row r="408" spans="1:19" s="159" customFormat="1" ht="25">
      <c r="A408" s="131" t="s">
        <v>371</v>
      </c>
      <c r="B408" s="147" t="s">
        <v>596</v>
      </c>
      <c r="C408" s="105" t="s">
        <v>597</v>
      </c>
      <c r="D408" s="131" t="s">
        <v>371</v>
      </c>
      <c r="E408" s="150" t="s">
        <v>598</v>
      </c>
      <c r="F408" s="131"/>
      <c r="G408" s="131" t="s">
        <v>321</v>
      </c>
      <c r="H408" s="122"/>
      <c r="I408" s="122"/>
      <c r="J408" s="105" t="s">
        <v>374</v>
      </c>
      <c r="K408" s="157"/>
      <c r="L408" s="157"/>
      <c r="M408" s="157"/>
      <c r="N408" s="157"/>
      <c r="O408" s="157"/>
      <c r="P408" s="157"/>
      <c r="Q408" s="157"/>
      <c r="R408" s="157"/>
      <c r="S408" s="157"/>
    </row>
    <row r="409" spans="1:19" s="159" customFormat="1" ht="25">
      <c r="A409" s="131" t="s">
        <v>371</v>
      </c>
      <c r="B409" s="147" t="s">
        <v>599</v>
      </c>
      <c r="C409" s="105" t="s">
        <v>600</v>
      </c>
      <c r="D409" s="131" t="s">
        <v>371</v>
      </c>
      <c r="E409" s="150" t="s">
        <v>601</v>
      </c>
      <c r="F409" s="131"/>
      <c r="G409" s="131" t="s">
        <v>321</v>
      </c>
      <c r="H409" s="122"/>
      <c r="I409" s="122"/>
      <c r="J409" s="105" t="s">
        <v>374</v>
      </c>
      <c r="K409" s="157"/>
      <c r="L409" s="157"/>
      <c r="M409" s="157"/>
      <c r="N409" s="157"/>
      <c r="O409" s="157"/>
      <c r="P409" s="157"/>
      <c r="Q409" s="157"/>
      <c r="R409" s="157"/>
      <c r="S409" s="157"/>
    </row>
    <row r="410" spans="1:19" s="159" customFormat="1" ht="25">
      <c r="A410" s="131"/>
      <c r="B410" s="147"/>
      <c r="C410" s="111" t="s">
        <v>677</v>
      </c>
      <c r="D410" s="131" t="s">
        <v>371</v>
      </c>
      <c r="E410" s="150" t="s">
        <v>603</v>
      </c>
      <c r="F410" s="131"/>
      <c r="G410" s="131" t="s">
        <v>321</v>
      </c>
      <c r="H410" s="122"/>
      <c r="I410" s="122"/>
      <c r="J410" s="105" t="s">
        <v>374</v>
      </c>
      <c r="K410" s="157"/>
      <c r="L410" s="157"/>
      <c r="M410" s="157"/>
      <c r="N410" s="157"/>
      <c r="O410" s="157"/>
      <c r="P410" s="157"/>
      <c r="Q410" s="157"/>
      <c r="R410" s="157"/>
      <c r="S410" s="157"/>
    </row>
    <row r="411" spans="1:19" s="159" customFormat="1" ht="25">
      <c r="A411" s="131"/>
      <c r="B411" s="147"/>
      <c r="C411" s="111" t="s">
        <v>677</v>
      </c>
      <c r="D411" s="131" t="s">
        <v>371</v>
      </c>
      <c r="E411" s="150" t="s">
        <v>604</v>
      </c>
      <c r="F411" s="131"/>
      <c r="G411" s="131" t="s">
        <v>321</v>
      </c>
      <c r="H411" s="122"/>
      <c r="I411" s="122"/>
      <c r="J411" s="105" t="s">
        <v>374</v>
      </c>
      <c r="K411" s="157"/>
      <c r="L411" s="157"/>
      <c r="M411" s="157"/>
      <c r="N411" s="157"/>
      <c r="O411" s="157"/>
      <c r="P411" s="157"/>
      <c r="Q411" s="157"/>
      <c r="R411" s="157"/>
      <c r="S411" s="157"/>
    </row>
    <row r="412" spans="1:19" s="159" customFormat="1" ht="76.400000000000006" customHeight="1">
      <c r="A412" s="131" t="s">
        <v>371</v>
      </c>
      <c r="B412" s="147" t="s">
        <v>605</v>
      </c>
      <c r="C412" s="105" t="s">
        <v>606</v>
      </c>
      <c r="D412" s="131" t="s">
        <v>371</v>
      </c>
      <c r="E412" s="150" t="s">
        <v>607</v>
      </c>
      <c r="F412" s="131"/>
      <c r="G412" s="131" t="s">
        <v>321</v>
      </c>
      <c r="H412" s="122"/>
      <c r="I412" s="122"/>
      <c r="J412" s="105" t="s">
        <v>374</v>
      </c>
      <c r="K412" s="157"/>
      <c r="L412" s="157"/>
      <c r="M412" s="157"/>
      <c r="N412" s="157"/>
      <c r="O412" s="157"/>
      <c r="P412" s="157"/>
      <c r="Q412" s="157"/>
      <c r="R412" s="157"/>
      <c r="S412" s="157"/>
    </row>
    <row r="413" spans="1:19" s="159" customFormat="1" ht="82.75" customHeight="1">
      <c r="A413" s="131" t="s">
        <v>371</v>
      </c>
      <c r="B413" s="147" t="s">
        <v>605</v>
      </c>
      <c r="C413" s="105" t="s">
        <v>608</v>
      </c>
      <c r="D413" s="131" t="s">
        <v>371</v>
      </c>
      <c r="E413" s="150" t="s">
        <v>609</v>
      </c>
      <c r="F413" s="131"/>
      <c r="G413" s="131" t="s">
        <v>321</v>
      </c>
      <c r="H413" s="122"/>
      <c r="I413" s="122"/>
      <c r="J413" s="105" t="s">
        <v>374</v>
      </c>
      <c r="K413" s="157"/>
      <c r="L413" s="157"/>
      <c r="M413" s="157"/>
      <c r="N413" s="157"/>
      <c r="O413" s="157"/>
      <c r="P413" s="157"/>
      <c r="Q413" s="157"/>
      <c r="R413" s="157"/>
      <c r="S413" s="157"/>
    </row>
    <row r="414" spans="1:19" s="159" customFormat="1">
      <c r="A414" s="131" t="s">
        <v>371</v>
      </c>
      <c r="B414" s="147" t="s">
        <v>610</v>
      </c>
      <c r="C414" s="122" t="s">
        <v>611</v>
      </c>
      <c r="D414" s="131" t="s">
        <v>371</v>
      </c>
      <c r="E414" s="150" t="s">
        <v>612</v>
      </c>
      <c r="F414" s="131"/>
      <c r="G414" s="131" t="s">
        <v>321</v>
      </c>
      <c r="H414" s="122"/>
      <c r="I414" s="122"/>
      <c r="J414" s="105" t="s">
        <v>374</v>
      </c>
      <c r="K414" s="157"/>
      <c r="L414" s="157"/>
      <c r="M414" s="157"/>
      <c r="N414" s="157"/>
      <c r="O414" s="157"/>
      <c r="P414" s="157"/>
      <c r="Q414" s="157"/>
      <c r="R414" s="157"/>
      <c r="S414" s="157"/>
    </row>
    <row r="415" spans="1:19" s="159" customFormat="1">
      <c r="A415" s="131" t="s">
        <v>371</v>
      </c>
      <c r="B415" s="147" t="s">
        <v>613</v>
      </c>
      <c r="C415" s="146" t="s">
        <v>614</v>
      </c>
      <c r="D415" s="131" t="s">
        <v>371</v>
      </c>
      <c r="E415" s="150" t="s">
        <v>615</v>
      </c>
      <c r="F415" s="131"/>
      <c r="G415" s="131" t="s">
        <v>321</v>
      </c>
      <c r="H415" s="122"/>
      <c r="I415" s="122"/>
      <c r="J415" s="105" t="s">
        <v>374</v>
      </c>
      <c r="K415" s="157"/>
      <c r="L415" s="157"/>
      <c r="M415" s="157"/>
      <c r="N415" s="157"/>
      <c r="O415" s="157"/>
      <c r="P415" s="157"/>
      <c r="Q415" s="157"/>
      <c r="R415" s="157"/>
      <c r="S415" s="157"/>
    </row>
    <row r="416" spans="1:19" s="159" customFormat="1">
      <c r="A416" s="131" t="s">
        <v>371</v>
      </c>
      <c r="B416" s="147" t="s">
        <v>616</v>
      </c>
      <c r="C416" s="146" t="s">
        <v>617</v>
      </c>
      <c r="D416" s="131" t="s">
        <v>371</v>
      </c>
      <c r="E416" s="150" t="s">
        <v>618</v>
      </c>
      <c r="F416" s="131"/>
      <c r="G416" s="131" t="s">
        <v>321</v>
      </c>
      <c r="H416" s="122"/>
      <c r="I416" s="122"/>
      <c r="J416" s="105" t="s">
        <v>374</v>
      </c>
      <c r="K416" s="157"/>
      <c r="L416" s="157"/>
      <c r="M416" s="157"/>
      <c r="N416" s="157"/>
      <c r="O416" s="157"/>
      <c r="P416" s="157"/>
      <c r="Q416" s="157"/>
      <c r="R416" s="157"/>
      <c r="S416" s="157"/>
    </row>
    <row r="417" spans="1:19" s="159" customFormat="1">
      <c r="A417" s="131" t="s">
        <v>371</v>
      </c>
      <c r="B417" s="147" t="s">
        <v>619</v>
      </c>
      <c r="C417" s="146" t="s">
        <v>620</v>
      </c>
      <c r="D417" s="131" t="s">
        <v>371</v>
      </c>
      <c r="E417" s="150" t="s">
        <v>621</v>
      </c>
      <c r="F417" s="131"/>
      <c r="G417" s="131" t="s">
        <v>321</v>
      </c>
      <c r="H417" s="122"/>
      <c r="I417" s="122"/>
      <c r="J417" s="105" t="s">
        <v>374</v>
      </c>
      <c r="K417" s="157"/>
      <c r="L417" s="157"/>
      <c r="M417" s="157"/>
      <c r="N417" s="157"/>
      <c r="O417" s="157"/>
      <c r="P417" s="157"/>
      <c r="Q417" s="157"/>
      <c r="R417" s="157"/>
      <c r="S417" s="157"/>
    </row>
    <row r="418" spans="1:19" s="159" customFormat="1">
      <c r="A418" s="131" t="s">
        <v>371</v>
      </c>
      <c r="B418" s="147" t="s">
        <v>622</v>
      </c>
      <c r="C418" s="146" t="s">
        <v>623</v>
      </c>
      <c r="D418" s="131" t="s">
        <v>371</v>
      </c>
      <c r="E418" s="150" t="s">
        <v>624</v>
      </c>
      <c r="F418" s="131"/>
      <c r="G418" s="131" t="s">
        <v>321</v>
      </c>
      <c r="H418" s="122"/>
      <c r="I418" s="122"/>
      <c r="J418" s="105" t="s">
        <v>374</v>
      </c>
      <c r="K418" s="157"/>
      <c r="L418" s="157"/>
      <c r="M418" s="157"/>
      <c r="N418" s="157"/>
      <c r="O418" s="157"/>
      <c r="P418" s="157"/>
      <c r="Q418" s="157"/>
      <c r="R418" s="157"/>
      <c r="S418" s="157"/>
    </row>
    <row r="419" spans="1:19" s="159" customFormat="1">
      <c r="A419" s="131" t="s">
        <v>371</v>
      </c>
      <c r="B419" s="147" t="s">
        <v>625</v>
      </c>
      <c r="C419" s="146" t="s">
        <v>626</v>
      </c>
      <c r="D419" s="131" t="s">
        <v>371</v>
      </c>
      <c r="E419" s="150" t="s">
        <v>627</v>
      </c>
      <c r="F419" s="131"/>
      <c r="G419" s="131" t="s">
        <v>321</v>
      </c>
      <c r="H419" s="122" t="s">
        <v>678</v>
      </c>
      <c r="I419" s="122"/>
      <c r="J419" s="105" t="s">
        <v>374</v>
      </c>
      <c r="K419" s="157"/>
      <c r="L419" s="157"/>
      <c r="M419" s="157"/>
      <c r="N419" s="157"/>
      <c r="O419" s="157"/>
      <c r="P419" s="157"/>
      <c r="Q419" s="157"/>
      <c r="R419" s="157"/>
      <c r="S419" s="157"/>
    </row>
    <row r="420" spans="1:19" s="159" customFormat="1">
      <c r="A420" s="131" t="s">
        <v>371</v>
      </c>
      <c r="B420" s="147" t="s">
        <v>628</v>
      </c>
      <c r="C420" s="105" t="s">
        <v>629</v>
      </c>
      <c r="D420" s="131" t="s">
        <v>371</v>
      </c>
      <c r="E420" s="150" t="s">
        <v>630</v>
      </c>
      <c r="F420" s="131"/>
      <c r="G420" s="131" t="s">
        <v>321</v>
      </c>
      <c r="H420" s="122"/>
      <c r="I420" s="122"/>
      <c r="J420" s="105" t="s">
        <v>374</v>
      </c>
      <c r="K420" s="157"/>
      <c r="L420" s="157"/>
      <c r="M420" s="157"/>
      <c r="N420" s="157"/>
      <c r="O420" s="157"/>
      <c r="P420" s="157"/>
      <c r="Q420" s="157"/>
      <c r="R420" s="157"/>
      <c r="S420" s="157"/>
    </row>
    <row r="421" spans="1:19" s="159" customFormat="1">
      <c r="A421" s="131" t="s">
        <v>375</v>
      </c>
      <c r="B421" s="147" t="s">
        <v>631</v>
      </c>
      <c r="C421" s="150" t="s">
        <v>631</v>
      </c>
      <c r="D421" s="131" t="s">
        <v>371</v>
      </c>
      <c r="E421" s="150" t="s">
        <v>632</v>
      </c>
      <c r="F421" s="131"/>
      <c r="G421" s="131" t="s">
        <v>373</v>
      </c>
      <c r="H421" s="122"/>
      <c r="I421" s="122"/>
      <c r="J421" s="105" t="s">
        <v>374</v>
      </c>
      <c r="K421" s="157"/>
      <c r="L421" s="157"/>
      <c r="M421" s="157"/>
      <c r="N421" s="157"/>
      <c r="O421" s="157"/>
      <c r="P421" s="157"/>
      <c r="Q421" s="157"/>
      <c r="R421" s="157"/>
      <c r="S421" s="157"/>
    </row>
    <row r="422" spans="1:19" s="159" customFormat="1">
      <c r="A422" s="131" t="s">
        <v>375</v>
      </c>
      <c r="B422" s="142" t="s">
        <v>633</v>
      </c>
      <c r="C422" s="142"/>
      <c r="D422" s="142" t="s">
        <v>371</v>
      </c>
      <c r="E422" s="151" t="s">
        <v>175</v>
      </c>
      <c r="F422" s="142"/>
      <c r="G422" s="142" t="s">
        <v>321</v>
      </c>
      <c r="H422" s="142"/>
      <c r="I422" s="122"/>
      <c r="J422" s="105" t="s">
        <v>374</v>
      </c>
      <c r="K422" s="157"/>
      <c r="L422" s="157"/>
      <c r="M422" s="157"/>
      <c r="N422" s="157"/>
      <c r="O422" s="157"/>
      <c r="P422" s="157"/>
      <c r="Q422" s="157"/>
      <c r="R422" s="157"/>
      <c r="S422" s="157"/>
    </row>
    <row r="423" spans="1:19" s="159" customFormat="1">
      <c r="A423" s="131" t="s">
        <v>375</v>
      </c>
      <c r="B423" s="131" t="s">
        <v>634</v>
      </c>
      <c r="C423" s="115" t="s">
        <v>93</v>
      </c>
      <c r="D423" s="142" t="s">
        <v>371</v>
      </c>
      <c r="E423" s="151" t="s">
        <v>635</v>
      </c>
      <c r="F423" s="142"/>
      <c r="G423" s="142" t="s">
        <v>321</v>
      </c>
      <c r="H423" s="142"/>
      <c r="I423" s="122"/>
      <c r="J423" s="105" t="s">
        <v>374</v>
      </c>
      <c r="K423" s="157"/>
      <c r="L423" s="157"/>
      <c r="M423" s="157"/>
      <c r="N423" s="157"/>
      <c r="O423" s="157"/>
      <c r="P423" s="157"/>
      <c r="Q423" s="157"/>
      <c r="R423" s="157"/>
      <c r="S423" s="157"/>
    </row>
    <row r="424" spans="1:19" s="159" customFormat="1">
      <c r="A424" s="131" t="s">
        <v>375</v>
      </c>
      <c r="B424" s="131" t="s">
        <v>636</v>
      </c>
      <c r="C424" s="115" t="s">
        <v>93</v>
      </c>
      <c r="D424" s="142" t="s">
        <v>371</v>
      </c>
      <c r="E424" s="151" t="s">
        <v>637</v>
      </c>
      <c r="F424" s="142"/>
      <c r="G424" s="142" t="s">
        <v>321</v>
      </c>
      <c r="H424" s="142"/>
      <c r="I424" s="122"/>
      <c r="J424" s="105" t="s">
        <v>374</v>
      </c>
      <c r="K424" s="157"/>
      <c r="L424" s="157"/>
      <c r="M424" s="157"/>
      <c r="N424" s="157"/>
      <c r="O424" s="157"/>
      <c r="P424" s="157"/>
      <c r="Q424" s="157"/>
      <c r="R424" s="157"/>
      <c r="S424" s="157"/>
    </row>
    <row r="425" spans="1:19">
      <c r="J425" s="157"/>
    </row>
    <row r="426" spans="1:19">
      <c r="J426" s="157"/>
    </row>
    <row r="427" spans="1:19" ht="14.5" customHeight="1">
      <c r="A427" s="543" t="s">
        <v>679</v>
      </c>
      <c r="B427" s="543"/>
      <c r="C427" s="543"/>
      <c r="D427" s="543"/>
      <c r="E427" s="543"/>
      <c r="F427" s="543"/>
      <c r="G427" s="543"/>
      <c r="H427" s="543"/>
      <c r="I427" s="543"/>
      <c r="J427" s="543"/>
    </row>
    <row r="428" spans="1:19">
      <c r="A428" s="157"/>
      <c r="B428" s="157"/>
      <c r="C428" s="157"/>
      <c r="D428" s="157"/>
      <c r="E428" s="157"/>
      <c r="F428" s="157"/>
      <c r="G428" s="157"/>
      <c r="H428" s="157"/>
      <c r="I428" s="157"/>
      <c r="J428" s="157"/>
    </row>
    <row r="429" spans="1:19" ht="13">
      <c r="A429" s="114" t="s">
        <v>680</v>
      </c>
      <c r="B429" s="114" t="s">
        <v>681</v>
      </c>
      <c r="C429" s="152" t="s">
        <v>682</v>
      </c>
      <c r="D429" s="114" t="s">
        <v>76</v>
      </c>
      <c r="E429" s="153" t="s">
        <v>77</v>
      </c>
      <c r="F429" s="114" t="s">
        <v>78</v>
      </c>
      <c r="G429" s="114" t="s">
        <v>79</v>
      </c>
      <c r="H429" s="114" t="s">
        <v>80</v>
      </c>
      <c r="I429" s="114" t="s">
        <v>683</v>
      </c>
      <c r="J429" s="114" t="s">
        <v>261</v>
      </c>
    </row>
    <row r="430" spans="1:19" ht="13">
      <c r="A430" s="122" t="s">
        <v>684</v>
      </c>
      <c r="B430" s="158" t="s">
        <v>685</v>
      </c>
      <c r="C430" s="122" t="s">
        <v>262</v>
      </c>
      <c r="D430" s="122" t="s">
        <v>686</v>
      </c>
      <c r="E430" s="154"/>
      <c r="F430" s="122" t="s">
        <v>687</v>
      </c>
      <c r="G430" s="151" t="s">
        <v>688</v>
      </c>
      <c r="H430" s="122" t="s">
        <v>262</v>
      </c>
      <c r="I430" s="155"/>
      <c r="J430" s="129" t="s">
        <v>689</v>
      </c>
    </row>
    <row r="431" spans="1:19" ht="13">
      <c r="A431" s="122" t="s">
        <v>684</v>
      </c>
      <c r="B431" s="158" t="s">
        <v>95</v>
      </c>
      <c r="C431" s="122" t="s">
        <v>267</v>
      </c>
      <c r="D431" s="122" t="s">
        <v>686</v>
      </c>
      <c r="E431" s="154"/>
      <c r="F431" s="122" t="s">
        <v>687</v>
      </c>
      <c r="G431" s="151" t="s">
        <v>312</v>
      </c>
      <c r="H431" s="122" t="s">
        <v>267</v>
      </c>
      <c r="I431" s="155"/>
      <c r="J431" s="129" t="s">
        <v>689</v>
      </c>
    </row>
    <row r="432" spans="1:19" ht="13">
      <c r="A432" s="122" t="s">
        <v>684</v>
      </c>
      <c r="B432" s="158" t="s">
        <v>92</v>
      </c>
      <c r="C432" s="122" t="s">
        <v>267</v>
      </c>
      <c r="D432" s="122" t="s">
        <v>686</v>
      </c>
      <c r="E432" s="154"/>
      <c r="F432" s="122" t="s">
        <v>687</v>
      </c>
      <c r="G432" s="151" t="s">
        <v>310</v>
      </c>
      <c r="H432" s="122" t="s">
        <v>267</v>
      </c>
      <c r="I432" s="155"/>
      <c r="J432" s="129" t="s">
        <v>689</v>
      </c>
    </row>
    <row r="433" spans="1:10" ht="13">
      <c r="A433" s="122" t="s">
        <v>684</v>
      </c>
      <c r="B433" s="158" t="s">
        <v>99</v>
      </c>
      <c r="C433" s="122" t="s">
        <v>267</v>
      </c>
      <c r="D433" s="122" t="s">
        <v>686</v>
      </c>
      <c r="E433" s="154"/>
      <c r="F433" s="122" t="s">
        <v>687</v>
      </c>
      <c r="G433" s="151" t="s">
        <v>271</v>
      </c>
      <c r="H433" s="122" t="s">
        <v>267</v>
      </c>
      <c r="I433" s="155"/>
      <c r="J433" s="129" t="s">
        <v>689</v>
      </c>
    </row>
    <row r="434" spans="1:10" ht="13">
      <c r="A434" s="122" t="s">
        <v>684</v>
      </c>
      <c r="B434" s="158" t="s">
        <v>690</v>
      </c>
      <c r="C434" s="122" t="s">
        <v>275</v>
      </c>
      <c r="D434" s="122" t="s">
        <v>686</v>
      </c>
      <c r="E434" s="154"/>
      <c r="F434" s="122" t="s">
        <v>687</v>
      </c>
      <c r="G434" s="151" t="s">
        <v>691</v>
      </c>
      <c r="H434" s="122" t="s">
        <v>275</v>
      </c>
      <c r="I434" s="155"/>
      <c r="J434" s="129" t="s">
        <v>689</v>
      </c>
    </row>
    <row r="435" spans="1:10" ht="50">
      <c r="A435" s="158" t="s">
        <v>692</v>
      </c>
      <c r="B435" s="158" t="s">
        <v>693</v>
      </c>
      <c r="C435" s="158" t="s">
        <v>267</v>
      </c>
      <c r="D435" s="122" t="s">
        <v>686</v>
      </c>
      <c r="E435" s="122"/>
      <c r="F435" s="122" t="s">
        <v>687</v>
      </c>
      <c r="G435" s="122" t="s">
        <v>694</v>
      </c>
      <c r="H435" s="158" t="s">
        <v>267</v>
      </c>
      <c r="I435" s="155"/>
      <c r="J435" s="129" t="s">
        <v>689</v>
      </c>
    </row>
    <row r="436" spans="1:10" ht="13">
      <c r="A436" s="122" t="s">
        <v>684</v>
      </c>
      <c r="B436" s="158" t="s">
        <v>695</v>
      </c>
      <c r="C436" s="158" t="s">
        <v>280</v>
      </c>
      <c r="D436" s="122" t="s">
        <v>686</v>
      </c>
      <c r="E436" s="122"/>
      <c r="F436" s="122" t="s">
        <v>687</v>
      </c>
      <c r="G436" s="151" t="s">
        <v>696</v>
      </c>
      <c r="H436" s="158" t="s">
        <v>280</v>
      </c>
      <c r="I436" s="155"/>
      <c r="J436" s="129" t="s">
        <v>689</v>
      </c>
    </row>
    <row r="437" spans="1:10" ht="13">
      <c r="A437" s="122" t="s">
        <v>684</v>
      </c>
      <c r="B437" s="158" t="s">
        <v>697</v>
      </c>
      <c r="C437" s="158" t="s">
        <v>280</v>
      </c>
      <c r="D437" s="122" t="s">
        <v>686</v>
      </c>
      <c r="E437" s="122"/>
      <c r="F437" s="122" t="s">
        <v>687</v>
      </c>
      <c r="G437" s="151" t="s">
        <v>698</v>
      </c>
      <c r="H437" s="158" t="s">
        <v>280</v>
      </c>
      <c r="I437" s="155"/>
      <c r="J437" s="129" t="s">
        <v>689</v>
      </c>
    </row>
    <row r="438" spans="1:10" ht="13">
      <c r="A438" s="122" t="s">
        <v>684</v>
      </c>
      <c r="B438" s="158" t="s">
        <v>699</v>
      </c>
      <c r="C438" s="158" t="s">
        <v>267</v>
      </c>
      <c r="D438" s="122" t="s">
        <v>686</v>
      </c>
      <c r="E438" s="130"/>
      <c r="F438" s="122" t="s">
        <v>687</v>
      </c>
      <c r="G438" s="151" t="s">
        <v>700</v>
      </c>
      <c r="H438" s="158" t="s">
        <v>267</v>
      </c>
      <c r="I438" s="155"/>
      <c r="J438" s="129" t="s">
        <v>689</v>
      </c>
    </row>
    <row r="439" spans="1:10" ht="13">
      <c r="A439" s="122" t="s">
        <v>684</v>
      </c>
      <c r="B439" s="158" t="s">
        <v>701</v>
      </c>
      <c r="C439" s="158" t="s">
        <v>267</v>
      </c>
      <c r="D439" s="122" t="s">
        <v>686</v>
      </c>
      <c r="E439" s="122"/>
      <c r="F439" s="122" t="s">
        <v>687</v>
      </c>
      <c r="G439" s="151" t="s">
        <v>702</v>
      </c>
      <c r="H439" s="158" t="s">
        <v>267</v>
      </c>
      <c r="I439" s="155"/>
      <c r="J439" s="129" t="s">
        <v>689</v>
      </c>
    </row>
    <row r="440" spans="1:10" ht="13">
      <c r="A440" s="122" t="s">
        <v>684</v>
      </c>
      <c r="B440" s="158" t="s">
        <v>703</v>
      </c>
      <c r="C440" s="158" t="s">
        <v>267</v>
      </c>
      <c r="D440" s="122" t="s">
        <v>686</v>
      </c>
      <c r="E440" s="122"/>
      <c r="F440" s="122" t="s">
        <v>687</v>
      </c>
      <c r="G440" s="151" t="s">
        <v>704</v>
      </c>
      <c r="H440" s="158" t="s">
        <v>267</v>
      </c>
      <c r="I440" s="155"/>
      <c r="J440" s="129" t="s">
        <v>689</v>
      </c>
    </row>
    <row r="441" spans="1:10" ht="13">
      <c r="A441" s="122" t="s">
        <v>684</v>
      </c>
      <c r="B441" s="158" t="s">
        <v>705</v>
      </c>
      <c r="C441" s="158" t="s">
        <v>267</v>
      </c>
      <c r="D441" s="122" t="s">
        <v>686</v>
      </c>
      <c r="E441" s="122"/>
      <c r="F441" s="122" t="s">
        <v>687</v>
      </c>
      <c r="G441" s="151" t="s">
        <v>706</v>
      </c>
      <c r="H441" s="158" t="s">
        <v>267</v>
      </c>
      <c r="I441" s="155"/>
      <c r="J441" s="129" t="s">
        <v>689</v>
      </c>
    </row>
    <row r="442" spans="1:10" ht="13">
      <c r="A442" s="122" t="s">
        <v>684</v>
      </c>
      <c r="B442" s="158" t="s">
        <v>707</v>
      </c>
      <c r="C442" s="158" t="s">
        <v>267</v>
      </c>
      <c r="D442" s="122" t="s">
        <v>686</v>
      </c>
      <c r="E442" s="122"/>
      <c r="F442" s="122" t="s">
        <v>687</v>
      </c>
      <c r="G442" s="151" t="s">
        <v>708</v>
      </c>
      <c r="H442" s="158" t="s">
        <v>267</v>
      </c>
      <c r="I442" s="155"/>
      <c r="J442" s="129" t="s">
        <v>689</v>
      </c>
    </row>
    <row r="443" spans="1:10" ht="13">
      <c r="A443" s="122" t="s">
        <v>684</v>
      </c>
      <c r="B443" s="158" t="s">
        <v>709</v>
      </c>
      <c r="C443" s="158" t="s">
        <v>267</v>
      </c>
      <c r="D443" s="122" t="s">
        <v>686</v>
      </c>
      <c r="E443" s="122"/>
      <c r="F443" s="122" t="s">
        <v>687</v>
      </c>
      <c r="G443" s="151" t="s">
        <v>710</v>
      </c>
      <c r="H443" s="158" t="s">
        <v>267</v>
      </c>
      <c r="I443" s="155"/>
      <c r="J443" s="122" t="s">
        <v>689</v>
      </c>
    </row>
    <row r="444" spans="1:10" ht="13">
      <c r="A444" s="122" t="s">
        <v>684</v>
      </c>
      <c r="B444" s="158" t="s">
        <v>711</v>
      </c>
      <c r="C444" s="158" t="s">
        <v>267</v>
      </c>
      <c r="D444" s="122" t="s">
        <v>686</v>
      </c>
      <c r="E444" s="122"/>
      <c r="F444" s="122" t="s">
        <v>687</v>
      </c>
      <c r="G444" s="151" t="s">
        <v>712</v>
      </c>
      <c r="H444" s="158" t="s">
        <v>267</v>
      </c>
      <c r="I444" s="155"/>
      <c r="J444" s="122" t="s">
        <v>689</v>
      </c>
    </row>
    <row r="445" spans="1:10" ht="13">
      <c r="A445" s="122" t="s">
        <v>684</v>
      </c>
      <c r="B445" s="158" t="s">
        <v>403</v>
      </c>
      <c r="C445" s="158" t="s">
        <v>267</v>
      </c>
      <c r="D445" s="122" t="s">
        <v>686</v>
      </c>
      <c r="E445" s="122"/>
      <c r="F445" s="122" t="s">
        <v>687</v>
      </c>
      <c r="G445" s="151" t="s">
        <v>713</v>
      </c>
      <c r="H445" s="158" t="s">
        <v>267</v>
      </c>
      <c r="I445" s="155"/>
      <c r="J445" s="122" t="s">
        <v>689</v>
      </c>
    </row>
    <row r="446" spans="1:10" ht="13">
      <c r="A446" s="122" t="s">
        <v>684</v>
      </c>
      <c r="B446" s="158" t="s">
        <v>714</v>
      </c>
      <c r="C446" s="158" t="s">
        <v>274</v>
      </c>
      <c r="D446" s="122" t="s">
        <v>686</v>
      </c>
      <c r="E446" s="122"/>
      <c r="F446" s="122" t="s">
        <v>687</v>
      </c>
      <c r="G446" s="151" t="s">
        <v>715</v>
      </c>
      <c r="H446" s="158" t="s">
        <v>274</v>
      </c>
      <c r="I446" s="155"/>
      <c r="J446" s="129" t="s">
        <v>689</v>
      </c>
    </row>
    <row r="447" spans="1:10" ht="13">
      <c r="A447" s="122" t="s">
        <v>684</v>
      </c>
      <c r="B447" s="158" t="s">
        <v>716</v>
      </c>
      <c r="C447" s="158" t="s">
        <v>274</v>
      </c>
      <c r="D447" s="122" t="s">
        <v>686</v>
      </c>
      <c r="E447" s="122"/>
      <c r="F447" s="122" t="s">
        <v>687</v>
      </c>
      <c r="G447" s="151" t="s">
        <v>717</v>
      </c>
      <c r="H447" s="158" t="s">
        <v>274</v>
      </c>
      <c r="I447" s="155"/>
      <c r="J447" s="129" t="s">
        <v>689</v>
      </c>
    </row>
    <row r="448" spans="1:10" ht="13">
      <c r="A448" s="122" t="s">
        <v>684</v>
      </c>
      <c r="B448" s="158" t="s">
        <v>718</v>
      </c>
      <c r="C448" s="158" t="s">
        <v>267</v>
      </c>
      <c r="D448" s="122" t="s">
        <v>686</v>
      </c>
      <c r="E448" s="122"/>
      <c r="F448" s="122" t="s">
        <v>687</v>
      </c>
      <c r="G448" s="151" t="s">
        <v>719</v>
      </c>
      <c r="H448" s="158" t="s">
        <v>267</v>
      </c>
      <c r="I448" s="155"/>
      <c r="J448" s="129" t="s">
        <v>689</v>
      </c>
    </row>
    <row r="449" spans="1:10" ht="13">
      <c r="A449" s="122" t="s">
        <v>684</v>
      </c>
      <c r="B449" s="158" t="s">
        <v>720</v>
      </c>
      <c r="C449" s="158" t="s">
        <v>267</v>
      </c>
      <c r="D449" s="122" t="s">
        <v>686</v>
      </c>
      <c r="E449" s="122"/>
      <c r="F449" s="122" t="s">
        <v>687</v>
      </c>
      <c r="G449" s="151" t="s">
        <v>721</v>
      </c>
      <c r="H449" s="158" t="s">
        <v>267</v>
      </c>
      <c r="I449" s="155"/>
      <c r="J449" s="129" t="s">
        <v>689</v>
      </c>
    </row>
    <row r="450" spans="1:10" ht="13">
      <c r="A450" s="122" t="s">
        <v>684</v>
      </c>
      <c r="B450" s="158" t="s">
        <v>722</v>
      </c>
      <c r="C450" s="158" t="s">
        <v>267</v>
      </c>
      <c r="D450" s="122" t="s">
        <v>686</v>
      </c>
      <c r="E450" s="122"/>
      <c r="F450" s="122" t="s">
        <v>687</v>
      </c>
      <c r="G450" s="151" t="s">
        <v>723</v>
      </c>
      <c r="H450" s="158" t="s">
        <v>267</v>
      </c>
      <c r="I450" s="155"/>
      <c r="J450" s="129" t="s">
        <v>689</v>
      </c>
    </row>
    <row r="451" spans="1:10" ht="13">
      <c r="A451" s="122" t="s">
        <v>684</v>
      </c>
      <c r="B451" s="158" t="s">
        <v>724</v>
      </c>
      <c r="C451" s="158" t="s">
        <v>267</v>
      </c>
      <c r="D451" s="122" t="s">
        <v>686</v>
      </c>
      <c r="E451" s="122"/>
      <c r="F451" s="122" t="s">
        <v>687</v>
      </c>
      <c r="G451" s="151" t="s">
        <v>725</v>
      </c>
      <c r="H451" s="158" t="s">
        <v>267</v>
      </c>
      <c r="I451" s="155"/>
      <c r="J451" s="129" t="s">
        <v>689</v>
      </c>
    </row>
    <row r="452" spans="1:10" ht="13">
      <c r="A452" s="122" t="s">
        <v>684</v>
      </c>
      <c r="B452" s="158" t="s">
        <v>726</v>
      </c>
      <c r="C452" s="158" t="s">
        <v>280</v>
      </c>
      <c r="D452" s="122" t="s">
        <v>686</v>
      </c>
      <c r="E452" s="122"/>
      <c r="F452" s="122" t="s">
        <v>687</v>
      </c>
      <c r="G452" s="151" t="s">
        <v>727</v>
      </c>
      <c r="H452" s="158" t="s">
        <v>280</v>
      </c>
      <c r="I452" s="155"/>
      <c r="J452" s="129" t="s">
        <v>689</v>
      </c>
    </row>
    <row r="453" spans="1:10" ht="13">
      <c r="A453" s="122" t="s">
        <v>684</v>
      </c>
      <c r="B453" s="158" t="s">
        <v>728</v>
      </c>
      <c r="C453" s="158" t="s">
        <v>280</v>
      </c>
      <c r="D453" s="122" t="s">
        <v>686</v>
      </c>
      <c r="E453" s="122"/>
      <c r="F453" s="122" t="s">
        <v>687</v>
      </c>
      <c r="G453" s="151" t="s">
        <v>729</v>
      </c>
      <c r="H453" s="158" t="s">
        <v>280</v>
      </c>
      <c r="I453" s="155"/>
      <c r="J453" s="129" t="s">
        <v>689</v>
      </c>
    </row>
    <row r="454" spans="1:10" ht="13">
      <c r="A454" s="122" t="s">
        <v>684</v>
      </c>
      <c r="B454" s="158" t="s">
        <v>730</v>
      </c>
      <c r="C454" s="158" t="s">
        <v>280</v>
      </c>
      <c r="D454" s="122" t="s">
        <v>686</v>
      </c>
      <c r="E454" s="122"/>
      <c r="F454" s="122" t="s">
        <v>687</v>
      </c>
      <c r="G454" s="151" t="s">
        <v>731</v>
      </c>
      <c r="H454" s="158" t="s">
        <v>280</v>
      </c>
      <c r="I454" s="155"/>
      <c r="J454" s="129" t="s">
        <v>689</v>
      </c>
    </row>
    <row r="455" spans="1:10" ht="13">
      <c r="A455" s="122" t="s">
        <v>684</v>
      </c>
      <c r="B455" s="158" t="s">
        <v>732</v>
      </c>
      <c r="C455" s="158" t="s">
        <v>280</v>
      </c>
      <c r="D455" s="122" t="s">
        <v>686</v>
      </c>
      <c r="E455" s="122"/>
      <c r="F455" s="122" t="s">
        <v>687</v>
      </c>
      <c r="G455" s="151" t="s">
        <v>733</v>
      </c>
      <c r="H455" s="158" t="s">
        <v>280</v>
      </c>
      <c r="I455" s="155"/>
      <c r="J455" s="129" t="s">
        <v>689</v>
      </c>
    </row>
    <row r="456" spans="1:10" ht="13">
      <c r="A456" s="122" t="s">
        <v>684</v>
      </c>
      <c r="B456" s="158" t="s">
        <v>734</v>
      </c>
      <c r="C456" s="158" t="s">
        <v>280</v>
      </c>
      <c r="D456" s="122" t="s">
        <v>686</v>
      </c>
      <c r="E456" s="122"/>
      <c r="F456" s="122" t="s">
        <v>687</v>
      </c>
      <c r="G456" s="151" t="s">
        <v>735</v>
      </c>
      <c r="H456" s="158" t="s">
        <v>280</v>
      </c>
      <c r="I456" s="155"/>
      <c r="J456" s="129" t="s">
        <v>689</v>
      </c>
    </row>
    <row r="457" spans="1:10" ht="13">
      <c r="A457" s="122" t="s">
        <v>684</v>
      </c>
      <c r="B457" s="158" t="s">
        <v>736</v>
      </c>
      <c r="C457" s="158" t="s">
        <v>280</v>
      </c>
      <c r="D457" s="122" t="s">
        <v>686</v>
      </c>
      <c r="E457" s="122"/>
      <c r="F457" s="122" t="s">
        <v>687</v>
      </c>
      <c r="G457" s="151" t="s">
        <v>737</v>
      </c>
      <c r="H457" s="158" t="s">
        <v>280</v>
      </c>
      <c r="I457" s="155"/>
      <c r="J457" s="129" t="s">
        <v>689</v>
      </c>
    </row>
    <row r="458" spans="1:10" ht="13">
      <c r="A458" s="122" t="s">
        <v>684</v>
      </c>
      <c r="B458" s="158" t="s">
        <v>738</v>
      </c>
      <c r="C458" s="158" t="s">
        <v>280</v>
      </c>
      <c r="D458" s="122" t="s">
        <v>686</v>
      </c>
      <c r="E458" s="122"/>
      <c r="F458" s="122" t="s">
        <v>687</v>
      </c>
      <c r="G458" s="151" t="s">
        <v>739</v>
      </c>
      <c r="H458" s="158" t="s">
        <v>280</v>
      </c>
      <c r="I458" s="155"/>
      <c r="J458" s="129" t="s">
        <v>689</v>
      </c>
    </row>
    <row r="459" spans="1:10" ht="13">
      <c r="A459" s="122" t="s">
        <v>684</v>
      </c>
      <c r="B459" s="158" t="s">
        <v>740</v>
      </c>
      <c r="C459" s="158" t="s">
        <v>280</v>
      </c>
      <c r="D459" s="122" t="s">
        <v>686</v>
      </c>
      <c r="E459" s="122"/>
      <c r="F459" s="122" t="s">
        <v>687</v>
      </c>
      <c r="G459" s="151" t="s">
        <v>741</v>
      </c>
      <c r="H459" s="158" t="s">
        <v>280</v>
      </c>
      <c r="I459" s="155"/>
      <c r="J459" s="129" t="s">
        <v>689</v>
      </c>
    </row>
    <row r="460" spans="1:10" ht="13">
      <c r="A460" s="122" t="s">
        <v>684</v>
      </c>
      <c r="B460" s="158" t="s">
        <v>742</v>
      </c>
      <c r="C460" s="158" t="s">
        <v>280</v>
      </c>
      <c r="D460" s="122" t="s">
        <v>686</v>
      </c>
      <c r="E460" s="122"/>
      <c r="F460" s="122" t="s">
        <v>687</v>
      </c>
      <c r="G460" s="151" t="s">
        <v>743</v>
      </c>
      <c r="H460" s="158" t="s">
        <v>280</v>
      </c>
      <c r="I460" s="155"/>
      <c r="J460" s="129" t="s">
        <v>689</v>
      </c>
    </row>
    <row r="461" spans="1:10" ht="13">
      <c r="A461" s="122" t="s">
        <v>684</v>
      </c>
      <c r="B461" s="158" t="s">
        <v>744</v>
      </c>
      <c r="C461" s="158" t="s">
        <v>280</v>
      </c>
      <c r="D461" s="122" t="s">
        <v>686</v>
      </c>
      <c r="E461" s="122"/>
      <c r="F461" s="122" t="s">
        <v>687</v>
      </c>
      <c r="G461" s="151" t="s">
        <v>745</v>
      </c>
      <c r="H461" s="158" t="s">
        <v>280</v>
      </c>
      <c r="I461" s="155"/>
      <c r="J461" s="129" t="s">
        <v>689</v>
      </c>
    </row>
    <row r="462" spans="1:10" ht="13">
      <c r="A462" s="122" t="s">
        <v>684</v>
      </c>
      <c r="B462" s="158" t="s">
        <v>746</v>
      </c>
      <c r="C462" s="158" t="s">
        <v>280</v>
      </c>
      <c r="D462" s="122" t="s">
        <v>686</v>
      </c>
      <c r="E462" s="122"/>
      <c r="F462" s="122" t="s">
        <v>687</v>
      </c>
      <c r="G462" s="151" t="s">
        <v>747</v>
      </c>
      <c r="H462" s="158" t="s">
        <v>280</v>
      </c>
      <c r="I462" s="155"/>
      <c r="J462" s="129" t="s">
        <v>689</v>
      </c>
    </row>
    <row r="463" spans="1:10" ht="13">
      <c r="A463" s="122" t="s">
        <v>684</v>
      </c>
      <c r="B463" s="158" t="s">
        <v>748</v>
      </c>
      <c r="C463" s="158" t="s">
        <v>280</v>
      </c>
      <c r="D463" s="122" t="s">
        <v>686</v>
      </c>
      <c r="E463" s="122"/>
      <c r="F463" s="122" t="s">
        <v>687</v>
      </c>
      <c r="G463" s="151" t="s">
        <v>749</v>
      </c>
      <c r="H463" s="158" t="s">
        <v>280</v>
      </c>
      <c r="I463" s="155"/>
      <c r="J463" s="129" t="s">
        <v>689</v>
      </c>
    </row>
    <row r="464" spans="1:10" ht="13">
      <c r="A464" s="122" t="s">
        <v>684</v>
      </c>
      <c r="B464" s="158" t="s">
        <v>750</v>
      </c>
      <c r="C464" s="158" t="s">
        <v>280</v>
      </c>
      <c r="D464" s="122" t="s">
        <v>686</v>
      </c>
      <c r="E464" s="122"/>
      <c r="F464" s="122" t="s">
        <v>687</v>
      </c>
      <c r="G464" s="151" t="s">
        <v>751</v>
      </c>
      <c r="H464" s="158" t="s">
        <v>280</v>
      </c>
      <c r="I464" s="155"/>
      <c r="J464" s="129" t="s">
        <v>689</v>
      </c>
    </row>
    <row r="465" spans="1:10" ht="13">
      <c r="A465" s="122" t="s">
        <v>684</v>
      </c>
      <c r="B465" s="158" t="s">
        <v>752</v>
      </c>
      <c r="C465" s="158" t="s">
        <v>280</v>
      </c>
      <c r="D465" s="122" t="s">
        <v>686</v>
      </c>
      <c r="E465" s="122"/>
      <c r="F465" s="122" t="s">
        <v>687</v>
      </c>
      <c r="G465" s="151" t="s">
        <v>753</v>
      </c>
      <c r="H465" s="158" t="s">
        <v>280</v>
      </c>
      <c r="I465" s="155"/>
      <c r="J465" s="129" t="s">
        <v>689</v>
      </c>
    </row>
    <row r="466" spans="1:10" ht="13">
      <c r="A466" s="122" t="s">
        <v>684</v>
      </c>
      <c r="B466" s="158" t="s">
        <v>754</v>
      </c>
      <c r="C466" s="158" t="s">
        <v>280</v>
      </c>
      <c r="D466" s="122" t="s">
        <v>686</v>
      </c>
      <c r="E466" s="122"/>
      <c r="F466" s="122" t="s">
        <v>687</v>
      </c>
      <c r="G466" s="151" t="s">
        <v>755</v>
      </c>
      <c r="H466" s="158" t="s">
        <v>280</v>
      </c>
      <c r="I466" s="155"/>
      <c r="J466" s="129" t="s">
        <v>689</v>
      </c>
    </row>
    <row r="467" spans="1:10" ht="13">
      <c r="A467" s="122" t="s">
        <v>684</v>
      </c>
      <c r="B467" s="158" t="s">
        <v>756</v>
      </c>
      <c r="C467" s="158" t="s">
        <v>280</v>
      </c>
      <c r="D467" s="122" t="s">
        <v>686</v>
      </c>
      <c r="E467" s="122"/>
      <c r="F467" s="122" t="s">
        <v>687</v>
      </c>
      <c r="G467" s="151" t="s">
        <v>757</v>
      </c>
      <c r="H467" s="158" t="s">
        <v>280</v>
      </c>
      <c r="I467" s="155"/>
      <c r="J467" s="129" t="s">
        <v>689</v>
      </c>
    </row>
    <row r="468" spans="1:10" ht="13">
      <c r="A468" s="122" t="s">
        <v>684</v>
      </c>
      <c r="B468" s="158" t="s">
        <v>758</v>
      </c>
      <c r="C468" s="158" t="s">
        <v>280</v>
      </c>
      <c r="D468" s="122" t="s">
        <v>686</v>
      </c>
      <c r="E468" s="122"/>
      <c r="F468" s="122" t="s">
        <v>687</v>
      </c>
      <c r="G468" s="151" t="s">
        <v>759</v>
      </c>
      <c r="H468" s="158" t="s">
        <v>280</v>
      </c>
      <c r="I468" s="155"/>
      <c r="J468" s="129" t="s">
        <v>689</v>
      </c>
    </row>
    <row r="469" spans="1:10" ht="13">
      <c r="A469" s="122" t="s">
        <v>684</v>
      </c>
      <c r="B469" s="158" t="s">
        <v>760</v>
      </c>
      <c r="C469" s="158" t="s">
        <v>267</v>
      </c>
      <c r="D469" s="122" t="s">
        <v>686</v>
      </c>
      <c r="E469" s="122"/>
      <c r="F469" s="122" t="s">
        <v>687</v>
      </c>
      <c r="G469" s="151" t="s">
        <v>761</v>
      </c>
      <c r="H469" s="158" t="s">
        <v>267</v>
      </c>
      <c r="I469" s="155"/>
      <c r="J469" s="129" t="s">
        <v>689</v>
      </c>
    </row>
    <row r="470" spans="1:10" ht="13">
      <c r="A470" s="122" t="s">
        <v>684</v>
      </c>
      <c r="B470" s="158" t="s">
        <v>762</v>
      </c>
      <c r="C470" s="158" t="s">
        <v>280</v>
      </c>
      <c r="D470" s="122" t="s">
        <v>686</v>
      </c>
      <c r="E470" s="122"/>
      <c r="F470" s="122" t="s">
        <v>687</v>
      </c>
      <c r="G470" s="151" t="s">
        <v>763</v>
      </c>
      <c r="H470" s="158" t="s">
        <v>280</v>
      </c>
      <c r="I470" s="155"/>
      <c r="J470" s="129" t="s">
        <v>689</v>
      </c>
    </row>
    <row r="471" spans="1:10" ht="13">
      <c r="A471" s="122" t="s">
        <v>684</v>
      </c>
      <c r="B471" s="158" t="s">
        <v>764</v>
      </c>
      <c r="C471" s="158" t="s">
        <v>267</v>
      </c>
      <c r="D471" s="122" t="s">
        <v>686</v>
      </c>
      <c r="E471" s="122"/>
      <c r="F471" s="122" t="s">
        <v>687</v>
      </c>
      <c r="G471" s="151" t="s">
        <v>765</v>
      </c>
      <c r="H471" s="158" t="s">
        <v>267</v>
      </c>
      <c r="I471" s="155"/>
      <c r="J471" s="129" t="s">
        <v>689</v>
      </c>
    </row>
    <row r="472" spans="1:10" ht="13">
      <c r="A472" s="122" t="s">
        <v>684</v>
      </c>
      <c r="B472" s="158" t="s">
        <v>766</v>
      </c>
      <c r="C472" s="158" t="s">
        <v>267</v>
      </c>
      <c r="D472" s="122" t="s">
        <v>686</v>
      </c>
      <c r="E472" s="122"/>
      <c r="F472" s="122" t="s">
        <v>687</v>
      </c>
      <c r="G472" s="151" t="s">
        <v>767</v>
      </c>
      <c r="H472" s="158" t="s">
        <v>267</v>
      </c>
      <c r="I472" s="155"/>
      <c r="J472" s="129" t="s">
        <v>689</v>
      </c>
    </row>
    <row r="473" spans="1:10" ht="13">
      <c r="A473" s="122" t="s">
        <v>684</v>
      </c>
      <c r="B473" s="158" t="s">
        <v>768</v>
      </c>
      <c r="C473" s="158" t="s">
        <v>267</v>
      </c>
      <c r="D473" s="122" t="s">
        <v>686</v>
      </c>
      <c r="E473" s="122"/>
      <c r="F473" s="122" t="s">
        <v>687</v>
      </c>
      <c r="G473" s="151" t="s">
        <v>769</v>
      </c>
      <c r="H473" s="158" t="s">
        <v>267</v>
      </c>
      <c r="I473" s="155"/>
      <c r="J473" s="129" t="s">
        <v>689</v>
      </c>
    </row>
    <row r="474" spans="1:10" ht="13">
      <c r="A474" s="122" t="s">
        <v>684</v>
      </c>
      <c r="B474" s="158" t="s">
        <v>770</v>
      </c>
      <c r="C474" s="158" t="s">
        <v>267</v>
      </c>
      <c r="D474" s="122" t="s">
        <v>686</v>
      </c>
      <c r="E474" s="122"/>
      <c r="F474" s="122" t="s">
        <v>687</v>
      </c>
      <c r="G474" s="151" t="s">
        <v>771</v>
      </c>
      <c r="H474" s="158" t="s">
        <v>267</v>
      </c>
      <c r="I474" s="155"/>
      <c r="J474" s="129" t="s">
        <v>689</v>
      </c>
    </row>
    <row r="475" spans="1:10" ht="13">
      <c r="A475" s="122" t="s">
        <v>684</v>
      </c>
      <c r="B475" s="158" t="s">
        <v>772</v>
      </c>
      <c r="C475" s="158" t="s">
        <v>267</v>
      </c>
      <c r="D475" s="122" t="s">
        <v>686</v>
      </c>
      <c r="E475" s="122"/>
      <c r="F475" s="122" t="s">
        <v>687</v>
      </c>
      <c r="G475" s="151" t="s">
        <v>773</v>
      </c>
      <c r="H475" s="158" t="s">
        <v>267</v>
      </c>
      <c r="I475" s="155"/>
      <c r="J475" s="129" t="s">
        <v>689</v>
      </c>
    </row>
    <row r="476" spans="1:10" ht="13">
      <c r="A476" s="122" t="s">
        <v>684</v>
      </c>
      <c r="B476" s="158" t="s">
        <v>774</v>
      </c>
      <c r="C476" s="158" t="s">
        <v>280</v>
      </c>
      <c r="D476" s="122" t="s">
        <v>686</v>
      </c>
      <c r="E476" s="122"/>
      <c r="F476" s="122" t="s">
        <v>687</v>
      </c>
      <c r="G476" s="151" t="s">
        <v>775</v>
      </c>
      <c r="H476" s="158" t="s">
        <v>280</v>
      </c>
      <c r="I476" s="155"/>
      <c r="J476" s="129" t="s">
        <v>689</v>
      </c>
    </row>
    <row r="477" spans="1:10" ht="13">
      <c r="A477" s="122" t="s">
        <v>684</v>
      </c>
      <c r="B477" s="158" t="s">
        <v>776</v>
      </c>
      <c r="C477" s="158" t="s">
        <v>280</v>
      </c>
      <c r="D477" s="122" t="s">
        <v>686</v>
      </c>
      <c r="E477" s="122"/>
      <c r="F477" s="122" t="s">
        <v>687</v>
      </c>
      <c r="G477" s="151" t="s">
        <v>777</v>
      </c>
      <c r="H477" s="158" t="s">
        <v>280</v>
      </c>
      <c r="I477" s="155"/>
      <c r="J477" s="129" t="s">
        <v>689</v>
      </c>
    </row>
    <row r="478" spans="1:10" ht="13">
      <c r="A478" s="122" t="s">
        <v>684</v>
      </c>
      <c r="B478" s="158" t="s">
        <v>778</v>
      </c>
      <c r="C478" s="158" t="s">
        <v>280</v>
      </c>
      <c r="D478" s="122" t="s">
        <v>686</v>
      </c>
      <c r="E478" s="122"/>
      <c r="F478" s="122" t="s">
        <v>687</v>
      </c>
      <c r="G478" s="151" t="s">
        <v>779</v>
      </c>
      <c r="H478" s="158" t="s">
        <v>280</v>
      </c>
      <c r="I478" s="155"/>
      <c r="J478" s="129" t="s">
        <v>689</v>
      </c>
    </row>
    <row r="479" spans="1:10" ht="13">
      <c r="A479" s="122" t="s">
        <v>684</v>
      </c>
      <c r="B479" s="158" t="s">
        <v>780</v>
      </c>
      <c r="C479" s="158" t="s">
        <v>280</v>
      </c>
      <c r="D479" s="122" t="s">
        <v>686</v>
      </c>
      <c r="E479" s="122"/>
      <c r="F479" s="122" t="s">
        <v>687</v>
      </c>
      <c r="G479" s="151" t="s">
        <v>781</v>
      </c>
      <c r="H479" s="158" t="s">
        <v>280</v>
      </c>
      <c r="I479" s="155"/>
      <c r="J479" s="129" t="s">
        <v>689</v>
      </c>
    </row>
    <row r="480" spans="1:10" ht="13">
      <c r="A480" s="122" t="s">
        <v>684</v>
      </c>
      <c r="B480" s="158" t="s">
        <v>782</v>
      </c>
      <c r="C480" s="158" t="s">
        <v>280</v>
      </c>
      <c r="D480" s="122" t="s">
        <v>686</v>
      </c>
      <c r="E480" s="122"/>
      <c r="F480" s="122" t="s">
        <v>687</v>
      </c>
      <c r="G480" s="151" t="s">
        <v>783</v>
      </c>
      <c r="H480" s="158" t="s">
        <v>280</v>
      </c>
      <c r="I480" s="155"/>
      <c r="J480" s="129" t="s">
        <v>689</v>
      </c>
    </row>
    <row r="481" spans="1:10" ht="13">
      <c r="A481" s="122" t="s">
        <v>684</v>
      </c>
      <c r="B481" s="158" t="s">
        <v>784</v>
      </c>
      <c r="C481" s="158" t="s">
        <v>280</v>
      </c>
      <c r="D481" s="122" t="s">
        <v>686</v>
      </c>
      <c r="E481" s="122"/>
      <c r="F481" s="122" t="s">
        <v>687</v>
      </c>
      <c r="G481" s="151" t="s">
        <v>785</v>
      </c>
      <c r="H481" s="158" t="s">
        <v>280</v>
      </c>
      <c r="I481" s="155"/>
      <c r="J481" s="129" t="s">
        <v>689</v>
      </c>
    </row>
    <row r="482" spans="1:10" ht="13">
      <c r="A482" s="122" t="s">
        <v>684</v>
      </c>
      <c r="B482" s="158" t="s">
        <v>786</v>
      </c>
      <c r="C482" s="158" t="s">
        <v>280</v>
      </c>
      <c r="D482" s="122" t="s">
        <v>686</v>
      </c>
      <c r="E482" s="122"/>
      <c r="F482" s="122" t="s">
        <v>687</v>
      </c>
      <c r="G482" s="151" t="s">
        <v>787</v>
      </c>
      <c r="H482" s="158" t="s">
        <v>280</v>
      </c>
      <c r="I482" s="155"/>
      <c r="J482" s="129" t="s">
        <v>689</v>
      </c>
    </row>
    <row r="483" spans="1:10" ht="13">
      <c r="A483" s="122" t="s">
        <v>684</v>
      </c>
      <c r="B483" s="158" t="s">
        <v>788</v>
      </c>
      <c r="C483" s="158" t="s">
        <v>280</v>
      </c>
      <c r="D483" s="122" t="s">
        <v>686</v>
      </c>
      <c r="E483" s="122"/>
      <c r="F483" s="122" t="s">
        <v>687</v>
      </c>
      <c r="G483" s="151" t="s">
        <v>789</v>
      </c>
      <c r="H483" s="158" t="s">
        <v>280</v>
      </c>
      <c r="I483" s="155"/>
      <c r="J483" s="129" t="s">
        <v>689</v>
      </c>
    </row>
    <row r="484" spans="1:10" ht="13">
      <c r="A484" s="122" t="s">
        <v>684</v>
      </c>
      <c r="B484" s="158" t="s">
        <v>790</v>
      </c>
      <c r="C484" s="158" t="s">
        <v>280</v>
      </c>
      <c r="D484" s="122" t="s">
        <v>686</v>
      </c>
      <c r="E484" s="122"/>
      <c r="F484" s="122" t="s">
        <v>687</v>
      </c>
      <c r="G484" s="151" t="s">
        <v>791</v>
      </c>
      <c r="H484" s="158" t="s">
        <v>280</v>
      </c>
      <c r="I484" s="155"/>
      <c r="J484" s="129" t="s">
        <v>689</v>
      </c>
    </row>
    <row r="485" spans="1:10" ht="13">
      <c r="A485" s="122" t="s">
        <v>684</v>
      </c>
      <c r="B485" s="158" t="s">
        <v>792</v>
      </c>
      <c r="C485" s="158" t="s">
        <v>280</v>
      </c>
      <c r="D485" s="122" t="s">
        <v>686</v>
      </c>
      <c r="E485" s="122"/>
      <c r="F485" s="122" t="s">
        <v>687</v>
      </c>
      <c r="G485" s="151" t="s">
        <v>793</v>
      </c>
      <c r="H485" s="158" t="s">
        <v>280</v>
      </c>
      <c r="I485" s="155"/>
      <c r="J485" s="129" t="s">
        <v>689</v>
      </c>
    </row>
    <row r="486" spans="1:10" ht="13">
      <c r="A486" s="122" t="s">
        <v>684</v>
      </c>
      <c r="B486" s="158" t="s">
        <v>794</v>
      </c>
      <c r="C486" s="158" t="s">
        <v>280</v>
      </c>
      <c r="D486" s="122" t="s">
        <v>686</v>
      </c>
      <c r="E486" s="122"/>
      <c r="F486" s="122" t="s">
        <v>687</v>
      </c>
      <c r="G486" s="151" t="s">
        <v>795</v>
      </c>
      <c r="H486" s="158" t="s">
        <v>280</v>
      </c>
      <c r="I486" s="155"/>
      <c r="J486" s="129" t="s">
        <v>689</v>
      </c>
    </row>
    <row r="487" spans="1:10" ht="13">
      <c r="A487" s="122" t="s">
        <v>684</v>
      </c>
      <c r="B487" s="158" t="s">
        <v>796</v>
      </c>
      <c r="C487" s="158" t="s">
        <v>280</v>
      </c>
      <c r="D487" s="122" t="s">
        <v>686</v>
      </c>
      <c r="E487" s="122"/>
      <c r="F487" s="122" t="s">
        <v>687</v>
      </c>
      <c r="G487" s="151" t="s">
        <v>797</v>
      </c>
      <c r="H487" s="158" t="s">
        <v>280</v>
      </c>
      <c r="I487" s="155"/>
      <c r="J487" s="129" t="s">
        <v>689</v>
      </c>
    </row>
    <row r="488" spans="1:10" ht="13">
      <c r="A488" s="122" t="s">
        <v>684</v>
      </c>
      <c r="B488" s="158" t="s">
        <v>798</v>
      </c>
      <c r="C488" s="158" t="s">
        <v>280</v>
      </c>
      <c r="D488" s="122" t="s">
        <v>686</v>
      </c>
      <c r="E488" s="122"/>
      <c r="F488" s="122" t="s">
        <v>687</v>
      </c>
      <c r="G488" s="151" t="s">
        <v>799</v>
      </c>
      <c r="H488" s="158" t="s">
        <v>280</v>
      </c>
      <c r="I488" s="155"/>
      <c r="J488" s="129" t="s">
        <v>689</v>
      </c>
    </row>
    <row r="489" spans="1:10" ht="13">
      <c r="A489" s="122" t="s">
        <v>684</v>
      </c>
      <c r="B489" s="158" t="s">
        <v>800</v>
      </c>
      <c r="C489" s="158" t="s">
        <v>280</v>
      </c>
      <c r="D489" s="122" t="s">
        <v>686</v>
      </c>
      <c r="E489" s="122"/>
      <c r="F489" s="122" t="s">
        <v>687</v>
      </c>
      <c r="G489" s="151" t="s">
        <v>801</v>
      </c>
      <c r="H489" s="158" t="s">
        <v>280</v>
      </c>
      <c r="I489" s="155"/>
      <c r="J489" s="129" t="s">
        <v>689</v>
      </c>
    </row>
    <row r="490" spans="1:10" ht="13">
      <c r="A490" s="122" t="s">
        <v>684</v>
      </c>
      <c r="B490" s="158" t="s">
        <v>802</v>
      </c>
      <c r="C490" s="158" t="s">
        <v>280</v>
      </c>
      <c r="D490" s="122" t="s">
        <v>686</v>
      </c>
      <c r="E490" s="122"/>
      <c r="F490" s="122" t="s">
        <v>687</v>
      </c>
      <c r="G490" s="151" t="s">
        <v>803</v>
      </c>
      <c r="H490" s="158" t="s">
        <v>280</v>
      </c>
      <c r="I490" s="155"/>
      <c r="J490" s="129" t="s">
        <v>689</v>
      </c>
    </row>
    <row r="491" spans="1:10" ht="13">
      <c r="A491" s="122" t="s">
        <v>684</v>
      </c>
      <c r="B491" s="158" t="s">
        <v>804</v>
      </c>
      <c r="C491" s="158" t="s">
        <v>280</v>
      </c>
      <c r="D491" s="122" t="s">
        <v>686</v>
      </c>
      <c r="E491" s="122"/>
      <c r="F491" s="122" t="s">
        <v>687</v>
      </c>
      <c r="G491" s="151" t="s">
        <v>805</v>
      </c>
      <c r="H491" s="158" t="s">
        <v>280</v>
      </c>
      <c r="I491" s="155"/>
      <c r="J491" s="129" t="s">
        <v>689</v>
      </c>
    </row>
    <row r="492" spans="1:10" ht="13">
      <c r="A492" s="122" t="s">
        <v>684</v>
      </c>
      <c r="B492" s="158" t="s">
        <v>806</v>
      </c>
      <c r="C492" s="158" t="s">
        <v>280</v>
      </c>
      <c r="D492" s="122" t="s">
        <v>686</v>
      </c>
      <c r="E492" s="122"/>
      <c r="F492" s="122" t="s">
        <v>687</v>
      </c>
      <c r="G492" s="151" t="s">
        <v>807</v>
      </c>
      <c r="H492" s="158" t="s">
        <v>280</v>
      </c>
      <c r="I492" s="155"/>
      <c r="J492" s="129" t="s">
        <v>689</v>
      </c>
    </row>
    <row r="493" spans="1:10" ht="13">
      <c r="A493" s="122" t="s">
        <v>684</v>
      </c>
      <c r="B493" s="158" t="s">
        <v>808</v>
      </c>
      <c r="C493" s="158" t="s">
        <v>280</v>
      </c>
      <c r="D493" s="122" t="s">
        <v>686</v>
      </c>
      <c r="E493" s="122"/>
      <c r="F493" s="122" t="s">
        <v>687</v>
      </c>
      <c r="G493" s="151" t="s">
        <v>809</v>
      </c>
      <c r="H493" s="158" t="s">
        <v>280</v>
      </c>
      <c r="I493" s="155"/>
      <c r="J493" s="129" t="s">
        <v>689</v>
      </c>
    </row>
    <row r="494" spans="1:10" ht="13">
      <c r="A494" s="122" t="s">
        <v>684</v>
      </c>
      <c r="B494" s="158" t="s">
        <v>810</v>
      </c>
      <c r="C494" s="158" t="s">
        <v>280</v>
      </c>
      <c r="D494" s="122" t="s">
        <v>686</v>
      </c>
      <c r="E494" s="122"/>
      <c r="F494" s="122" t="s">
        <v>687</v>
      </c>
      <c r="G494" s="151" t="s">
        <v>811</v>
      </c>
      <c r="H494" s="158" t="s">
        <v>280</v>
      </c>
      <c r="I494" s="155"/>
      <c r="J494" s="129" t="s">
        <v>689</v>
      </c>
    </row>
    <row r="495" spans="1:10" ht="13">
      <c r="A495" s="122" t="s">
        <v>684</v>
      </c>
      <c r="B495" s="158" t="s">
        <v>812</v>
      </c>
      <c r="C495" s="158" t="s">
        <v>280</v>
      </c>
      <c r="D495" s="122" t="s">
        <v>686</v>
      </c>
      <c r="E495" s="122"/>
      <c r="F495" s="122" t="s">
        <v>687</v>
      </c>
      <c r="G495" s="151" t="s">
        <v>813</v>
      </c>
      <c r="H495" s="158" t="s">
        <v>280</v>
      </c>
      <c r="I495" s="155"/>
      <c r="J495" s="129" t="s">
        <v>689</v>
      </c>
    </row>
    <row r="496" spans="1:10" ht="13">
      <c r="A496" s="122" t="s">
        <v>684</v>
      </c>
      <c r="B496" s="158" t="s">
        <v>814</v>
      </c>
      <c r="C496" s="158" t="s">
        <v>280</v>
      </c>
      <c r="D496" s="122" t="s">
        <v>686</v>
      </c>
      <c r="E496" s="122"/>
      <c r="F496" s="122" t="s">
        <v>687</v>
      </c>
      <c r="G496" s="151" t="s">
        <v>815</v>
      </c>
      <c r="H496" s="158" t="s">
        <v>280</v>
      </c>
      <c r="I496" s="155"/>
      <c r="J496" s="129" t="s">
        <v>689</v>
      </c>
    </row>
    <row r="497" spans="1:10" ht="13">
      <c r="A497" s="122" t="s">
        <v>684</v>
      </c>
      <c r="B497" s="158" t="s">
        <v>816</v>
      </c>
      <c r="C497" s="158" t="s">
        <v>280</v>
      </c>
      <c r="D497" s="122" t="s">
        <v>686</v>
      </c>
      <c r="E497" s="122"/>
      <c r="F497" s="122" t="s">
        <v>687</v>
      </c>
      <c r="G497" s="151" t="s">
        <v>817</v>
      </c>
      <c r="H497" s="158" t="s">
        <v>280</v>
      </c>
      <c r="I497" s="155"/>
      <c r="J497" s="129" t="s">
        <v>689</v>
      </c>
    </row>
    <row r="498" spans="1:10" ht="13">
      <c r="A498" s="122" t="s">
        <v>684</v>
      </c>
      <c r="B498" s="158" t="s">
        <v>818</v>
      </c>
      <c r="C498" s="158" t="s">
        <v>280</v>
      </c>
      <c r="D498" s="122" t="s">
        <v>686</v>
      </c>
      <c r="E498" s="122"/>
      <c r="F498" s="122" t="s">
        <v>687</v>
      </c>
      <c r="G498" s="151" t="s">
        <v>819</v>
      </c>
      <c r="H498" s="158" t="s">
        <v>280</v>
      </c>
      <c r="I498" s="155"/>
      <c r="J498" s="129" t="s">
        <v>689</v>
      </c>
    </row>
    <row r="499" spans="1:10" ht="13">
      <c r="A499" s="122" t="s">
        <v>684</v>
      </c>
      <c r="B499" s="158" t="s">
        <v>820</v>
      </c>
      <c r="C499" s="158" t="s">
        <v>280</v>
      </c>
      <c r="D499" s="122" t="s">
        <v>686</v>
      </c>
      <c r="E499" s="122"/>
      <c r="F499" s="122" t="s">
        <v>687</v>
      </c>
      <c r="G499" s="151" t="s">
        <v>821</v>
      </c>
      <c r="H499" s="158" t="s">
        <v>280</v>
      </c>
      <c r="I499" s="155"/>
      <c r="J499" s="129" t="s">
        <v>689</v>
      </c>
    </row>
    <row r="500" spans="1:10" ht="13">
      <c r="A500" s="122" t="s">
        <v>684</v>
      </c>
      <c r="B500" s="158" t="s">
        <v>822</v>
      </c>
      <c r="C500" s="158" t="s">
        <v>280</v>
      </c>
      <c r="D500" s="122" t="s">
        <v>686</v>
      </c>
      <c r="E500" s="122"/>
      <c r="F500" s="122" t="s">
        <v>687</v>
      </c>
      <c r="G500" s="151" t="s">
        <v>823</v>
      </c>
      <c r="H500" s="158" t="s">
        <v>280</v>
      </c>
      <c r="I500" s="155"/>
      <c r="J500" s="129" t="s">
        <v>689</v>
      </c>
    </row>
    <row r="501" spans="1:10" ht="13">
      <c r="A501" s="122" t="s">
        <v>684</v>
      </c>
      <c r="B501" s="158" t="s">
        <v>824</v>
      </c>
      <c r="C501" s="158" t="s">
        <v>280</v>
      </c>
      <c r="D501" s="122" t="s">
        <v>686</v>
      </c>
      <c r="E501" s="122"/>
      <c r="F501" s="122" t="s">
        <v>687</v>
      </c>
      <c r="G501" s="151" t="s">
        <v>825</v>
      </c>
      <c r="H501" s="158" t="s">
        <v>280</v>
      </c>
      <c r="I501" s="155"/>
      <c r="J501" s="129" t="s">
        <v>689</v>
      </c>
    </row>
    <row r="502" spans="1:10" ht="13">
      <c r="A502" s="122" t="s">
        <v>684</v>
      </c>
      <c r="B502" s="158" t="s">
        <v>826</v>
      </c>
      <c r="C502" s="158" t="s">
        <v>280</v>
      </c>
      <c r="D502" s="122" t="s">
        <v>686</v>
      </c>
      <c r="E502" s="122"/>
      <c r="F502" s="122" t="s">
        <v>687</v>
      </c>
      <c r="G502" s="151" t="s">
        <v>827</v>
      </c>
      <c r="H502" s="158" t="s">
        <v>280</v>
      </c>
      <c r="I502" s="155"/>
      <c r="J502" s="129" t="s">
        <v>689</v>
      </c>
    </row>
    <row r="503" spans="1:10" ht="13">
      <c r="A503" s="122" t="s">
        <v>684</v>
      </c>
      <c r="B503" s="158" t="s">
        <v>828</v>
      </c>
      <c r="C503" s="158" t="s">
        <v>280</v>
      </c>
      <c r="D503" s="122" t="s">
        <v>686</v>
      </c>
      <c r="E503" s="122"/>
      <c r="F503" s="122" t="s">
        <v>687</v>
      </c>
      <c r="G503" s="151" t="s">
        <v>829</v>
      </c>
      <c r="H503" s="158" t="s">
        <v>280</v>
      </c>
      <c r="I503" s="155"/>
      <c r="J503" s="129" t="s">
        <v>689</v>
      </c>
    </row>
    <row r="504" spans="1:10" ht="13">
      <c r="A504" s="122" t="s">
        <v>684</v>
      </c>
      <c r="B504" s="158" t="s">
        <v>830</v>
      </c>
      <c r="C504" s="158" t="s">
        <v>280</v>
      </c>
      <c r="D504" s="122" t="s">
        <v>686</v>
      </c>
      <c r="E504" s="122"/>
      <c r="F504" s="122" t="s">
        <v>687</v>
      </c>
      <c r="G504" s="151" t="s">
        <v>831</v>
      </c>
      <c r="H504" s="158" t="s">
        <v>280</v>
      </c>
      <c r="I504" s="155"/>
      <c r="J504" s="129" t="s">
        <v>689</v>
      </c>
    </row>
    <row r="505" spans="1:10" ht="13">
      <c r="A505" s="122" t="s">
        <v>684</v>
      </c>
      <c r="B505" s="158" t="s">
        <v>832</v>
      </c>
      <c r="C505" s="158" t="s">
        <v>267</v>
      </c>
      <c r="D505" s="122" t="s">
        <v>686</v>
      </c>
      <c r="E505" s="122"/>
      <c r="F505" s="122" t="s">
        <v>687</v>
      </c>
      <c r="G505" s="151" t="s">
        <v>833</v>
      </c>
      <c r="H505" s="158" t="s">
        <v>267</v>
      </c>
      <c r="I505" s="155"/>
      <c r="J505" s="129" t="s">
        <v>689</v>
      </c>
    </row>
    <row r="506" spans="1:10" ht="13">
      <c r="A506" s="122" t="s">
        <v>684</v>
      </c>
      <c r="B506" s="158" t="s">
        <v>834</v>
      </c>
      <c r="C506" s="158" t="s">
        <v>280</v>
      </c>
      <c r="D506" s="122" t="s">
        <v>686</v>
      </c>
      <c r="E506" s="122"/>
      <c r="F506" s="122" t="s">
        <v>687</v>
      </c>
      <c r="G506" s="151" t="s">
        <v>835</v>
      </c>
      <c r="H506" s="158" t="s">
        <v>280</v>
      </c>
      <c r="I506" s="155"/>
      <c r="J506" s="129" t="s">
        <v>689</v>
      </c>
    </row>
    <row r="507" spans="1:10" ht="13">
      <c r="A507" s="122" t="s">
        <v>684</v>
      </c>
      <c r="B507" s="158" t="s">
        <v>836</v>
      </c>
      <c r="C507" s="158" t="s">
        <v>280</v>
      </c>
      <c r="D507" s="122" t="s">
        <v>686</v>
      </c>
      <c r="E507" s="122"/>
      <c r="F507" s="122" t="s">
        <v>687</v>
      </c>
      <c r="G507" s="151" t="s">
        <v>837</v>
      </c>
      <c r="H507" s="158" t="s">
        <v>280</v>
      </c>
      <c r="I507" s="155"/>
      <c r="J507" s="129" t="s">
        <v>689</v>
      </c>
    </row>
    <row r="508" spans="1:10" ht="13">
      <c r="A508" s="122" t="s">
        <v>684</v>
      </c>
      <c r="B508" s="158" t="s">
        <v>838</v>
      </c>
      <c r="C508" s="158" t="s">
        <v>280</v>
      </c>
      <c r="D508" s="122" t="s">
        <v>686</v>
      </c>
      <c r="E508" s="122"/>
      <c r="F508" s="122" t="s">
        <v>687</v>
      </c>
      <c r="G508" s="151" t="s">
        <v>839</v>
      </c>
      <c r="H508" s="158" t="s">
        <v>280</v>
      </c>
      <c r="I508" s="155"/>
      <c r="J508" s="129" t="s">
        <v>689</v>
      </c>
    </row>
    <row r="509" spans="1:10" ht="13">
      <c r="A509" s="122" t="s">
        <v>684</v>
      </c>
      <c r="B509" s="158" t="s">
        <v>840</v>
      </c>
      <c r="C509" s="158" t="s">
        <v>280</v>
      </c>
      <c r="D509" s="122" t="s">
        <v>686</v>
      </c>
      <c r="E509" s="122"/>
      <c r="F509" s="122" t="s">
        <v>687</v>
      </c>
      <c r="G509" s="151" t="s">
        <v>841</v>
      </c>
      <c r="H509" s="158" t="s">
        <v>280</v>
      </c>
      <c r="I509" s="155"/>
      <c r="J509" s="129" t="s">
        <v>689</v>
      </c>
    </row>
    <row r="510" spans="1:10" ht="13">
      <c r="A510" s="122" t="s">
        <v>684</v>
      </c>
      <c r="B510" s="158" t="s">
        <v>842</v>
      </c>
      <c r="C510" s="158" t="s">
        <v>280</v>
      </c>
      <c r="D510" s="122" t="s">
        <v>686</v>
      </c>
      <c r="E510" s="122"/>
      <c r="F510" s="122" t="s">
        <v>687</v>
      </c>
      <c r="G510" s="151" t="s">
        <v>843</v>
      </c>
      <c r="H510" s="158" t="s">
        <v>280</v>
      </c>
      <c r="I510" s="155"/>
      <c r="J510" s="129" t="s">
        <v>689</v>
      </c>
    </row>
    <row r="511" spans="1:10" ht="13">
      <c r="A511" s="122" t="s">
        <v>684</v>
      </c>
      <c r="B511" s="158" t="s">
        <v>844</v>
      </c>
      <c r="C511" s="158" t="s">
        <v>280</v>
      </c>
      <c r="D511" s="122" t="s">
        <v>686</v>
      </c>
      <c r="E511" s="122"/>
      <c r="F511" s="122" t="s">
        <v>687</v>
      </c>
      <c r="G511" s="151" t="s">
        <v>845</v>
      </c>
      <c r="H511" s="158" t="s">
        <v>280</v>
      </c>
      <c r="I511" s="155"/>
      <c r="J511" s="129" t="s">
        <v>689</v>
      </c>
    </row>
    <row r="512" spans="1:10" ht="13">
      <c r="A512" s="122" t="s">
        <v>684</v>
      </c>
      <c r="B512" s="158" t="s">
        <v>846</v>
      </c>
      <c r="C512" s="158" t="s">
        <v>280</v>
      </c>
      <c r="D512" s="122" t="s">
        <v>686</v>
      </c>
      <c r="E512" s="122"/>
      <c r="F512" s="122" t="s">
        <v>687</v>
      </c>
      <c r="G512" s="151" t="s">
        <v>847</v>
      </c>
      <c r="H512" s="158" t="s">
        <v>280</v>
      </c>
      <c r="I512" s="155"/>
      <c r="J512" s="129" t="s">
        <v>689</v>
      </c>
    </row>
    <row r="513" spans="1:10" ht="13">
      <c r="A513" s="122" t="s">
        <v>684</v>
      </c>
      <c r="B513" s="158" t="s">
        <v>848</v>
      </c>
      <c r="C513" s="158" t="s">
        <v>280</v>
      </c>
      <c r="D513" s="122" t="s">
        <v>686</v>
      </c>
      <c r="E513" s="122"/>
      <c r="F513" s="122" t="s">
        <v>687</v>
      </c>
      <c r="G513" s="151" t="s">
        <v>849</v>
      </c>
      <c r="H513" s="158" t="s">
        <v>280</v>
      </c>
      <c r="I513" s="155"/>
      <c r="J513" s="129" t="s">
        <v>689</v>
      </c>
    </row>
    <row r="514" spans="1:10" ht="13">
      <c r="A514" s="122" t="s">
        <v>684</v>
      </c>
      <c r="B514" s="158" t="s">
        <v>850</v>
      </c>
      <c r="C514" s="158" t="s">
        <v>280</v>
      </c>
      <c r="D514" s="122" t="s">
        <v>686</v>
      </c>
      <c r="E514" s="122"/>
      <c r="F514" s="122" t="s">
        <v>687</v>
      </c>
      <c r="G514" s="151" t="s">
        <v>851</v>
      </c>
      <c r="H514" s="158" t="s">
        <v>280</v>
      </c>
      <c r="I514" s="155"/>
      <c r="J514" s="129" t="s">
        <v>689</v>
      </c>
    </row>
    <row r="515" spans="1:10" ht="13">
      <c r="A515" s="122" t="s">
        <v>684</v>
      </c>
      <c r="B515" s="158" t="s">
        <v>852</v>
      </c>
      <c r="C515" s="158" t="s">
        <v>280</v>
      </c>
      <c r="D515" s="122" t="s">
        <v>686</v>
      </c>
      <c r="E515" s="122"/>
      <c r="F515" s="122" t="s">
        <v>687</v>
      </c>
      <c r="G515" s="151" t="s">
        <v>853</v>
      </c>
      <c r="H515" s="158" t="s">
        <v>280</v>
      </c>
      <c r="I515" s="155"/>
      <c r="J515" s="129" t="s">
        <v>689</v>
      </c>
    </row>
    <row r="516" spans="1:10" ht="13">
      <c r="A516" s="122" t="s">
        <v>684</v>
      </c>
      <c r="B516" s="158" t="s">
        <v>854</v>
      </c>
      <c r="C516" s="158" t="s">
        <v>280</v>
      </c>
      <c r="D516" s="122" t="s">
        <v>686</v>
      </c>
      <c r="E516" s="122"/>
      <c r="F516" s="122" t="s">
        <v>687</v>
      </c>
      <c r="G516" s="151" t="s">
        <v>855</v>
      </c>
      <c r="H516" s="158" t="s">
        <v>280</v>
      </c>
      <c r="I516" s="155"/>
      <c r="J516" s="129" t="s">
        <v>689</v>
      </c>
    </row>
    <row r="517" spans="1:10" ht="13">
      <c r="A517" s="122" t="s">
        <v>684</v>
      </c>
      <c r="B517" s="158" t="s">
        <v>856</v>
      </c>
      <c r="C517" s="158" t="s">
        <v>280</v>
      </c>
      <c r="D517" s="122" t="s">
        <v>686</v>
      </c>
      <c r="E517" s="122"/>
      <c r="F517" s="122" t="s">
        <v>687</v>
      </c>
      <c r="G517" s="151" t="s">
        <v>857</v>
      </c>
      <c r="H517" s="158" t="s">
        <v>280</v>
      </c>
      <c r="I517" s="155"/>
      <c r="J517" s="129" t="s">
        <v>689</v>
      </c>
    </row>
    <row r="518" spans="1:10" ht="13">
      <c r="A518" s="122" t="s">
        <v>684</v>
      </c>
      <c r="B518" s="158" t="s">
        <v>858</v>
      </c>
      <c r="C518" s="158" t="s">
        <v>280</v>
      </c>
      <c r="D518" s="122" t="s">
        <v>686</v>
      </c>
      <c r="E518" s="122"/>
      <c r="F518" s="122" t="s">
        <v>687</v>
      </c>
      <c r="G518" s="151" t="s">
        <v>859</v>
      </c>
      <c r="H518" s="158" t="s">
        <v>280</v>
      </c>
      <c r="I518" s="155"/>
      <c r="J518" s="129" t="s">
        <v>689</v>
      </c>
    </row>
    <row r="519" spans="1:10" ht="13">
      <c r="A519" s="122" t="s">
        <v>684</v>
      </c>
      <c r="B519" s="158" t="s">
        <v>860</v>
      </c>
      <c r="C519" s="158" t="s">
        <v>280</v>
      </c>
      <c r="D519" s="122" t="s">
        <v>686</v>
      </c>
      <c r="E519" s="122"/>
      <c r="F519" s="122" t="s">
        <v>687</v>
      </c>
      <c r="G519" s="151" t="s">
        <v>861</v>
      </c>
      <c r="H519" s="158" t="s">
        <v>280</v>
      </c>
      <c r="I519" s="155"/>
      <c r="J519" s="129" t="s">
        <v>689</v>
      </c>
    </row>
    <row r="520" spans="1:10" ht="13">
      <c r="A520" s="122" t="s">
        <v>684</v>
      </c>
      <c r="B520" s="158" t="s">
        <v>862</v>
      </c>
      <c r="C520" s="158" t="s">
        <v>280</v>
      </c>
      <c r="D520" s="122" t="s">
        <v>686</v>
      </c>
      <c r="E520" s="122"/>
      <c r="F520" s="122" t="s">
        <v>687</v>
      </c>
      <c r="G520" s="151" t="s">
        <v>863</v>
      </c>
      <c r="H520" s="158" t="s">
        <v>280</v>
      </c>
      <c r="I520" s="155"/>
      <c r="J520" s="129" t="s">
        <v>689</v>
      </c>
    </row>
    <row r="521" spans="1:10" ht="13">
      <c r="A521" s="122" t="s">
        <v>684</v>
      </c>
      <c r="B521" s="158" t="s">
        <v>864</v>
      </c>
      <c r="C521" s="158" t="s">
        <v>280</v>
      </c>
      <c r="D521" s="122" t="s">
        <v>686</v>
      </c>
      <c r="E521" s="122"/>
      <c r="F521" s="122" t="s">
        <v>687</v>
      </c>
      <c r="G521" s="151" t="s">
        <v>865</v>
      </c>
      <c r="H521" s="158" t="s">
        <v>280</v>
      </c>
      <c r="I521" s="155"/>
      <c r="J521" s="129" t="s">
        <v>689</v>
      </c>
    </row>
    <row r="522" spans="1:10" ht="13">
      <c r="A522" s="122" t="s">
        <v>684</v>
      </c>
      <c r="B522" s="158" t="s">
        <v>866</v>
      </c>
      <c r="C522" s="158" t="s">
        <v>280</v>
      </c>
      <c r="D522" s="122" t="s">
        <v>686</v>
      </c>
      <c r="E522" s="122"/>
      <c r="F522" s="122" t="s">
        <v>687</v>
      </c>
      <c r="G522" s="151" t="s">
        <v>867</v>
      </c>
      <c r="H522" s="158" t="s">
        <v>280</v>
      </c>
      <c r="I522" s="155"/>
      <c r="J522" s="129" t="s">
        <v>689</v>
      </c>
    </row>
    <row r="523" spans="1:10" ht="13">
      <c r="A523" s="122" t="s">
        <v>684</v>
      </c>
      <c r="B523" s="158" t="s">
        <v>868</v>
      </c>
      <c r="C523" s="158" t="s">
        <v>280</v>
      </c>
      <c r="D523" s="122" t="s">
        <v>686</v>
      </c>
      <c r="E523" s="122"/>
      <c r="F523" s="122" t="s">
        <v>687</v>
      </c>
      <c r="G523" s="151" t="s">
        <v>869</v>
      </c>
      <c r="H523" s="158" t="s">
        <v>280</v>
      </c>
      <c r="I523" s="155"/>
      <c r="J523" s="129" t="s">
        <v>689</v>
      </c>
    </row>
    <row r="524" spans="1:10" ht="13">
      <c r="A524" s="122" t="s">
        <v>684</v>
      </c>
      <c r="B524" s="158" t="s">
        <v>870</v>
      </c>
      <c r="C524" s="158" t="s">
        <v>280</v>
      </c>
      <c r="D524" s="122" t="s">
        <v>686</v>
      </c>
      <c r="E524" s="122"/>
      <c r="F524" s="122" t="s">
        <v>687</v>
      </c>
      <c r="G524" s="151" t="s">
        <v>871</v>
      </c>
      <c r="H524" s="158" t="s">
        <v>280</v>
      </c>
      <c r="I524" s="155"/>
      <c r="J524" s="129" t="s">
        <v>689</v>
      </c>
    </row>
    <row r="525" spans="1:10" ht="13">
      <c r="A525" s="122" t="s">
        <v>684</v>
      </c>
      <c r="B525" s="158" t="s">
        <v>872</v>
      </c>
      <c r="C525" s="158" t="s">
        <v>280</v>
      </c>
      <c r="D525" s="122" t="s">
        <v>686</v>
      </c>
      <c r="E525" s="122"/>
      <c r="F525" s="122" t="s">
        <v>687</v>
      </c>
      <c r="G525" s="151" t="s">
        <v>873</v>
      </c>
      <c r="H525" s="158" t="s">
        <v>280</v>
      </c>
      <c r="I525" s="155"/>
      <c r="J525" s="129" t="s">
        <v>689</v>
      </c>
    </row>
    <row r="526" spans="1:10" ht="13">
      <c r="A526" s="122" t="s">
        <v>684</v>
      </c>
      <c r="B526" s="158" t="s">
        <v>874</v>
      </c>
      <c r="C526" s="158" t="s">
        <v>280</v>
      </c>
      <c r="D526" s="122" t="s">
        <v>686</v>
      </c>
      <c r="E526" s="122"/>
      <c r="F526" s="122" t="s">
        <v>687</v>
      </c>
      <c r="G526" s="151" t="s">
        <v>875</v>
      </c>
      <c r="H526" s="158" t="s">
        <v>280</v>
      </c>
      <c r="I526" s="155"/>
      <c r="J526" s="129" t="s">
        <v>689</v>
      </c>
    </row>
    <row r="527" spans="1:10" ht="13">
      <c r="A527" s="122" t="s">
        <v>684</v>
      </c>
      <c r="B527" s="158" t="s">
        <v>876</v>
      </c>
      <c r="C527" s="158" t="s">
        <v>280</v>
      </c>
      <c r="D527" s="122" t="s">
        <v>686</v>
      </c>
      <c r="E527" s="122"/>
      <c r="F527" s="122" t="s">
        <v>687</v>
      </c>
      <c r="G527" s="151" t="s">
        <v>877</v>
      </c>
      <c r="H527" s="158" t="s">
        <v>280</v>
      </c>
      <c r="I527" s="155"/>
      <c r="J527" s="129" t="s">
        <v>689</v>
      </c>
    </row>
    <row r="528" spans="1:10" ht="13">
      <c r="A528" s="122" t="s">
        <v>684</v>
      </c>
      <c r="B528" s="158" t="s">
        <v>878</v>
      </c>
      <c r="C528" s="158" t="s">
        <v>280</v>
      </c>
      <c r="D528" s="122" t="s">
        <v>686</v>
      </c>
      <c r="E528" s="122"/>
      <c r="F528" s="122" t="s">
        <v>687</v>
      </c>
      <c r="G528" s="151" t="s">
        <v>879</v>
      </c>
      <c r="H528" s="158" t="s">
        <v>280</v>
      </c>
      <c r="I528" s="155"/>
      <c r="J528" s="129" t="s">
        <v>689</v>
      </c>
    </row>
    <row r="529" spans="1:19" ht="13">
      <c r="A529" s="122" t="s">
        <v>684</v>
      </c>
      <c r="B529" s="158" t="s">
        <v>880</v>
      </c>
      <c r="C529" s="158" t="s">
        <v>280</v>
      </c>
      <c r="D529" s="122" t="s">
        <v>686</v>
      </c>
      <c r="E529" s="122"/>
      <c r="F529" s="122" t="s">
        <v>687</v>
      </c>
      <c r="G529" s="151" t="s">
        <v>881</v>
      </c>
      <c r="H529" s="158" t="s">
        <v>280</v>
      </c>
      <c r="I529" s="155"/>
      <c r="J529" s="129" t="s">
        <v>689</v>
      </c>
    </row>
    <row r="530" spans="1:19" ht="13">
      <c r="A530" s="122" t="s">
        <v>684</v>
      </c>
      <c r="B530" s="158" t="s">
        <v>882</v>
      </c>
      <c r="C530" s="158" t="s">
        <v>280</v>
      </c>
      <c r="D530" s="122" t="s">
        <v>686</v>
      </c>
      <c r="E530" s="122"/>
      <c r="F530" s="122" t="s">
        <v>687</v>
      </c>
      <c r="G530" s="151" t="s">
        <v>883</v>
      </c>
      <c r="H530" s="158" t="s">
        <v>280</v>
      </c>
      <c r="I530" s="155"/>
      <c r="J530" s="129" t="s">
        <v>689</v>
      </c>
    </row>
    <row r="531" spans="1:19" ht="13">
      <c r="A531" s="122" t="s">
        <v>684</v>
      </c>
      <c r="B531" s="158" t="s">
        <v>884</v>
      </c>
      <c r="C531" s="158" t="s">
        <v>280</v>
      </c>
      <c r="D531" s="122" t="s">
        <v>686</v>
      </c>
      <c r="E531" s="122"/>
      <c r="F531" s="122" t="s">
        <v>687</v>
      </c>
      <c r="G531" s="151" t="s">
        <v>885</v>
      </c>
      <c r="H531" s="158" t="s">
        <v>280</v>
      </c>
      <c r="I531" s="155"/>
      <c r="J531" s="129" t="s">
        <v>689</v>
      </c>
    </row>
    <row r="532" spans="1:19" ht="13">
      <c r="A532" s="122" t="s">
        <v>684</v>
      </c>
      <c r="B532" s="158" t="s">
        <v>886</v>
      </c>
      <c r="C532" s="158" t="s">
        <v>280</v>
      </c>
      <c r="D532" s="122" t="s">
        <v>686</v>
      </c>
      <c r="E532" s="122"/>
      <c r="F532" s="122" t="s">
        <v>687</v>
      </c>
      <c r="G532" s="151" t="s">
        <v>887</v>
      </c>
      <c r="H532" s="158" t="s">
        <v>280</v>
      </c>
      <c r="I532" s="155"/>
      <c r="J532" s="129" t="s">
        <v>689</v>
      </c>
    </row>
    <row r="533" spans="1:19" ht="13">
      <c r="A533" s="122" t="s">
        <v>684</v>
      </c>
      <c r="B533" s="158" t="s">
        <v>888</v>
      </c>
      <c r="C533" s="158" t="s">
        <v>280</v>
      </c>
      <c r="D533" s="122" t="s">
        <v>686</v>
      </c>
      <c r="E533" s="122"/>
      <c r="F533" s="122" t="s">
        <v>687</v>
      </c>
      <c r="G533" s="151" t="s">
        <v>889</v>
      </c>
      <c r="H533" s="158" t="s">
        <v>280</v>
      </c>
      <c r="I533" s="155"/>
      <c r="J533" s="129" t="s">
        <v>689</v>
      </c>
    </row>
    <row r="534" spans="1:19" ht="13">
      <c r="A534" s="122" t="s">
        <v>684</v>
      </c>
      <c r="B534" s="158" t="s">
        <v>890</v>
      </c>
      <c r="C534" s="158" t="s">
        <v>280</v>
      </c>
      <c r="D534" s="122" t="s">
        <v>686</v>
      </c>
      <c r="E534" s="122"/>
      <c r="F534" s="122" t="s">
        <v>687</v>
      </c>
      <c r="G534" s="151" t="s">
        <v>891</v>
      </c>
      <c r="H534" s="158" t="s">
        <v>280</v>
      </c>
      <c r="I534" s="155"/>
      <c r="J534" s="129" t="s">
        <v>689</v>
      </c>
    </row>
    <row r="535" spans="1:19" ht="13">
      <c r="A535" s="122" t="s">
        <v>684</v>
      </c>
      <c r="B535" s="158" t="s">
        <v>892</v>
      </c>
      <c r="C535" s="158" t="s">
        <v>280</v>
      </c>
      <c r="D535" s="122" t="s">
        <v>686</v>
      </c>
      <c r="E535" s="122"/>
      <c r="F535" s="122" t="s">
        <v>687</v>
      </c>
      <c r="G535" s="151" t="s">
        <v>893</v>
      </c>
      <c r="H535" s="158" t="s">
        <v>280</v>
      </c>
      <c r="I535" s="155"/>
      <c r="J535" s="129" t="s">
        <v>689</v>
      </c>
    </row>
    <row r="536" spans="1:19" ht="13">
      <c r="A536" s="122" t="s">
        <v>684</v>
      </c>
      <c r="B536" s="158" t="s">
        <v>894</v>
      </c>
      <c r="C536" s="158" t="s">
        <v>280</v>
      </c>
      <c r="D536" s="122" t="s">
        <v>686</v>
      </c>
      <c r="E536" s="122"/>
      <c r="F536" s="122" t="s">
        <v>687</v>
      </c>
      <c r="G536" s="151" t="s">
        <v>895</v>
      </c>
      <c r="H536" s="158" t="s">
        <v>280</v>
      </c>
      <c r="I536" s="155"/>
      <c r="J536" s="129" t="s">
        <v>689</v>
      </c>
    </row>
    <row r="537" spans="1:19" ht="13">
      <c r="A537" s="122" t="s">
        <v>684</v>
      </c>
      <c r="B537" s="158" t="s">
        <v>896</v>
      </c>
      <c r="C537" s="158" t="s">
        <v>280</v>
      </c>
      <c r="D537" s="122" t="s">
        <v>686</v>
      </c>
      <c r="E537" s="122"/>
      <c r="F537" s="122" t="s">
        <v>687</v>
      </c>
      <c r="G537" s="151" t="s">
        <v>897</v>
      </c>
      <c r="H537" s="158" t="s">
        <v>280</v>
      </c>
      <c r="I537" s="155"/>
      <c r="J537" s="129" t="s">
        <v>689</v>
      </c>
    </row>
    <row r="538" spans="1:19" ht="13">
      <c r="A538" s="122" t="s">
        <v>684</v>
      </c>
      <c r="B538" s="158" t="s">
        <v>898</v>
      </c>
      <c r="C538" s="158" t="s">
        <v>280</v>
      </c>
      <c r="D538" s="122" t="s">
        <v>686</v>
      </c>
      <c r="E538" s="122"/>
      <c r="F538" s="122" t="s">
        <v>687</v>
      </c>
      <c r="G538" s="151" t="s">
        <v>899</v>
      </c>
      <c r="H538" s="158" t="s">
        <v>280</v>
      </c>
      <c r="I538" s="155"/>
      <c r="J538" s="129" t="s">
        <v>689</v>
      </c>
    </row>
    <row r="539" spans="1:19" ht="13">
      <c r="A539" s="122" t="s">
        <v>684</v>
      </c>
      <c r="B539" s="158" t="s">
        <v>900</v>
      </c>
      <c r="C539" s="158" t="s">
        <v>280</v>
      </c>
      <c r="D539" s="122" t="s">
        <v>686</v>
      </c>
      <c r="E539" s="122"/>
      <c r="F539" s="122" t="s">
        <v>687</v>
      </c>
      <c r="G539" s="151" t="s">
        <v>901</v>
      </c>
      <c r="H539" s="158" t="s">
        <v>280</v>
      </c>
      <c r="I539" s="155"/>
      <c r="J539" s="129" t="s">
        <v>689</v>
      </c>
    </row>
    <row r="540" spans="1:19" ht="13">
      <c r="A540" s="122" t="s">
        <v>684</v>
      </c>
      <c r="B540" s="158" t="s">
        <v>902</v>
      </c>
      <c r="C540" s="158" t="s">
        <v>280</v>
      </c>
      <c r="D540" s="122" t="s">
        <v>686</v>
      </c>
      <c r="E540" s="122"/>
      <c r="F540" s="122" t="s">
        <v>687</v>
      </c>
      <c r="G540" s="151" t="s">
        <v>903</v>
      </c>
      <c r="H540" s="158" t="s">
        <v>280</v>
      </c>
      <c r="I540" s="155"/>
      <c r="J540" s="129" t="s">
        <v>689</v>
      </c>
    </row>
    <row r="541" spans="1:19">
      <c r="A541" s="122"/>
      <c r="B541" s="105"/>
      <c r="C541" s="105"/>
      <c r="D541" s="105" t="s">
        <v>279</v>
      </c>
      <c r="E541" s="156" t="s">
        <v>904</v>
      </c>
      <c r="F541" s="122" t="s">
        <v>687</v>
      </c>
      <c r="G541" s="122" t="s">
        <v>905</v>
      </c>
      <c r="H541" s="122" t="s">
        <v>267</v>
      </c>
      <c r="I541" s="105"/>
      <c r="J541" s="129" t="s">
        <v>689</v>
      </c>
    </row>
    <row r="542" spans="1:19">
      <c r="A542" s="157"/>
      <c r="B542" s="157"/>
      <c r="C542" s="157"/>
      <c r="D542" s="157"/>
      <c r="E542" s="157"/>
      <c r="F542" s="157"/>
      <c r="G542" s="157"/>
      <c r="H542" s="157"/>
      <c r="I542" s="157"/>
      <c r="J542" s="157"/>
    </row>
    <row r="543" spans="1:19">
      <c r="A543" s="157"/>
      <c r="B543" s="157"/>
      <c r="C543" s="157"/>
      <c r="D543" s="157"/>
      <c r="E543" s="157"/>
      <c r="F543" s="157"/>
      <c r="G543" s="157"/>
      <c r="H543" s="157"/>
      <c r="I543" s="157"/>
      <c r="J543" s="157"/>
    </row>
    <row r="544" spans="1:19" ht="14.5" customHeight="1">
      <c r="A544" s="549"/>
      <c r="B544" s="549"/>
      <c r="C544" s="549"/>
      <c r="D544" s="549"/>
      <c r="E544" s="549"/>
      <c r="F544" s="549"/>
      <c r="G544" s="549"/>
      <c r="H544" s="549"/>
      <c r="I544" s="549"/>
      <c r="J544" s="549"/>
      <c r="K544" s="159"/>
      <c r="L544" s="159"/>
      <c r="M544" s="159"/>
      <c r="N544" s="159"/>
      <c r="O544" s="159"/>
      <c r="P544" s="159"/>
      <c r="Q544" s="159"/>
      <c r="R544" s="159"/>
      <c r="S544" s="159"/>
    </row>
    <row r="545" spans="1:10" ht="14.5" customHeight="1">
      <c r="A545" s="543" t="s">
        <v>906</v>
      </c>
      <c r="B545" s="543"/>
      <c r="C545" s="543"/>
      <c r="D545" s="543" t="s">
        <v>906</v>
      </c>
      <c r="E545" s="543"/>
      <c r="F545" s="543"/>
      <c r="G545" s="543"/>
      <c r="H545" s="543"/>
      <c r="I545" s="543"/>
      <c r="J545" s="543"/>
    </row>
    <row r="546" spans="1:10">
      <c r="A546" s="157"/>
      <c r="B546" s="157"/>
      <c r="C546" s="157"/>
      <c r="D546" s="157"/>
      <c r="E546" s="157"/>
      <c r="F546" s="157"/>
      <c r="G546" s="157"/>
      <c r="H546" s="157"/>
      <c r="I546" s="157"/>
      <c r="J546" s="157"/>
    </row>
    <row r="547" spans="1:10">
      <c r="A547" s="550" t="s">
        <v>907</v>
      </c>
      <c r="B547" s="550"/>
      <c r="C547" s="550"/>
      <c r="D547" s="550"/>
      <c r="E547" s="550"/>
      <c r="F547" s="550"/>
      <c r="G547" s="550"/>
      <c r="H547" s="550"/>
      <c r="I547" s="159"/>
      <c r="J547" s="159"/>
    </row>
    <row r="548" spans="1:10">
      <c r="A548" s="550"/>
      <c r="B548" s="550"/>
      <c r="C548" s="550"/>
      <c r="D548" s="550"/>
      <c r="E548" s="550"/>
      <c r="F548" s="550"/>
      <c r="G548" s="550"/>
      <c r="H548" s="550"/>
      <c r="I548" s="159"/>
      <c r="J548" s="159"/>
    </row>
    <row r="549" spans="1:10">
      <c r="A549" s="550"/>
      <c r="B549" s="550"/>
      <c r="C549" s="550"/>
      <c r="D549" s="550"/>
      <c r="E549" s="550"/>
      <c r="F549" s="550"/>
      <c r="G549" s="550"/>
      <c r="H549" s="550"/>
      <c r="I549" s="159"/>
      <c r="J549" s="159"/>
    </row>
    <row r="550" spans="1:10" ht="177" customHeight="1">
      <c r="A550" s="550"/>
      <c r="B550" s="550"/>
      <c r="C550" s="550"/>
      <c r="D550" s="550"/>
      <c r="E550" s="550"/>
      <c r="F550" s="550"/>
      <c r="G550" s="550"/>
      <c r="H550" s="550"/>
      <c r="I550" s="159"/>
      <c r="J550" s="159"/>
    </row>
    <row r="551" spans="1:10" ht="13">
      <c r="A551" s="186" t="s">
        <v>73</v>
      </c>
      <c r="B551" s="153" t="s">
        <v>74</v>
      </c>
      <c r="C551" s="185" t="s">
        <v>75</v>
      </c>
      <c r="D551" s="185" t="s">
        <v>76</v>
      </c>
      <c r="E551" s="249" t="s">
        <v>77</v>
      </c>
      <c r="F551" s="249" t="s">
        <v>78</v>
      </c>
      <c r="G551" s="185" t="s">
        <v>79</v>
      </c>
      <c r="H551" s="112" t="s">
        <v>80</v>
      </c>
      <c r="I551" s="185" t="s">
        <v>683</v>
      </c>
      <c r="J551" s="185" t="s">
        <v>261</v>
      </c>
    </row>
    <row r="552" spans="1:10">
      <c r="A552" s="250" t="s">
        <v>908</v>
      </c>
      <c r="B552" s="122" t="s">
        <v>87</v>
      </c>
      <c r="C552" s="122" t="s">
        <v>274</v>
      </c>
      <c r="D552" s="122" t="s">
        <v>686</v>
      </c>
      <c r="E552" s="122" t="s">
        <v>909</v>
      </c>
      <c r="F552" s="122" t="s">
        <v>910</v>
      </c>
      <c r="G552" s="251" t="s">
        <v>911</v>
      </c>
      <c r="H552" s="122" t="s">
        <v>262</v>
      </c>
      <c r="I552" s="122" t="s">
        <v>912</v>
      </c>
      <c r="J552" s="122" t="s">
        <v>906</v>
      </c>
    </row>
    <row r="553" spans="1:10">
      <c r="A553" s="122" t="s">
        <v>913</v>
      </c>
      <c r="B553" s="252" t="s">
        <v>914</v>
      </c>
      <c r="C553" s="122" t="s">
        <v>267</v>
      </c>
      <c r="D553" s="122" t="s">
        <v>686</v>
      </c>
      <c r="E553" s="348"/>
      <c r="F553" s="122" t="s">
        <v>910</v>
      </c>
      <c r="G553" s="252" t="s">
        <v>914</v>
      </c>
      <c r="H553" s="122" t="s">
        <v>267</v>
      </c>
      <c r="I553" s="122" t="s">
        <v>915</v>
      </c>
      <c r="J553" s="122" t="s">
        <v>906</v>
      </c>
    </row>
    <row r="554" spans="1:10" ht="28.5" customHeight="1">
      <c r="A554" s="122" t="s">
        <v>913</v>
      </c>
      <c r="B554" s="252" t="s">
        <v>916</v>
      </c>
      <c r="C554" s="122" t="s">
        <v>267</v>
      </c>
      <c r="D554" s="122" t="s">
        <v>686</v>
      </c>
      <c r="E554" s="348"/>
      <c r="F554" s="122" t="s">
        <v>910</v>
      </c>
      <c r="G554" s="252" t="s">
        <v>916</v>
      </c>
      <c r="H554" s="122" t="s">
        <v>267</v>
      </c>
      <c r="I554" s="122" t="s">
        <v>917</v>
      </c>
      <c r="J554" s="122" t="s">
        <v>906</v>
      </c>
    </row>
    <row r="555" spans="1:10">
      <c r="A555" s="122" t="s">
        <v>913</v>
      </c>
      <c r="B555" s="252" t="s">
        <v>918</v>
      </c>
      <c r="C555" s="122" t="s">
        <v>267</v>
      </c>
      <c r="D555" s="122" t="s">
        <v>686</v>
      </c>
      <c r="E555" s="348"/>
      <c r="F555" s="122" t="s">
        <v>910</v>
      </c>
      <c r="G555" s="252" t="s">
        <v>918</v>
      </c>
      <c r="H555" s="122" t="s">
        <v>267</v>
      </c>
      <c r="I555" s="122" t="s">
        <v>919</v>
      </c>
      <c r="J555" s="122" t="s">
        <v>906</v>
      </c>
    </row>
    <row r="556" spans="1:10" ht="22" customHeight="1">
      <c r="A556" s="122" t="s">
        <v>913</v>
      </c>
      <c r="B556" s="252" t="s">
        <v>920</v>
      </c>
      <c r="C556" s="122" t="s">
        <v>267</v>
      </c>
      <c r="D556" s="122" t="s">
        <v>686</v>
      </c>
      <c r="E556" s="348"/>
      <c r="F556" s="122" t="s">
        <v>910</v>
      </c>
      <c r="G556" s="252" t="s">
        <v>920</v>
      </c>
      <c r="H556" s="122" t="s">
        <v>267</v>
      </c>
      <c r="I556" s="122" t="s">
        <v>921</v>
      </c>
      <c r="J556" s="122" t="s">
        <v>906</v>
      </c>
    </row>
    <row r="557" spans="1:10" ht="25">
      <c r="A557" s="250" t="s">
        <v>908</v>
      </c>
      <c r="B557" s="158" t="s">
        <v>312</v>
      </c>
      <c r="C557" s="122" t="s">
        <v>267</v>
      </c>
      <c r="D557" s="122" t="s">
        <v>922</v>
      </c>
      <c r="E557" s="158" t="s">
        <v>923</v>
      </c>
      <c r="F557" s="122" t="s">
        <v>910</v>
      </c>
      <c r="G557" s="252" t="s">
        <v>924</v>
      </c>
      <c r="H557" s="122" t="s">
        <v>267</v>
      </c>
      <c r="I557" s="122" t="s">
        <v>925</v>
      </c>
      <c r="J557" s="122" t="s">
        <v>906</v>
      </c>
    </row>
    <row r="558" spans="1:10" ht="20.149999999999999" customHeight="1">
      <c r="A558" s="250" t="s">
        <v>908</v>
      </c>
      <c r="B558" s="158" t="s">
        <v>312</v>
      </c>
      <c r="C558" s="122" t="s">
        <v>267</v>
      </c>
      <c r="D558" s="122" t="s">
        <v>922</v>
      </c>
      <c r="E558" s="158" t="s">
        <v>926</v>
      </c>
      <c r="F558" s="122" t="s">
        <v>910</v>
      </c>
      <c r="G558" s="252" t="s">
        <v>927</v>
      </c>
      <c r="H558" s="122" t="s">
        <v>267</v>
      </c>
      <c r="I558" s="122" t="s">
        <v>928</v>
      </c>
      <c r="J558" s="122" t="s">
        <v>906</v>
      </c>
    </row>
    <row r="559" spans="1:10">
      <c r="A559" s="122" t="s">
        <v>913</v>
      </c>
      <c r="B559" s="122" t="s">
        <v>929</v>
      </c>
      <c r="C559" s="122" t="s">
        <v>267</v>
      </c>
      <c r="D559" s="122" t="s">
        <v>686</v>
      </c>
      <c r="E559" s="122"/>
      <c r="F559" s="122" t="s">
        <v>910</v>
      </c>
      <c r="G559" s="252" t="s">
        <v>929</v>
      </c>
      <c r="H559" s="122" t="s">
        <v>267</v>
      </c>
      <c r="I559" s="122" t="s">
        <v>930</v>
      </c>
      <c r="J559" s="122" t="s">
        <v>906</v>
      </c>
    </row>
    <row r="560" spans="1:10">
      <c r="A560" s="122" t="s">
        <v>913</v>
      </c>
      <c r="B560" s="122" t="s">
        <v>931</v>
      </c>
      <c r="C560" s="122" t="s">
        <v>267</v>
      </c>
      <c r="D560" s="122" t="s">
        <v>686</v>
      </c>
      <c r="E560" s="122"/>
      <c r="F560" s="122" t="s">
        <v>910</v>
      </c>
      <c r="G560" s="252" t="s">
        <v>931</v>
      </c>
      <c r="H560" s="122" t="s">
        <v>267</v>
      </c>
      <c r="I560" s="122" t="s">
        <v>932</v>
      </c>
      <c r="J560" s="122" t="s">
        <v>906</v>
      </c>
    </row>
    <row r="561" spans="1:10">
      <c r="A561" s="122" t="s">
        <v>913</v>
      </c>
      <c r="B561" s="122" t="s">
        <v>933</v>
      </c>
      <c r="C561" s="122" t="s">
        <v>267</v>
      </c>
      <c r="D561" s="122" t="s">
        <v>686</v>
      </c>
      <c r="E561" s="122"/>
      <c r="F561" s="122" t="s">
        <v>910</v>
      </c>
      <c r="G561" s="252" t="s">
        <v>933</v>
      </c>
      <c r="H561" s="122" t="s">
        <v>267</v>
      </c>
      <c r="I561" s="122" t="s">
        <v>934</v>
      </c>
      <c r="J561" s="122" t="s">
        <v>906</v>
      </c>
    </row>
    <row r="562" spans="1:10">
      <c r="A562" s="122" t="s">
        <v>913</v>
      </c>
      <c r="B562" s="122" t="s">
        <v>935</v>
      </c>
      <c r="C562" s="122" t="s">
        <v>267</v>
      </c>
      <c r="D562" s="122" t="s">
        <v>686</v>
      </c>
      <c r="E562" s="122"/>
      <c r="F562" s="122" t="s">
        <v>910</v>
      </c>
      <c r="G562" s="252" t="s">
        <v>935</v>
      </c>
      <c r="H562" s="122" t="s">
        <v>267</v>
      </c>
      <c r="I562" s="122" t="s">
        <v>936</v>
      </c>
      <c r="J562" s="122" t="s">
        <v>906</v>
      </c>
    </row>
    <row r="563" spans="1:10">
      <c r="A563" s="122" t="s">
        <v>913</v>
      </c>
      <c r="B563" s="122" t="s">
        <v>937</v>
      </c>
      <c r="C563" s="122" t="s">
        <v>267</v>
      </c>
      <c r="D563" s="122" t="s">
        <v>686</v>
      </c>
      <c r="E563" s="122"/>
      <c r="F563" s="122" t="s">
        <v>910</v>
      </c>
      <c r="G563" s="252" t="s">
        <v>937</v>
      </c>
      <c r="H563" s="122" t="s">
        <v>267</v>
      </c>
      <c r="I563" s="122" t="s">
        <v>938</v>
      </c>
      <c r="J563" s="122" t="s">
        <v>906</v>
      </c>
    </row>
    <row r="564" spans="1:10">
      <c r="A564" s="122" t="s">
        <v>913</v>
      </c>
      <c r="B564" s="122" t="s">
        <v>939</v>
      </c>
      <c r="C564" s="122" t="s">
        <v>267</v>
      </c>
      <c r="D564" s="122" t="s">
        <v>686</v>
      </c>
      <c r="E564" s="122"/>
      <c r="F564" s="122" t="s">
        <v>910</v>
      </c>
      <c r="G564" s="252" t="s">
        <v>939</v>
      </c>
      <c r="H564" s="122" t="s">
        <v>267</v>
      </c>
      <c r="I564" s="122" t="s">
        <v>940</v>
      </c>
      <c r="J564" s="122" t="s">
        <v>906</v>
      </c>
    </row>
    <row r="565" spans="1:10">
      <c r="A565" s="122" t="s">
        <v>913</v>
      </c>
      <c r="B565" s="122" t="s">
        <v>941</v>
      </c>
      <c r="C565" s="122" t="s">
        <v>267</v>
      </c>
      <c r="D565" s="122" t="s">
        <v>686</v>
      </c>
      <c r="E565" s="122"/>
      <c r="F565" s="122" t="s">
        <v>910</v>
      </c>
      <c r="G565" s="252" t="s">
        <v>941</v>
      </c>
      <c r="H565" s="122" t="s">
        <v>267</v>
      </c>
      <c r="I565" s="122" t="s">
        <v>942</v>
      </c>
      <c r="J565" s="122" t="s">
        <v>906</v>
      </c>
    </row>
    <row r="566" spans="1:10">
      <c r="A566" s="122" t="s">
        <v>913</v>
      </c>
      <c r="B566" s="122" t="s">
        <v>943</v>
      </c>
      <c r="C566" s="122" t="s">
        <v>267</v>
      </c>
      <c r="D566" s="122" t="s">
        <v>686</v>
      </c>
      <c r="E566" s="122"/>
      <c r="F566" s="122" t="s">
        <v>910</v>
      </c>
      <c r="G566" s="252" t="s">
        <v>943</v>
      </c>
      <c r="H566" s="122" t="s">
        <v>267</v>
      </c>
      <c r="I566" s="122" t="s">
        <v>944</v>
      </c>
      <c r="J566" s="122" t="s">
        <v>906</v>
      </c>
    </row>
    <row r="567" spans="1:10">
      <c r="A567" s="122" t="s">
        <v>913</v>
      </c>
      <c r="B567" s="122" t="s">
        <v>945</v>
      </c>
      <c r="C567" s="122" t="s">
        <v>267</v>
      </c>
      <c r="D567" s="122" t="s">
        <v>686</v>
      </c>
      <c r="E567" s="122"/>
      <c r="F567" s="122" t="s">
        <v>910</v>
      </c>
      <c r="G567" s="252" t="s">
        <v>945</v>
      </c>
      <c r="H567" s="122" t="s">
        <v>267</v>
      </c>
      <c r="I567" s="122" t="s">
        <v>946</v>
      </c>
      <c r="J567" s="122" t="s">
        <v>906</v>
      </c>
    </row>
    <row r="568" spans="1:10">
      <c r="A568" s="122" t="s">
        <v>913</v>
      </c>
      <c r="B568" s="122" t="s">
        <v>947</v>
      </c>
      <c r="C568" s="122" t="s">
        <v>267</v>
      </c>
      <c r="D568" s="122" t="s">
        <v>686</v>
      </c>
      <c r="E568" s="122"/>
      <c r="F568" s="122" t="s">
        <v>910</v>
      </c>
      <c r="G568" s="252" t="s">
        <v>947</v>
      </c>
      <c r="H568" s="122" t="s">
        <v>267</v>
      </c>
      <c r="I568" s="122" t="s">
        <v>948</v>
      </c>
      <c r="J568" s="122" t="s">
        <v>906</v>
      </c>
    </row>
    <row r="569" spans="1:10">
      <c r="A569" s="122" t="s">
        <v>913</v>
      </c>
      <c r="B569" s="122" t="s">
        <v>949</v>
      </c>
      <c r="C569" s="122" t="s">
        <v>267</v>
      </c>
      <c r="D569" s="122" t="s">
        <v>686</v>
      </c>
      <c r="E569" s="122"/>
      <c r="F569" s="122" t="s">
        <v>910</v>
      </c>
      <c r="G569" s="252" t="s">
        <v>949</v>
      </c>
      <c r="H569" s="122" t="s">
        <v>267</v>
      </c>
      <c r="I569" s="122" t="s">
        <v>950</v>
      </c>
      <c r="J569" s="122" t="s">
        <v>906</v>
      </c>
    </row>
    <row r="570" spans="1:10">
      <c r="A570" s="122" t="s">
        <v>913</v>
      </c>
      <c r="B570" s="122" t="s">
        <v>951</v>
      </c>
      <c r="C570" s="122" t="s">
        <v>267</v>
      </c>
      <c r="D570" s="122" t="s">
        <v>686</v>
      </c>
      <c r="E570" s="122"/>
      <c r="F570" s="122" t="s">
        <v>910</v>
      </c>
      <c r="G570" s="252" t="s">
        <v>951</v>
      </c>
      <c r="H570" s="122" t="s">
        <v>267</v>
      </c>
      <c r="I570" s="122" t="s">
        <v>952</v>
      </c>
      <c r="J570" s="122" t="s">
        <v>906</v>
      </c>
    </row>
    <row r="571" spans="1:10">
      <c r="A571" s="122" t="s">
        <v>913</v>
      </c>
      <c r="B571" s="122" t="s">
        <v>953</v>
      </c>
      <c r="C571" s="122" t="s">
        <v>267</v>
      </c>
      <c r="D571" s="122" t="s">
        <v>686</v>
      </c>
      <c r="E571" s="122"/>
      <c r="F571" s="122" t="s">
        <v>910</v>
      </c>
      <c r="G571" s="252" t="s">
        <v>953</v>
      </c>
      <c r="H571" s="122" t="s">
        <v>267</v>
      </c>
      <c r="I571" s="122" t="s">
        <v>954</v>
      </c>
      <c r="J571" s="122" t="s">
        <v>906</v>
      </c>
    </row>
    <row r="572" spans="1:10">
      <c r="A572" s="122" t="s">
        <v>913</v>
      </c>
      <c r="B572" s="122" t="s">
        <v>955</v>
      </c>
      <c r="C572" s="122" t="s">
        <v>267</v>
      </c>
      <c r="D572" s="122" t="s">
        <v>686</v>
      </c>
      <c r="E572" s="122"/>
      <c r="F572" s="122" t="s">
        <v>910</v>
      </c>
      <c r="G572" s="252" t="s">
        <v>955</v>
      </c>
      <c r="H572" s="122" t="s">
        <v>267</v>
      </c>
      <c r="I572" s="122" t="s">
        <v>956</v>
      </c>
      <c r="J572" s="122" t="s">
        <v>906</v>
      </c>
    </row>
    <row r="573" spans="1:10">
      <c r="A573" s="122" t="s">
        <v>913</v>
      </c>
      <c r="B573" s="122" t="s">
        <v>957</v>
      </c>
      <c r="C573" s="122" t="s">
        <v>267</v>
      </c>
      <c r="D573" s="122" t="s">
        <v>686</v>
      </c>
      <c r="E573" s="122"/>
      <c r="F573" s="122" t="s">
        <v>910</v>
      </c>
      <c r="G573" s="252" t="s">
        <v>957</v>
      </c>
      <c r="H573" s="122" t="s">
        <v>267</v>
      </c>
      <c r="I573" s="122" t="s">
        <v>958</v>
      </c>
      <c r="J573" s="122" t="s">
        <v>906</v>
      </c>
    </row>
    <row r="574" spans="1:10">
      <c r="A574" s="122" t="s">
        <v>913</v>
      </c>
      <c r="B574" s="122" t="s">
        <v>959</v>
      </c>
      <c r="C574" s="122" t="s">
        <v>267</v>
      </c>
      <c r="D574" s="122" t="s">
        <v>686</v>
      </c>
      <c r="E574" s="122"/>
      <c r="F574" s="122" t="s">
        <v>910</v>
      </c>
      <c r="G574" s="252" t="s">
        <v>959</v>
      </c>
      <c r="H574" s="122" t="s">
        <v>267</v>
      </c>
      <c r="I574" s="122" t="s">
        <v>960</v>
      </c>
      <c r="J574" s="122" t="s">
        <v>906</v>
      </c>
    </row>
    <row r="575" spans="1:10">
      <c r="A575" s="122" t="s">
        <v>913</v>
      </c>
      <c r="B575" s="122" t="s">
        <v>961</v>
      </c>
      <c r="C575" s="122" t="s">
        <v>267</v>
      </c>
      <c r="D575" s="122" t="s">
        <v>686</v>
      </c>
      <c r="E575" s="122"/>
      <c r="F575" s="122" t="s">
        <v>910</v>
      </c>
      <c r="G575" s="252" t="s">
        <v>961</v>
      </c>
      <c r="H575" s="122" t="s">
        <v>267</v>
      </c>
      <c r="I575" s="122" t="s">
        <v>962</v>
      </c>
      <c r="J575" s="122" t="s">
        <v>906</v>
      </c>
    </row>
    <row r="576" spans="1:10">
      <c r="A576" s="122" t="s">
        <v>913</v>
      </c>
      <c r="B576" s="122" t="s">
        <v>963</v>
      </c>
      <c r="C576" s="122" t="s">
        <v>267</v>
      </c>
      <c r="D576" s="122" t="s">
        <v>686</v>
      </c>
      <c r="E576" s="122"/>
      <c r="F576" s="122" t="s">
        <v>910</v>
      </c>
      <c r="G576" s="252" t="s">
        <v>963</v>
      </c>
      <c r="H576" s="122" t="s">
        <v>267</v>
      </c>
      <c r="I576" s="122" t="s">
        <v>964</v>
      </c>
      <c r="J576" s="122" t="s">
        <v>906</v>
      </c>
    </row>
    <row r="577" spans="1:10">
      <c r="A577" s="122" t="s">
        <v>913</v>
      </c>
      <c r="B577" s="122" t="s">
        <v>965</v>
      </c>
      <c r="C577" s="122" t="s">
        <v>267</v>
      </c>
      <c r="D577" s="122" t="s">
        <v>686</v>
      </c>
      <c r="E577" s="122"/>
      <c r="F577" s="122" t="s">
        <v>910</v>
      </c>
      <c r="G577" s="252" t="s">
        <v>965</v>
      </c>
      <c r="H577" s="122" t="s">
        <v>267</v>
      </c>
      <c r="I577" s="122" t="s">
        <v>966</v>
      </c>
      <c r="J577" s="122" t="s">
        <v>906</v>
      </c>
    </row>
    <row r="578" spans="1:10">
      <c r="A578" s="122" t="s">
        <v>913</v>
      </c>
      <c r="B578" s="122" t="s">
        <v>967</v>
      </c>
      <c r="C578" s="122" t="s">
        <v>267</v>
      </c>
      <c r="D578" s="122" t="s">
        <v>686</v>
      </c>
      <c r="E578" s="122"/>
      <c r="F578" s="122" t="s">
        <v>910</v>
      </c>
      <c r="G578" s="252" t="s">
        <v>967</v>
      </c>
      <c r="H578" s="122" t="s">
        <v>267</v>
      </c>
      <c r="I578" s="122" t="s">
        <v>968</v>
      </c>
      <c r="J578" s="122" t="s">
        <v>906</v>
      </c>
    </row>
    <row r="579" spans="1:10">
      <c r="A579" s="122" t="s">
        <v>913</v>
      </c>
      <c r="B579" s="122" t="s">
        <v>969</v>
      </c>
      <c r="C579" s="122" t="s">
        <v>267</v>
      </c>
      <c r="D579" s="122" t="s">
        <v>686</v>
      </c>
      <c r="E579" s="122"/>
      <c r="F579" s="122" t="s">
        <v>910</v>
      </c>
      <c r="G579" s="252" t="s">
        <v>969</v>
      </c>
      <c r="H579" s="122" t="s">
        <v>267</v>
      </c>
      <c r="I579" s="122" t="s">
        <v>970</v>
      </c>
      <c r="J579" s="122" t="s">
        <v>906</v>
      </c>
    </row>
    <row r="580" spans="1:10">
      <c r="A580" s="122" t="s">
        <v>913</v>
      </c>
      <c r="B580" s="122" t="s">
        <v>971</v>
      </c>
      <c r="C580" s="122" t="s">
        <v>267</v>
      </c>
      <c r="D580" s="122" t="s">
        <v>686</v>
      </c>
      <c r="E580" s="122"/>
      <c r="F580" s="122" t="s">
        <v>910</v>
      </c>
      <c r="G580" s="252" t="s">
        <v>971</v>
      </c>
      <c r="H580" s="122" t="s">
        <v>267</v>
      </c>
      <c r="I580" s="122" t="s">
        <v>972</v>
      </c>
      <c r="J580" s="122" t="s">
        <v>906</v>
      </c>
    </row>
    <row r="581" spans="1:10">
      <c r="A581" s="122" t="s">
        <v>913</v>
      </c>
      <c r="B581" s="122" t="s">
        <v>973</v>
      </c>
      <c r="C581" s="122" t="s">
        <v>267</v>
      </c>
      <c r="D581" s="122" t="s">
        <v>686</v>
      </c>
      <c r="E581" s="122"/>
      <c r="F581" s="122" t="s">
        <v>910</v>
      </c>
      <c r="G581" s="252" t="s">
        <v>973</v>
      </c>
      <c r="H581" s="122" t="s">
        <v>267</v>
      </c>
      <c r="I581" s="122" t="s">
        <v>974</v>
      </c>
      <c r="J581" s="122" t="s">
        <v>906</v>
      </c>
    </row>
    <row r="582" spans="1:10">
      <c r="A582" s="122" t="s">
        <v>913</v>
      </c>
      <c r="B582" s="122" t="s">
        <v>975</v>
      </c>
      <c r="C582" s="122" t="s">
        <v>267</v>
      </c>
      <c r="D582" s="122" t="s">
        <v>686</v>
      </c>
      <c r="E582" s="122"/>
      <c r="F582" s="122" t="s">
        <v>910</v>
      </c>
      <c r="G582" s="252" t="s">
        <v>975</v>
      </c>
      <c r="H582" s="122" t="s">
        <v>267</v>
      </c>
      <c r="I582" s="122" t="s">
        <v>976</v>
      </c>
      <c r="J582" s="122" t="s">
        <v>906</v>
      </c>
    </row>
    <row r="583" spans="1:10">
      <c r="A583" s="122" t="s">
        <v>913</v>
      </c>
      <c r="B583" s="122" t="s">
        <v>977</v>
      </c>
      <c r="C583" s="122" t="s">
        <v>267</v>
      </c>
      <c r="D583" s="122" t="s">
        <v>686</v>
      </c>
      <c r="E583" s="122"/>
      <c r="F583" s="122" t="s">
        <v>910</v>
      </c>
      <c r="G583" s="252" t="s">
        <v>977</v>
      </c>
      <c r="H583" s="122" t="s">
        <v>267</v>
      </c>
      <c r="I583" s="122" t="s">
        <v>978</v>
      </c>
      <c r="J583" s="122" t="s">
        <v>906</v>
      </c>
    </row>
    <row r="584" spans="1:10">
      <c r="A584" s="122" t="s">
        <v>913</v>
      </c>
      <c r="B584" s="122" t="s">
        <v>979</v>
      </c>
      <c r="C584" s="122" t="s">
        <v>267</v>
      </c>
      <c r="D584" s="122" t="s">
        <v>686</v>
      </c>
      <c r="E584" s="122"/>
      <c r="F584" s="122" t="s">
        <v>910</v>
      </c>
      <c r="G584" s="252" t="s">
        <v>979</v>
      </c>
      <c r="H584" s="122" t="s">
        <v>267</v>
      </c>
      <c r="I584" s="122" t="s">
        <v>980</v>
      </c>
      <c r="J584" s="122" t="s">
        <v>906</v>
      </c>
    </row>
    <row r="585" spans="1:10">
      <c r="A585" s="122" t="s">
        <v>913</v>
      </c>
      <c r="B585" s="122" t="s">
        <v>981</v>
      </c>
      <c r="C585" s="122" t="s">
        <v>267</v>
      </c>
      <c r="D585" s="122" t="s">
        <v>686</v>
      </c>
      <c r="E585" s="122"/>
      <c r="F585" s="122" t="s">
        <v>910</v>
      </c>
      <c r="G585" s="252" t="s">
        <v>981</v>
      </c>
      <c r="H585" s="122" t="s">
        <v>267</v>
      </c>
      <c r="I585" s="122" t="s">
        <v>982</v>
      </c>
      <c r="J585" s="122" t="s">
        <v>906</v>
      </c>
    </row>
    <row r="586" spans="1:10">
      <c r="A586" s="122" t="s">
        <v>913</v>
      </c>
      <c r="B586" s="122" t="s">
        <v>983</v>
      </c>
      <c r="C586" s="122" t="s">
        <v>267</v>
      </c>
      <c r="D586" s="122" t="s">
        <v>686</v>
      </c>
      <c r="E586" s="122"/>
      <c r="F586" s="122" t="s">
        <v>910</v>
      </c>
      <c r="G586" s="252" t="s">
        <v>983</v>
      </c>
      <c r="H586" s="122" t="s">
        <v>267</v>
      </c>
      <c r="I586" s="122" t="s">
        <v>984</v>
      </c>
      <c r="J586" s="122" t="s">
        <v>906</v>
      </c>
    </row>
    <row r="587" spans="1:10">
      <c r="A587" s="122" t="s">
        <v>913</v>
      </c>
      <c r="B587" s="122" t="s">
        <v>985</v>
      </c>
      <c r="C587" s="122" t="s">
        <v>267</v>
      </c>
      <c r="D587" s="122" t="s">
        <v>686</v>
      </c>
      <c r="E587" s="122"/>
      <c r="F587" s="122" t="s">
        <v>910</v>
      </c>
      <c r="G587" s="252" t="s">
        <v>985</v>
      </c>
      <c r="H587" s="122" t="s">
        <v>267</v>
      </c>
      <c r="I587" s="122" t="s">
        <v>986</v>
      </c>
      <c r="J587" s="122" t="s">
        <v>906</v>
      </c>
    </row>
    <row r="588" spans="1:10">
      <c r="A588" s="122" t="s">
        <v>913</v>
      </c>
      <c r="B588" s="122" t="s">
        <v>987</v>
      </c>
      <c r="C588" s="122" t="s">
        <v>267</v>
      </c>
      <c r="D588" s="122" t="s">
        <v>686</v>
      </c>
      <c r="E588" s="122"/>
      <c r="F588" s="122" t="s">
        <v>910</v>
      </c>
      <c r="G588" s="252" t="s">
        <v>987</v>
      </c>
      <c r="H588" s="122" t="s">
        <v>267</v>
      </c>
      <c r="I588" s="122" t="s">
        <v>988</v>
      </c>
      <c r="J588" s="122" t="s">
        <v>906</v>
      </c>
    </row>
    <row r="589" spans="1:10">
      <c r="A589" s="122" t="s">
        <v>913</v>
      </c>
      <c r="B589" s="122" t="s">
        <v>989</v>
      </c>
      <c r="C589" s="122" t="s">
        <v>267</v>
      </c>
      <c r="D589" s="122" t="s">
        <v>686</v>
      </c>
      <c r="E589" s="122"/>
      <c r="F589" s="122" t="s">
        <v>910</v>
      </c>
      <c r="G589" s="252" t="s">
        <v>989</v>
      </c>
      <c r="H589" s="122" t="s">
        <v>267</v>
      </c>
      <c r="I589" s="122" t="s">
        <v>990</v>
      </c>
      <c r="J589" s="122" t="s">
        <v>906</v>
      </c>
    </row>
    <row r="590" spans="1:10">
      <c r="A590" s="122" t="s">
        <v>913</v>
      </c>
      <c r="B590" s="122" t="s">
        <v>991</v>
      </c>
      <c r="C590" s="122" t="s">
        <v>267</v>
      </c>
      <c r="D590" s="122" t="s">
        <v>686</v>
      </c>
      <c r="E590" s="122"/>
      <c r="F590" s="122" t="s">
        <v>910</v>
      </c>
      <c r="G590" s="252" t="s">
        <v>991</v>
      </c>
      <c r="H590" s="122" t="s">
        <v>267</v>
      </c>
      <c r="I590" s="122" t="s">
        <v>992</v>
      </c>
      <c r="J590" s="122" t="s">
        <v>906</v>
      </c>
    </row>
    <row r="591" spans="1:10">
      <c r="A591" s="122" t="s">
        <v>913</v>
      </c>
      <c r="B591" s="122" t="s">
        <v>993</v>
      </c>
      <c r="C591" s="122" t="s">
        <v>267</v>
      </c>
      <c r="D591" s="122" t="s">
        <v>686</v>
      </c>
      <c r="E591" s="122"/>
      <c r="F591" s="122" t="s">
        <v>910</v>
      </c>
      <c r="G591" s="252" t="s">
        <v>993</v>
      </c>
      <c r="H591" s="122" t="s">
        <v>267</v>
      </c>
      <c r="I591" s="122" t="s">
        <v>994</v>
      </c>
      <c r="J591" s="122" t="s">
        <v>906</v>
      </c>
    </row>
    <row r="592" spans="1:10">
      <c r="A592" s="122" t="s">
        <v>913</v>
      </c>
      <c r="B592" s="122" t="s">
        <v>995</v>
      </c>
      <c r="C592" s="122" t="s">
        <v>267</v>
      </c>
      <c r="D592" s="122" t="s">
        <v>686</v>
      </c>
      <c r="E592" s="122"/>
      <c r="F592" s="122" t="s">
        <v>910</v>
      </c>
      <c r="G592" s="252" t="s">
        <v>995</v>
      </c>
      <c r="H592" s="122" t="s">
        <v>267</v>
      </c>
      <c r="I592" s="122" t="s">
        <v>996</v>
      </c>
      <c r="J592" s="122" t="s">
        <v>906</v>
      </c>
    </row>
    <row r="593" spans="1:10">
      <c r="A593" s="122" t="s">
        <v>913</v>
      </c>
      <c r="B593" s="122" t="s">
        <v>997</v>
      </c>
      <c r="C593" s="122" t="s">
        <v>267</v>
      </c>
      <c r="D593" s="122" t="s">
        <v>686</v>
      </c>
      <c r="E593" s="122"/>
      <c r="F593" s="122" t="s">
        <v>910</v>
      </c>
      <c r="G593" s="252" t="s">
        <v>997</v>
      </c>
      <c r="H593" s="122" t="s">
        <v>267</v>
      </c>
      <c r="I593" s="122" t="s">
        <v>998</v>
      </c>
      <c r="J593" s="122" t="s">
        <v>906</v>
      </c>
    </row>
    <row r="594" spans="1:10">
      <c r="A594" s="122" t="s">
        <v>913</v>
      </c>
      <c r="B594" s="122" t="s">
        <v>999</v>
      </c>
      <c r="C594" s="122" t="s">
        <v>267</v>
      </c>
      <c r="D594" s="122" t="s">
        <v>686</v>
      </c>
      <c r="E594" s="122"/>
      <c r="F594" s="122" t="s">
        <v>910</v>
      </c>
      <c r="G594" s="252" t="s">
        <v>999</v>
      </c>
      <c r="H594" s="122" t="s">
        <v>267</v>
      </c>
      <c r="I594" s="122" t="s">
        <v>1000</v>
      </c>
      <c r="J594" s="122" t="s">
        <v>906</v>
      </c>
    </row>
    <row r="595" spans="1:10">
      <c r="A595" s="122" t="s">
        <v>913</v>
      </c>
      <c r="B595" s="122" t="s">
        <v>1001</v>
      </c>
      <c r="C595" s="122" t="s">
        <v>267</v>
      </c>
      <c r="D595" s="122" t="s">
        <v>686</v>
      </c>
      <c r="E595" s="122"/>
      <c r="F595" s="122" t="s">
        <v>910</v>
      </c>
      <c r="G595" s="252" t="s">
        <v>1001</v>
      </c>
      <c r="H595" s="122" t="s">
        <v>267</v>
      </c>
      <c r="I595" s="122" t="s">
        <v>1002</v>
      </c>
      <c r="J595" s="122" t="s">
        <v>906</v>
      </c>
    </row>
    <row r="596" spans="1:10">
      <c r="A596" s="122" t="s">
        <v>913</v>
      </c>
      <c r="B596" s="122" t="s">
        <v>1003</v>
      </c>
      <c r="C596" s="122" t="s">
        <v>267</v>
      </c>
      <c r="D596" s="122" t="s">
        <v>686</v>
      </c>
      <c r="E596" s="122"/>
      <c r="F596" s="122" t="s">
        <v>910</v>
      </c>
      <c r="G596" s="252" t="s">
        <v>1003</v>
      </c>
      <c r="H596" s="122" t="s">
        <v>267</v>
      </c>
      <c r="I596" s="122" t="s">
        <v>1004</v>
      </c>
      <c r="J596" s="122" t="s">
        <v>906</v>
      </c>
    </row>
    <row r="597" spans="1:10">
      <c r="A597" s="122" t="s">
        <v>913</v>
      </c>
      <c r="B597" s="122" t="s">
        <v>1005</v>
      </c>
      <c r="C597" s="122" t="s">
        <v>267</v>
      </c>
      <c r="D597" s="122" t="s">
        <v>686</v>
      </c>
      <c r="E597" s="122"/>
      <c r="F597" s="122" t="s">
        <v>910</v>
      </c>
      <c r="G597" s="252" t="s">
        <v>1005</v>
      </c>
      <c r="H597" s="122" t="s">
        <v>267</v>
      </c>
      <c r="I597" s="122" t="s">
        <v>1006</v>
      </c>
      <c r="J597" s="122" t="s">
        <v>906</v>
      </c>
    </row>
    <row r="598" spans="1:10">
      <c r="A598" s="122" t="s">
        <v>913</v>
      </c>
      <c r="B598" s="122" t="s">
        <v>1007</v>
      </c>
      <c r="C598" s="122" t="s">
        <v>267</v>
      </c>
      <c r="D598" s="122" t="s">
        <v>686</v>
      </c>
      <c r="E598" s="122"/>
      <c r="F598" s="122" t="s">
        <v>910</v>
      </c>
      <c r="G598" s="252" t="s">
        <v>1007</v>
      </c>
      <c r="H598" s="122" t="s">
        <v>267</v>
      </c>
      <c r="I598" s="122" t="s">
        <v>1008</v>
      </c>
      <c r="J598" s="122" t="s">
        <v>906</v>
      </c>
    </row>
    <row r="599" spans="1:10">
      <c r="A599" s="122" t="s">
        <v>913</v>
      </c>
      <c r="B599" s="122" t="s">
        <v>1009</v>
      </c>
      <c r="C599" s="122" t="s">
        <v>267</v>
      </c>
      <c r="D599" s="122" t="s">
        <v>686</v>
      </c>
      <c r="E599" s="122"/>
      <c r="F599" s="122" t="s">
        <v>910</v>
      </c>
      <c r="G599" s="252" t="s">
        <v>1009</v>
      </c>
      <c r="H599" s="122" t="s">
        <v>267</v>
      </c>
      <c r="I599" s="122" t="s">
        <v>1010</v>
      </c>
      <c r="J599" s="122" t="s">
        <v>906</v>
      </c>
    </row>
    <row r="600" spans="1:10">
      <c r="A600" s="122" t="s">
        <v>913</v>
      </c>
      <c r="B600" s="122" t="s">
        <v>1011</v>
      </c>
      <c r="C600" s="122" t="s">
        <v>267</v>
      </c>
      <c r="D600" s="122" t="s">
        <v>686</v>
      </c>
      <c r="E600" s="122"/>
      <c r="F600" s="122" t="s">
        <v>910</v>
      </c>
      <c r="G600" s="252" t="s">
        <v>1011</v>
      </c>
      <c r="H600" s="122" t="s">
        <v>267</v>
      </c>
      <c r="I600" s="122" t="s">
        <v>1012</v>
      </c>
      <c r="J600" s="122" t="s">
        <v>906</v>
      </c>
    </row>
    <row r="601" spans="1:10">
      <c r="A601" s="122" t="s">
        <v>913</v>
      </c>
      <c r="B601" s="122" t="s">
        <v>1013</v>
      </c>
      <c r="C601" s="122" t="s">
        <v>267</v>
      </c>
      <c r="D601" s="122" t="s">
        <v>686</v>
      </c>
      <c r="E601" s="122"/>
      <c r="F601" s="122" t="s">
        <v>910</v>
      </c>
      <c r="G601" s="252" t="s">
        <v>1013</v>
      </c>
      <c r="H601" s="122" t="s">
        <v>267</v>
      </c>
      <c r="I601" s="122" t="s">
        <v>1014</v>
      </c>
      <c r="J601" s="122" t="s">
        <v>906</v>
      </c>
    </row>
    <row r="602" spans="1:10">
      <c r="A602" s="122" t="s">
        <v>913</v>
      </c>
      <c r="B602" s="122" t="s">
        <v>1015</v>
      </c>
      <c r="C602" s="122" t="s">
        <v>267</v>
      </c>
      <c r="D602" s="122" t="s">
        <v>686</v>
      </c>
      <c r="E602" s="122"/>
      <c r="F602" s="122" t="s">
        <v>910</v>
      </c>
      <c r="G602" s="252" t="s">
        <v>1015</v>
      </c>
      <c r="H602" s="122" t="s">
        <v>267</v>
      </c>
      <c r="I602" s="122" t="s">
        <v>1016</v>
      </c>
      <c r="J602" s="122" t="s">
        <v>906</v>
      </c>
    </row>
    <row r="603" spans="1:10">
      <c r="A603" s="122" t="s">
        <v>913</v>
      </c>
      <c r="B603" s="122" t="s">
        <v>1017</v>
      </c>
      <c r="C603" s="122" t="s">
        <v>267</v>
      </c>
      <c r="D603" s="122" t="s">
        <v>686</v>
      </c>
      <c r="E603" s="122"/>
      <c r="F603" s="122" t="s">
        <v>910</v>
      </c>
      <c r="G603" s="252" t="s">
        <v>1017</v>
      </c>
      <c r="H603" s="122" t="s">
        <v>267</v>
      </c>
      <c r="I603" s="122" t="s">
        <v>1018</v>
      </c>
      <c r="J603" s="122" t="s">
        <v>906</v>
      </c>
    </row>
    <row r="604" spans="1:10">
      <c r="A604" s="122" t="s">
        <v>913</v>
      </c>
      <c r="B604" s="122" t="s">
        <v>1019</v>
      </c>
      <c r="C604" s="122" t="s">
        <v>267</v>
      </c>
      <c r="D604" s="122" t="s">
        <v>686</v>
      </c>
      <c r="E604" s="122"/>
      <c r="F604" s="122" t="s">
        <v>910</v>
      </c>
      <c r="G604" s="252" t="s">
        <v>1019</v>
      </c>
      <c r="H604" s="122" t="s">
        <v>267</v>
      </c>
      <c r="I604" s="122" t="s">
        <v>1020</v>
      </c>
      <c r="J604" s="122" t="s">
        <v>906</v>
      </c>
    </row>
    <row r="605" spans="1:10">
      <c r="A605" s="122" t="s">
        <v>913</v>
      </c>
      <c r="B605" s="122" t="s">
        <v>1021</v>
      </c>
      <c r="C605" s="122" t="s">
        <v>267</v>
      </c>
      <c r="D605" s="122" t="s">
        <v>686</v>
      </c>
      <c r="E605" s="122"/>
      <c r="F605" s="122" t="s">
        <v>910</v>
      </c>
      <c r="G605" s="252" t="s">
        <v>1021</v>
      </c>
      <c r="H605" s="122" t="s">
        <v>267</v>
      </c>
      <c r="I605" s="122" t="s">
        <v>1022</v>
      </c>
      <c r="J605" s="122" t="s">
        <v>906</v>
      </c>
    </row>
    <row r="606" spans="1:10">
      <c r="A606" s="122" t="s">
        <v>913</v>
      </c>
      <c r="B606" s="122" t="s">
        <v>1023</v>
      </c>
      <c r="C606" s="122" t="s">
        <v>267</v>
      </c>
      <c r="D606" s="122" t="s">
        <v>686</v>
      </c>
      <c r="E606" s="122"/>
      <c r="F606" s="122" t="s">
        <v>910</v>
      </c>
      <c r="G606" s="252" t="s">
        <v>1023</v>
      </c>
      <c r="H606" s="122" t="s">
        <v>267</v>
      </c>
      <c r="I606" s="122" t="s">
        <v>1024</v>
      </c>
      <c r="J606" s="122" t="s">
        <v>906</v>
      </c>
    </row>
    <row r="607" spans="1:10">
      <c r="A607" s="122" t="s">
        <v>913</v>
      </c>
      <c r="B607" s="122" t="s">
        <v>1025</v>
      </c>
      <c r="C607" s="122" t="s">
        <v>267</v>
      </c>
      <c r="D607" s="122" t="s">
        <v>686</v>
      </c>
      <c r="E607" s="122"/>
      <c r="F607" s="122" t="s">
        <v>910</v>
      </c>
      <c r="G607" s="252" t="s">
        <v>1025</v>
      </c>
      <c r="H607" s="122" t="s">
        <v>267</v>
      </c>
      <c r="I607" s="122" t="s">
        <v>1026</v>
      </c>
      <c r="J607" s="122" t="s">
        <v>906</v>
      </c>
    </row>
    <row r="608" spans="1:10">
      <c r="A608" s="122" t="s">
        <v>913</v>
      </c>
      <c r="B608" s="122" t="s">
        <v>1027</v>
      </c>
      <c r="C608" s="122" t="s">
        <v>267</v>
      </c>
      <c r="D608" s="122" t="s">
        <v>686</v>
      </c>
      <c r="E608" s="122"/>
      <c r="F608" s="122" t="s">
        <v>910</v>
      </c>
      <c r="G608" s="252" t="s">
        <v>1027</v>
      </c>
      <c r="H608" s="122" t="s">
        <v>267</v>
      </c>
      <c r="I608" s="122" t="s">
        <v>1028</v>
      </c>
      <c r="J608" s="122" t="s">
        <v>906</v>
      </c>
    </row>
    <row r="609" spans="1:10">
      <c r="A609" s="122" t="s">
        <v>913</v>
      </c>
      <c r="B609" s="122" t="s">
        <v>1029</v>
      </c>
      <c r="C609" s="122" t="s">
        <v>267</v>
      </c>
      <c r="D609" s="122" t="s">
        <v>686</v>
      </c>
      <c r="E609" s="122"/>
      <c r="F609" s="122" t="s">
        <v>910</v>
      </c>
      <c r="G609" s="252" t="s">
        <v>1029</v>
      </c>
      <c r="H609" s="122" t="s">
        <v>267</v>
      </c>
      <c r="I609" s="122" t="s">
        <v>1030</v>
      </c>
      <c r="J609" s="122" t="s">
        <v>906</v>
      </c>
    </row>
    <row r="610" spans="1:10">
      <c r="A610" s="122" t="s">
        <v>913</v>
      </c>
      <c r="B610" s="122" t="s">
        <v>1031</v>
      </c>
      <c r="C610" s="122" t="s">
        <v>267</v>
      </c>
      <c r="D610" s="122" t="s">
        <v>686</v>
      </c>
      <c r="E610" s="122"/>
      <c r="F610" s="122" t="s">
        <v>910</v>
      </c>
      <c r="G610" s="252" t="s">
        <v>1031</v>
      </c>
      <c r="H610" s="122" t="s">
        <v>267</v>
      </c>
      <c r="I610" s="122" t="s">
        <v>1032</v>
      </c>
      <c r="J610" s="122" t="s">
        <v>906</v>
      </c>
    </row>
    <row r="611" spans="1:10">
      <c r="A611" s="122" t="s">
        <v>913</v>
      </c>
      <c r="B611" s="122" t="s">
        <v>1033</v>
      </c>
      <c r="C611" s="122" t="s">
        <v>267</v>
      </c>
      <c r="D611" s="122" t="s">
        <v>686</v>
      </c>
      <c r="E611" s="122"/>
      <c r="F611" s="122" t="s">
        <v>910</v>
      </c>
      <c r="G611" s="252" t="s">
        <v>1033</v>
      </c>
      <c r="H611" s="122" t="s">
        <v>267</v>
      </c>
      <c r="I611" s="122" t="s">
        <v>1034</v>
      </c>
      <c r="J611" s="122" t="s">
        <v>906</v>
      </c>
    </row>
    <row r="612" spans="1:10">
      <c r="A612" s="122" t="s">
        <v>913</v>
      </c>
      <c r="B612" s="122" t="s">
        <v>1035</v>
      </c>
      <c r="C612" s="122" t="s">
        <v>267</v>
      </c>
      <c r="D612" s="122" t="s">
        <v>686</v>
      </c>
      <c r="E612" s="122"/>
      <c r="F612" s="122" t="s">
        <v>910</v>
      </c>
      <c r="G612" s="252" t="s">
        <v>1035</v>
      </c>
      <c r="H612" s="122" t="s">
        <v>267</v>
      </c>
      <c r="I612" s="122" t="s">
        <v>1036</v>
      </c>
      <c r="J612" s="122" t="s">
        <v>906</v>
      </c>
    </row>
    <row r="613" spans="1:10">
      <c r="A613" s="122" t="s">
        <v>913</v>
      </c>
      <c r="B613" s="122" t="s">
        <v>1037</v>
      </c>
      <c r="C613" s="122" t="s">
        <v>267</v>
      </c>
      <c r="D613" s="122" t="s">
        <v>686</v>
      </c>
      <c r="E613" s="122"/>
      <c r="F613" s="122" t="s">
        <v>910</v>
      </c>
      <c r="G613" s="252" t="s">
        <v>1037</v>
      </c>
      <c r="H613" s="122" t="s">
        <v>267</v>
      </c>
      <c r="I613" s="122" t="s">
        <v>1038</v>
      </c>
      <c r="J613" s="122" t="s">
        <v>906</v>
      </c>
    </row>
    <row r="614" spans="1:10">
      <c r="A614" s="122" t="s">
        <v>913</v>
      </c>
      <c r="B614" s="122" t="s">
        <v>1039</v>
      </c>
      <c r="C614" s="122" t="s">
        <v>267</v>
      </c>
      <c r="D614" s="122" t="s">
        <v>686</v>
      </c>
      <c r="E614" s="122"/>
      <c r="F614" s="122" t="s">
        <v>910</v>
      </c>
      <c r="G614" s="252" t="s">
        <v>1039</v>
      </c>
      <c r="H614" s="122" t="s">
        <v>267</v>
      </c>
      <c r="I614" s="122" t="s">
        <v>1040</v>
      </c>
      <c r="J614" s="122" t="s">
        <v>906</v>
      </c>
    </row>
    <row r="615" spans="1:10">
      <c r="A615" s="122" t="s">
        <v>913</v>
      </c>
      <c r="B615" s="122" t="s">
        <v>1041</v>
      </c>
      <c r="C615" s="122" t="s">
        <v>267</v>
      </c>
      <c r="D615" s="122" t="s">
        <v>686</v>
      </c>
      <c r="E615" s="122"/>
      <c r="F615" s="122" t="s">
        <v>910</v>
      </c>
      <c r="G615" s="252" t="s">
        <v>1041</v>
      </c>
      <c r="H615" s="122" t="s">
        <v>267</v>
      </c>
      <c r="I615" s="122" t="s">
        <v>1042</v>
      </c>
      <c r="J615" s="122" t="s">
        <v>906</v>
      </c>
    </row>
    <row r="616" spans="1:10">
      <c r="A616" s="122" t="s">
        <v>913</v>
      </c>
      <c r="B616" s="122" t="s">
        <v>1043</v>
      </c>
      <c r="C616" s="122" t="s">
        <v>267</v>
      </c>
      <c r="D616" s="122" t="s">
        <v>686</v>
      </c>
      <c r="E616" s="122"/>
      <c r="F616" s="122" t="s">
        <v>910</v>
      </c>
      <c r="G616" s="252" t="s">
        <v>1043</v>
      </c>
      <c r="H616" s="122" t="s">
        <v>267</v>
      </c>
      <c r="I616" s="122" t="s">
        <v>1044</v>
      </c>
      <c r="J616" s="122" t="s">
        <v>906</v>
      </c>
    </row>
    <row r="617" spans="1:10">
      <c r="A617" s="122" t="s">
        <v>913</v>
      </c>
      <c r="B617" s="122" t="s">
        <v>1045</v>
      </c>
      <c r="C617" s="122" t="s">
        <v>267</v>
      </c>
      <c r="D617" s="122" t="s">
        <v>686</v>
      </c>
      <c r="E617" s="122"/>
      <c r="F617" s="122" t="s">
        <v>910</v>
      </c>
      <c r="G617" s="252" t="s">
        <v>1045</v>
      </c>
      <c r="H617" s="122" t="s">
        <v>267</v>
      </c>
      <c r="I617" s="122" t="s">
        <v>1046</v>
      </c>
      <c r="J617" s="122" t="s">
        <v>906</v>
      </c>
    </row>
    <row r="618" spans="1:10">
      <c r="A618" s="122" t="s">
        <v>913</v>
      </c>
      <c r="B618" s="122" t="s">
        <v>1047</v>
      </c>
      <c r="C618" s="122" t="s">
        <v>267</v>
      </c>
      <c r="D618" s="122" t="s">
        <v>686</v>
      </c>
      <c r="E618" s="122"/>
      <c r="F618" s="122" t="s">
        <v>910</v>
      </c>
      <c r="G618" s="252" t="s">
        <v>1047</v>
      </c>
      <c r="H618" s="122" t="s">
        <v>267</v>
      </c>
      <c r="I618" s="122" t="s">
        <v>1048</v>
      </c>
      <c r="J618" s="122" t="s">
        <v>906</v>
      </c>
    </row>
    <row r="619" spans="1:10">
      <c r="A619" s="122" t="s">
        <v>913</v>
      </c>
      <c r="B619" s="122" t="s">
        <v>1049</v>
      </c>
      <c r="C619" s="122" t="s">
        <v>267</v>
      </c>
      <c r="D619" s="122" t="s">
        <v>686</v>
      </c>
      <c r="E619" s="122"/>
      <c r="F619" s="122" t="s">
        <v>910</v>
      </c>
      <c r="G619" s="252" t="s">
        <v>1049</v>
      </c>
      <c r="H619" s="122" t="s">
        <v>267</v>
      </c>
      <c r="I619" s="122" t="s">
        <v>1050</v>
      </c>
      <c r="J619" s="122" t="s">
        <v>906</v>
      </c>
    </row>
    <row r="620" spans="1:10">
      <c r="A620" s="122" t="s">
        <v>913</v>
      </c>
      <c r="B620" s="122" t="s">
        <v>1051</v>
      </c>
      <c r="C620" s="122" t="s">
        <v>267</v>
      </c>
      <c r="D620" s="122" t="s">
        <v>686</v>
      </c>
      <c r="E620" s="122"/>
      <c r="F620" s="122" t="s">
        <v>910</v>
      </c>
      <c r="G620" s="252" t="s">
        <v>1051</v>
      </c>
      <c r="H620" s="122" t="s">
        <v>267</v>
      </c>
      <c r="I620" s="122" t="s">
        <v>1052</v>
      </c>
      <c r="J620" s="122" t="s">
        <v>906</v>
      </c>
    </row>
    <row r="621" spans="1:10">
      <c r="A621" s="122" t="s">
        <v>913</v>
      </c>
      <c r="B621" s="122" t="s">
        <v>1053</v>
      </c>
      <c r="C621" s="122" t="s">
        <v>267</v>
      </c>
      <c r="D621" s="122" t="s">
        <v>686</v>
      </c>
      <c r="E621" s="122"/>
      <c r="F621" s="122" t="s">
        <v>910</v>
      </c>
      <c r="G621" s="252" t="s">
        <v>1053</v>
      </c>
      <c r="H621" s="122" t="s">
        <v>267</v>
      </c>
      <c r="I621" s="122" t="s">
        <v>1054</v>
      </c>
      <c r="J621" s="122" t="s">
        <v>906</v>
      </c>
    </row>
    <row r="622" spans="1:10">
      <c r="A622" s="122" t="s">
        <v>913</v>
      </c>
      <c r="B622" s="122" t="s">
        <v>1055</v>
      </c>
      <c r="C622" s="122" t="s">
        <v>267</v>
      </c>
      <c r="D622" s="122" t="s">
        <v>686</v>
      </c>
      <c r="E622" s="122"/>
      <c r="F622" s="122" t="s">
        <v>910</v>
      </c>
      <c r="G622" s="252" t="s">
        <v>1055</v>
      </c>
      <c r="H622" s="122" t="s">
        <v>267</v>
      </c>
      <c r="I622" s="122" t="s">
        <v>1056</v>
      </c>
      <c r="J622" s="122" t="s">
        <v>906</v>
      </c>
    </row>
    <row r="623" spans="1:10">
      <c r="A623" s="122" t="s">
        <v>913</v>
      </c>
      <c r="B623" s="122" t="s">
        <v>1057</v>
      </c>
      <c r="C623" s="122" t="s">
        <v>267</v>
      </c>
      <c r="D623" s="122" t="s">
        <v>686</v>
      </c>
      <c r="E623" s="122"/>
      <c r="F623" s="122" t="s">
        <v>910</v>
      </c>
      <c r="G623" s="252" t="s">
        <v>1057</v>
      </c>
      <c r="H623" s="122" t="s">
        <v>267</v>
      </c>
      <c r="I623" s="122" t="s">
        <v>1058</v>
      </c>
      <c r="J623" s="122" t="s">
        <v>906</v>
      </c>
    </row>
    <row r="624" spans="1:10">
      <c r="A624" s="122" t="s">
        <v>913</v>
      </c>
      <c r="B624" s="122" t="s">
        <v>1059</v>
      </c>
      <c r="C624" s="122" t="s">
        <v>267</v>
      </c>
      <c r="D624" s="122" t="s">
        <v>686</v>
      </c>
      <c r="E624" s="122"/>
      <c r="F624" s="122" t="s">
        <v>910</v>
      </c>
      <c r="G624" s="252" t="s">
        <v>1059</v>
      </c>
      <c r="H624" s="122" t="s">
        <v>267</v>
      </c>
      <c r="I624" s="122" t="s">
        <v>1060</v>
      </c>
      <c r="J624" s="122" t="s">
        <v>906</v>
      </c>
    </row>
    <row r="625" spans="1:10">
      <c r="A625" s="122" t="s">
        <v>913</v>
      </c>
      <c r="B625" s="122" t="s">
        <v>1061</v>
      </c>
      <c r="C625" s="122" t="s">
        <v>267</v>
      </c>
      <c r="D625" s="122" t="s">
        <v>686</v>
      </c>
      <c r="E625" s="122"/>
      <c r="F625" s="122" t="s">
        <v>910</v>
      </c>
      <c r="G625" s="252" t="s">
        <v>1061</v>
      </c>
      <c r="H625" s="122" t="s">
        <v>267</v>
      </c>
      <c r="I625" s="122" t="s">
        <v>1062</v>
      </c>
      <c r="J625" s="122" t="s">
        <v>906</v>
      </c>
    </row>
    <row r="626" spans="1:10">
      <c r="A626" s="122" t="s">
        <v>913</v>
      </c>
      <c r="B626" s="122" t="s">
        <v>1063</v>
      </c>
      <c r="C626" s="122" t="s">
        <v>267</v>
      </c>
      <c r="D626" s="122" t="s">
        <v>686</v>
      </c>
      <c r="E626" s="122"/>
      <c r="F626" s="122" t="s">
        <v>910</v>
      </c>
      <c r="G626" s="252" t="s">
        <v>1063</v>
      </c>
      <c r="H626" s="122" t="s">
        <v>267</v>
      </c>
      <c r="I626" s="122" t="s">
        <v>1064</v>
      </c>
      <c r="J626" s="122" t="s">
        <v>906</v>
      </c>
    </row>
    <row r="627" spans="1:10">
      <c r="A627" s="122" t="s">
        <v>913</v>
      </c>
      <c r="B627" s="122" t="s">
        <v>1065</v>
      </c>
      <c r="C627" s="122" t="s">
        <v>267</v>
      </c>
      <c r="D627" s="122" t="s">
        <v>686</v>
      </c>
      <c r="E627" s="122"/>
      <c r="F627" s="122" t="s">
        <v>910</v>
      </c>
      <c r="G627" s="252" t="s">
        <v>1065</v>
      </c>
      <c r="H627" s="122" t="s">
        <v>267</v>
      </c>
      <c r="I627" s="122" t="s">
        <v>1066</v>
      </c>
      <c r="J627" s="122" t="s">
        <v>906</v>
      </c>
    </row>
    <row r="628" spans="1:10">
      <c r="A628" s="122" t="s">
        <v>913</v>
      </c>
      <c r="B628" s="122" t="s">
        <v>1067</v>
      </c>
      <c r="C628" s="122" t="s">
        <v>267</v>
      </c>
      <c r="D628" s="122" t="s">
        <v>686</v>
      </c>
      <c r="E628" s="122"/>
      <c r="F628" s="122" t="s">
        <v>910</v>
      </c>
      <c r="G628" s="252" t="s">
        <v>1067</v>
      </c>
      <c r="H628" s="122" t="s">
        <v>267</v>
      </c>
      <c r="I628" s="122" t="s">
        <v>1068</v>
      </c>
      <c r="J628" s="122" t="s">
        <v>906</v>
      </c>
    </row>
    <row r="629" spans="1:10">
      <c r="A629" s="122" t="s">
        <v>913</v>
      </c>
      <c r="B629" s="122" t="s">
        <v>1069</v>
      </c>
      <c r="C629" s="122" t="s">
        <v>267</v>
      </c>
      <c r="D629" s="122" t="s">
        <v>686</v>
      </c>
      <c r="E629" s="122"/>
      <c r="F629" s="122" t="s">
        <v>910</v>
      </c>
      <c r="G629" s="252" t="s">
        <v>1069</v>
      </c>
      <c r="H629" s="122" t="s">
        <v>267</v>
      </c>
      <c r="I629" s="122" t="s">
        <v>1070</v>
      </c>
      <c r="J629" s="122" t="s">
        <v>906</v>
      </c>
    </row>
    <row r="630" spans="1:10">
      <c r="A630" s="122" t="s">
        <v>913</v>
      </c>
      <c r="B630" s="122" t="s">
        <v>1071</v>
      </c>
      <c r="C630" s="122" t="s">
        <v>267</v>
      </c>
      <c r="D630" s="122" t="s">
        <v>686</v>
      </c>
      <c r="E630" s="122"/>
      <c r="F630" s="122" t="s">
        <v>910</v>
      </c>
      <c r="G630" s="252" t="s">
        <v>1071</v>
      </c>
      <c r="H630" s="122" t="s">
        <v>267</v>
      </c>
      <c r="I630" s="122" t="s">
        <v>1072</v>
      </c>
      <c r="J630" s="122" t="s">
        <v>906</v>
      </c>
    </row>
    <row r="631" spans="1:10">
      <c r="A631" s="122" t="s">
        <v>913</v>
      </c>
      <c r="B631" s="122" t="s">
        <v>1073</v>
      </c>
      <c r="C631" s="122" t="s">
        <v>267</v>
      </c>
      <c r="D631" s="122" t="s">
        <v>686</v>
      </c>
      <c r="E631" s="122"/>
      <c r="F631" s="122" t="s">
        <v>910</v>
      </c>
      <c r="G631" s="252" t="s">
        <v>1073</v>
      </c>
      <c r="H631" s="122" t="s">
        <v>267</v>
      </c>
      <c r="I631" s="122" t="s">
        <v>1074</v>
      </c>
      <c r="J631" s="122" t="s">
        <v>906</v>
      </c>
    </row>
    <row r="632" spans="1:10">
      <c r="A632" s="122" t="s">
        <v>913</v>
      </c>
      <c r="B632" s="122" t="s">
        <v>1075</v>
      </c>
      <c r="C632" s="122" t="s">
        <v>267</v>
      </c>
      <c r="D632" s="122" t="s">
        <v>686</v>
      </c>
      <c r="E632" s="122"/>
      <c r="F632" s="122" t="s">
        <v>910</v>
      </c>
      <c r="G632" s="252" t="s">
        <v>1075</v>
      </c>
      <c r="H632" s="122" t="s">
        <v>267</v>
      </c>
      <c r="I632" s="122" t="s">
        <v>1076</v>
      </c>
      <c r="J632" s="122" t="s">
        <v>906</v>
      </c>
    </row>
    <row r="633" spans="1:10">
      <c r="A633" s="122" t="s">
        <v>913</v>
      </c>
      <c r="B633" s="122" t="s">
        <v>1077</v>
      </c>
      <c r="C633" s="122" t="s">
        <v>267</v>
      </c>
      <c r="D633" s="122" t="s">
        <v>686</v>
      </c>
      <c r="E633" s="122"/>
      <c r="F633" s="122" t="s">
        <v>910</v>
      </c>
      <c r="G633" s="252" t="s">
        <v>1077</v>
      </c>
      <c r="H633" s="122" t="s">
        <v>267</v>
      </c>
      <c r="I633" s="122" t="s">
        <v>1078</v>
      </c>
      <c r="J633" s="122" t="s">
        <v>906</v>
      </c>
    </row>
    <row r="634" spans="1:10">
      <c r="A634" s="122" t="s">
        <v>913</v>
      </c>
      <c r="B634" s="122" t="s">
        <v>1079</v>
      </c>
      <c r="C634" s="122" t="s">
        <v>267</v>
      </c>
      <c r="D634" s="122" t="s">
        <v>686</v>
      </c>
      <c r="E634" s="122"/>
      <c r="F634" s="122" t="s">
        <v>910</v>
      </c>
      <c r="G634" s="252" t="s">
        <v>1079</v>
      </c>
      <c r="H634" s="122" t="s">
        <v>267</v>
      </c>
      <c r="I634" s="122" t="s">
        <v>1080</v>
      </c>
      <c r="J634" s="122" t="s">
        <v>906</v>
      </c>
    </row>
    <row r="635" spans="1:10">
      <c r="A635" s="122" t="s">
        <v>913</v>
      </c>
      <c r="B635" s="122" t="s">
        <v>1081</v>
      </c>
      <c r="C635" s="122" t="s">
        <v>267</v>
      </c>
      <c r="D635" s="122" t="s">
        <v>686</v>
      </c>
      <c r="E635" s="122"/>
      <c r="F635" s="122" t="s">
        <v>910</v>
      </c>
      <c r="G635" s="252" t="s">
        <v>1081</v>
      </c>
      <c r="H635" s="122" t="s">
        <v>267</v>
      </c>
      <c r="I635" s="122" t="s">
        <v>1082</v>
      </c>
      <c r="J635" s="122" t="s">
        <v>906</v>
      </c>
    </row>
    <row r="636" spans="1:10">
      <c r="A636" s="122" t="s">
        <v>913</v>
      </c>
      <c r="B636" s="122" t="s">
        <v>1083</v>
      </c>
      <c r="C636" s="122" t="s">
        <v>267</v>
      </c>
      <c r="D636" s="122" t="s">
        <v>686</v>
      </c>
      <c r="E636" s="122"/>
      <c r="F636" s="122" t="s">
        <v>910</v>
      </c>
      <c r="G636" s="252" t="s">
        <v>1083</v>
      </c>
      <c r="H636" s="122" t="s">
        <v>267</v>
      </c>
      <c r="I636" s="122" t="s">
        <v>1084</v>
      </c>
      <c r="J636" s="122" t="s">
        <v>906</v>
      </c>
    </row>
    <row r="637" spans="1:10">
      <c r="A637" s="122" t="s">
        <v>913</v>
      </c>
      <c r="B637" s="122" t="s">
        <v>1085</v>
      </c>
      <c r="C637" s="122" t="s">
        <v>267</v>
      </c>
      <c r="D637" s="122" t="s">
        <v>686</v>
      </c>
      <c r="E637" s="122"/>
      <c r="F637" s="122" t="s">
        <v>910</v>
      </c>
      <c r="G637" s="252" t="s">
        <v>1085</v>
      </c>
      <c r="H637" s="122" t="s">
        <v>267</v>
      </c>
      <c r="I637" s="122" t="s">
        <v>1086</v>
      </c>
      <c r="J637" s="122" t="s">
        <v>906</v>
      </c>
    </row>
    <row r="638" spans="1:10" ht="51">
      <c r="A638" s="250" t="s">
        <v>1087</v>
      </c>
      <c r="B638" s="122" t="s">
        <v>1088</v>
      </c>
      <c r="C638" s="122" t="s">
        <v>267</v>
      </c>
      <c r="D638" s="122" t="s">
        <v>686</v>
      </c>
      <c r="E638" s="122"/>
      <c r="F638" s="122" t="s">
        <v>910</v>
      </c>
      <c r="G638" s="349" t="s">
        <v>1089</v>
      </c>
      <c r="H638" s="115" t="s">
        <v>267</v>
      </c>
      <c r="I638" s="122" t="s">
        <v>1090</v>
      </c>
      <c r="J638" s="122" t="s">
        <v>906</v>
      </c>
    </row>
    <row r="639" spans="1:10" ht="51">
      <c r="A639" s="250" t="s">
        <v>1087</v>
      </c>
      <c r="B639" s="122" t="s">
        <v>1091</v>
      </c>
      <c r="C639" s="115" t="s">
        <v>267</v>
      </c>
      <c r="D639" s="122" t="s">
        <v>686</v>
      </c>
      <c r="E639" s="122"/>
      <c r="F639" s="122" t="s">
        <v>910</v>
      </c>
      <c r="G639" s="349" t="s">
        <v>1092</v>
      </c>
      <c r="H639" s="115" t="s">
        <v>267</v>
      </c>
      <c r="I639" s="122" t="s">
        <v>1093</v>
      </c>
      <c r="J639" s="122" t="s">
        <v>906</v>
      </c>
    </row>
    <row r="640" spans="1:10">
      <c r="A640" s="122" t="s">
        <v>913</v>
      </c>
      <c r="B640" s="122" t="s">
        <v>1094</v>
      </c>
      <c r="C640" s="115" t="s">
        <v>267</v>
      </c>
      <c r="D640" s="122" t="s">
        <v>686</v>
      </c>
      <c r="E640" s="122"/>
      <c r="F640" s="122" t="s">
        <v>910</v>
      </c>
      <c r="G640" s="350" t="s">
        <v>1094</v>
      </c>
      <c r="H640" s="115" t="s">
        <v>267</v>
      </c>
      <c r="I640" s="122" t="s">
        <v>1095</v>
      </c>
      <c r="J640" s="122" t="s">
        <v>906</v>
      </c>
    </row>
    <row r="641" spans="1:19">
      <c r="A641" s="122" t="s">
        <v>913</v>
      </c>
      <c r="B641" s="122" t="s">
        <v>1096</v>
      </c>
      <c r="C641" s="115" t="s">
        <v>267</v>
      </c>
      <c r="D641" s="122" t="s">
        <v>686</v>
      </c>
      <c r="E641" s="122"/>
      <c r="F641" s="122" t="s">
        <v>910</v>
      </c>
      <c r="G641" s="350" t="s">
        <v>1096</v>
      </c>
      <c r="H641" s="115" t="s">
        <v>267</v>
      </c>
      <c r="I641" s="122" t="s">
        <v>1097</v>
      </c>
      <c r="J641" s="122" t="s">
        <v>906</v>
      </c>
    </row>
    <row r="642" spans="1:19">
      <c r="A642" s="122" t="s">
        <v>913</v>
      </c>
      <c r="B642" s="122" t="s">
        <v>1098</v>
      </c>
      <c r="C642" s="122" t="s">
        <v>267</v>
      </c>
      <c r="D642" s="122" t="s">
        <v>686</v>
      </c>
      <c r="E642" s="122"/>
      <c r="F642" s="122" t="s">
        <v>910</v>
      </c>
      <c r="G642" s="349" t="s">
        <v>1098</v>
      </c>
      <c r="H642" s="122" t="s">
        <v>267</v>
      </c>
      <c r="I642" s="122" t="s">
        <v>1099</v>
      </c>
      <c r="J642" s="122" t="s">
        <v>906</v>
      </c>
    </row>
    <row r="643" spans="1:19">
      <c r="A643" s="122" t="s">
        <v>913</v>
      </c>
      <c r="B643" s="122" t="s">
        <v>1100</v>
      </c>
      <c r="C643" s="122" t="s">
        <v>267</v>
      </c>
      <c r="D643" s="122" t="s">
        <v>686</v>
      </c>
      <c r="E643" s="122"/>
      <c r="F643" s="122" t="s">
        <v>910</v>
      </c>
      <c r="G643" s="349" t="s">
        <v>1100</v>
      </c>
      <c r="H643" s="122" t="s">
        <v>267</v>
      </c>
      <c r="I643" s="122" t="s">
        <v>1101</v>
      </c>
      <c r="J643" s="122" t="s">
        <v>906</v>
      </c>
    </row>
    <row r="644" spans="1:19">
      <c r="A644" s="122" t="s">
        <v>913</v>
      </c>
      <c r="B644" s="122" t="s">
        <v>1102</v>
      </c>
      <c r="C644" s="122" t="s">
        <v>267</v>
      </c>
      <c r="D644" s="122" t="s">
        <v>686</v>
      </c>
      <c r="E644" s="122"/>
      <c r="F644" s="122" t="s">
        <v>910</v>
      </c>
      <c r="G644" s="252" t="s">
        <v>1102</v>
      </c>
      <c r="H644" s="122" t="s">
        <v>267</v>
      </c>
      <c r="I644" s="122" t="s">
        <v>1103</v>
      </c>
      <c r="J644" s="122" t="s">
        <v>906</v>
      </c>
    </row>
    <row r="645" spans="1:19">
      <c r="A645" s="122" t="s">
        <v>913</v>
      </c>
      <c r="B645" s="122" t="s">
        <v>1104</v>
      </c>
      <c r="C645" s="122" t="s">
        <v>267</v>
      </c>
      <c r="D645" s="122" t="s">
        <v>686</v>
      </c>
      <c r="E645" s="122"/>
      <c r="F645" s="122" t="s">
        <v>910</v>
      </c>
      <c r="G645" s="252" t="s">
        <v>1104</v>
      </c>
      <c r="H645" s="122" t="s">
        <v>267</v>
      </c>
      <c r="I645" s="122" t="s">
        <v>1105</v>
      </c>
      <c r="J645" s="122" t="s">
        <v>906</v>
      </c>
    </row>
    <row r="646" spans="1:19">
      <c r="A646" s="122" t="s">
        <v>913</v>
      </c>
      <c r="B646" s="122" t="s">
        <v>1106</v>
      </c>
      <c r="C646" s="122" t="s">
        <v>267</v>
      </c>
      <c r="D646" s="122" t="s">
        <v>686</v>
      </c>
      <c r="E646" s="122"/>
      <c r="F646" s="122" t="s">
        <v>910</v>
      </c>
      <c r="G646" s="252" t="s">
        <v>1106</v>
      </c>
      <c r="H646" s="122" t="s">
        <v>267</v>
      </c>
      <c r="I646" s="122" t="s">
        <v>1107</v>
      </c>
      <c r="J646" s="122" t="s">
        <v>906</v>
      </c>
    </row>
    <row r="647" spans="1:19">
      <c r="A647" s="122" t="s">
        <v>913</v>
      </c>
      <c r="B647" s="122" t="s">
        <v>1108</v>
      </c>
      <c r="C647" s="122" t="s">
        <v>267</v>
      </c>
      <c r="D647" s="122" t="s">
        <v>686</v>
      </c>
      <c r="E647" s="122"/>
      <c r="F647" s="122" t="s">
        <v>910</v>
      </c>
      <c r="G647" s="252" t="s">
        <v>1108</v>
      </c>
      <c r="H647" s="122" t="s">
        <v>267</v>
      </c>
      <c r="I647" s="122" t="s">
        <v>1109</v>
      </c>
      <c r="J647" s="122" t="s">
        <v>906</v>
      </c>
    </row>
    <row r="648" spans="1:19">
      <c r="A648" s="122" t="s">
        <v>913</v>
      </c>
      <c r="B648" s="122" t="s">
        <v>92</v>
      </c>
      <c r="C648" s="122" t="s">
        <v>267</v>
      </c>
      <c r="D648" s="122" t="s">
        <v>686</v>
      </c>
      <c r="E648" s="122"/>
      <c r="F648" s="122" t="s">
        <v>910</v>
      </c>
      <c r="G648" s="251" t="s">
        <v>310</v>
      </c>
      <c r="H648" s="122" t="s">
        <v>267</v>
      </c>
      <c r="I648" s="122" t="s">
        <v>1110</v>
      </c>
      <c r="J648" s="122" t="s">
        <v>906</v>
      </c>
    </row>
    <row r="649" spans="1:19">
      <c r="A649" s="250" t="s">
        <v>908</v>
      </c>
      <c r="B649" s="122" t="s">
        <v>95</v>
      </c>
      <c r="C649" s="122" t="s">
        <v>267</v>
      </c>
      <c r="D649" s="122" t="s">
        <v>686</v>
      </c>
      <c r="E649" s="122"/>
      <c r="F649" s="122" t="s">
        <v>910</v>
      </c>
      <c r="G649" s="251" t="s">
        <v>312</v>
      </c>
      <c r="H649" s="122" t="s">
        <v>267</v>
      </c>
      <c r="I649" s="122" t="s">
        <v>1111</v>
      </c>
      <c r="J649" s="122" t="s">
        <v>906</v>
      </c>
      <c r="K649" s="159"/>
      <c r="L649" s="159"/>
      <c r="M649" s="159"/>
      <c r="N649" s="159"/>
      <c r="O649" s="159"/>
      <c r="P649" s="159"/>
      <c r="Q649" s="159"/>
      <c r="R649" s="159"/>
      <c r="S649" s="159"/>
    </row>
    <row r="650" spans="1:19">
      <c r="A650" s="122" t="s">
        <v>913</v>
      </c>
      <c r="B650" s="122" t="s">
        <v>98</v>
      </c>
      <c r="C650" s="122" t="s">
        <v>267</v>
      </c>
      <c r="D650" s="122" t="s">
        <v>686</v>
      </c>
      <c r="E650" s="122"/>
      <c r="F650" s="122" t="s">
        <v>910</v>
      </c>
      <c r="G650" s="251" t="s">
        <v>270</v>
      </c>
      <c r="H650" s="122" t="s">
        <v>267</v>
      </c>
      <c r="I650" s="122" t="s">
        <v>1112</v>
      </c>
      <c r="J650" s="122" t="s">
        <v>906</v>
      </c>
    </row>
    <row r="651" spans="1:19">
      <c r="A651" s="122" t="s">
        <v>913</v>
      </c>
      <c r="B651" s="122" t="s">
        <v>1113</v>
      </c>
      <c r="C651" s="122" t="s">
        <v>267</v>
      </c>
      <c r="D651" s="122" t="s">
        <v>686</v>
      </c>
      <c r="E651" s="122"/>
      <c r="F651" s="122" t="s">
        <v>910</v>
      </c>
      <c r="G651" s="251" t="s">
        <v>1114</v>
      </c>
      <c r="H651" s="122" t="s">
        <v>267</v>
      </c>
      <c r="I651" s="122" t="s">
        <v>1115</v>
      </c>
      <c r="J651" s="122" t="s">
        <v>906</v>
      </c>
    </row>
    <row r="652" spans="1:19">
      <c r="A652" s="122" t="s">
        <v>913</v>
      </c>
      <c r="B652" s="122" t="s">
        <v>99</v>
      </c>
      <c r="C652" s="122" t="s">
        <v>267</v>
      </c>
      <c r="D652" s="122" t="s">
        <v>686</v>
      </c>
      <c r="E652" s="122"/>
      <c r="F652" s="122" t="s">
        <v>910</v>
      </c>
      <c r="G652" s="251" t="s">
        <v>271</v>
      </c>
      <c r="H652" s="122" t="s">
        <v>267</v>
      </c>
      <c r="I652" s="122" t="s">
        <v>1116</v>
      </c>
      <c r="J652" s="122" t="s">
        <v>906</v>
      </c>
    </row>
    <row r="653" spans="1:19">
      <c r="A653" s="122" t="s">
        <v>913</v>
      </c>
      <c r="B653" s="122" t="s">
        <v>391</v>
      </c>
      <c r="C653" s="122" t="s">
        <v>267</v>
      </c>
      <c r="D653" s="122" t="s">
        <v>686</v>
      </c>
      <c r="E653" s="122"/>
      <c r="F653" s="122" t="s">
        <v>910</v>
      </c>
      <c r="G653" s="251" t="s">
        <v>1117</v>
      </c>
      <c r="H653" s="122" t="s">
        <v>267</v>
      </c>
      <c r="I653" s="122" t="s">
        <v>391</v>
      </c>
      <c r="J653" s="122" t="s">
        <v>906</v>
      </c>
    </row>
    <row r="654" spans="1:19">
      <c r="A654" s="119" t="s">
        <v>1118</v>
      </c>
      <c r="B654" s="115" t="s">
        <v>1119</v>
      </c>
      <c r="C654" s="115" t="s">
        <v>274</v>
      </c>
      <c r="D654" s="115" t="s">
        <v>686</v>
      </c>
      <c r="E654" s="115"/>
      <c r="F654" s="122" t="s">
        <v>910</v>
      </c>
      <c r="G654" s="349" t="s">
        <v>1120</v>
      </c>
      <c r="H654" s="115" t="s">
        <v>274</v>
      </c>
      <c r="I654" s="122" t="s">
        <v>1121</v>
      </c>
      <c r="J654" s="122" t="s">
        <v>906</v>
      </c>
    </row>
    <row r="655" spans="1:19">
      <c r="A655" s="120" t="s">
        <v>1118</v>
      </c>
      <c r="B655" s="122" t="s">
        <v>1122</v>
      </c>
      <c r="C655" s="122" t="s">
        <v>267</v>
      </c>
      <c r="D655" s="122" t="s">
        <v>686</v>
      </c>
      <c r="E655" s="122"/>
      <c r="F655" s="122" t="s">
        <v>910</v>
      </c>
      <c r="G655" s="251" t="s">
        <v>1123</v>
      </c>
      <c r="H655" s="122" t="s">
        <v>267</v>
      </c>
      <c r="I655" s="122" t="s">
        <v>1124</v>
      </c>
      <c r="J655" s="122" t="s">
        <v>906</v>
      </c>
    </row>
    <row r="656" spans="1:19">
      <c r="A656" s="122" t="s">
        <v>913</v>
      </c>
      <c r="B656" s="122" t="s">
        <v>186</v>
      </c>
      <c r="C656" s="122" t="s">
        <v>267</v>
      </c>
      <c r="D656" s="122" t="s">
        <v>686</v>
      </c>
      <c r="E656" s="122"/>
      <c r="F656" s="122" t="s">
        <v>910</v>
      </c>
      <c r="G656" s="351" t="s">
        <v>186</v>
      </c>
      <c r="H656" s="122" t="s">
        <v>267</v>
      </c>
      <c r="I656" s="122" t="s">
        <v>1125</v>
      </c>
      <c r="J656" s="122" t="s">
        <v>906</v>
      </c>
    </row>
    <row r="657" spans="1:10">
      <c r="A657" s="122" t="s">
        <v>913</v>
      </c>
      <c r="B657" s="122" t="s">
        <v>187</v>
      </c>
      <c r="C657" s="122" t="s">
        <v>267</v>
      </c>
      <c r="D657" s="122" t="s">
        <v>686</v>
      </c>
      <c r="E657" s="122"/>
      <c r="F657" s="122" t="s">
        <v>910</v>
      </c>
      <c r="G657" s="351" t="s">
        <v>187</v>
      </c>
      <c r="H657" s="122" t="s">
        <v>267</v>
      </c>
      <c r="I657" s="122" t="s">
        <v>1126</v>
      </c>
      <c r="J657" s="122" t="s">
        <v>906</v>
      </c>
    </row>
    <row r="658" spans="1:10">
      <c r="A658" s="122" t="s">
        <v>913</v>
      </c>
      <c r="B658" s="122" t="s">
        <v>188</v>
      </c>
      <c r="C658" s="122" t="s">
        <v>267</v>
      </c>
      <c r="D658" s="122" t="s">
        <v>686</v>
      </c>
      <c r="E658" s="122"/>
      <c r="F658" s="122" t="s">
        <v>910</v>
      </c>
      <c r="G658" s="351" t="s">
        <v>188</v>
      </c>
      <c r="H658" s="122" t="s">
        <v>267</v>
      </c>
      <c r="I658" s="122" t="s">
        <v>1127</v>
      </c>
      <c r="J658" s="122" t="s">
        <v>906</v>
      </c>
    </row>
    <row r="659" spans="1:10">
      <c r="A659" s="122" t="s">
        <v>913</v>
      </c>
      <c r="B659" s="122" t="s">
        <v>193</v>
      </c>
      <c r="C659" s="122" t="s">
        <v>267</v>
      </c>
      <c r="D659" s="122" t="s">
        <v>686</v>
      </c>
      <c r="E659" s="122"/>
      <c r="F659" s="122" t="s">
        <v>910</v>
      </c>
      <c r="G659" s="351" t="s">
        <v>193</v>
      </c>
      <c r="H659" s="122" t="s">
        <v>267</v>
      </c>
      <c r="I659" s="122" t="s">
        <v>1128</v>
      </c>
      <c r="J659" s="122" t="s">
        <v>906</v>
      </c>
    </row>
    <row r="660" spans="1:10">
      <c r="A660" s="122" t="s">
        <v>913</v>
      </c>
      <c r="B660" s="122" t="s">
        <v>194</v>
      </c>
      <c r="C660" s="122" t="s">
        <v>267</v>
      </c>
      <c r="D660" s="122" t="s">
        <v>686</v>
      </c>
      <c r="E660" s="122"/>
      <c r="F660" s="122" t="s">
        <v>910</v>
      </c>
      <c r="G660" s="351" t="s">
        <v>194</v>
      </c>
      <c r="H660" s="122" t="s">
        <v>267</v>
      </c>
      <c r="I660" s="122" t="s">
        <v>1129</v>
      </c>
      <c r="J660" s="122" t="s">
        <v>906</v>
      </c>
    </row>
    <row r="661" spans="1:10">
      <c r="A661" s="122" t="s">
        <v>913</v>
      </c>
      <c r="B661" s="122" t="s">
        <v>195</v>
      </c>
      <c r="C661" s="122" t="s">
        <v>267</v>
      </c>
      <c r="D661" s="122" t="s">
        <v>686</v>
      </c>
      <c r="E661" s="122"/>
      <c r="F661" s="122" t="s">
        <v>910</v>
      </c>
      <c r="G661" s="351" t="s">
        <v>195</v>
      </c>
      <c r="H661" s="122" t="s">
        <v>267</v>
      </c>
      <c r="I661" s="122" t="s">
        <v>1130</v>
      </c>
      <c r="J661" s="122" t="s">
        <v>906</v>
      </c>
    </row>
    <row r="662" spans="1:10">
      <c r="A662" s="122" t="s">
        <v>913</v>
      </c>
      <c r="B662" s="122" t="s">
        <v>426</v>
      </c>
      <c r="C662" s="122" t="s">
        <v>267</v>
      </c>
      <c r="D662" s="122" t="s">
        <v>686</v>
      </c>
      <c r="E662" s="122"/>
      <c r="F662" s="122" t="s">
        <v>910</v>
      </c>
      <c r="G662" s="251" t="s">
        <v>1131</v>
      </c>
      <c r="H662" s="122" t="s">
        <v>267</v>
      </c>
      <c r="I662" s="122" t="s">
        <v>1132</v>
      </c>
      <c r="J662" s="122" t="s">
        <v>906</v>
      </c>
    </row>
    <row r="663" spans="1:10">
      <c r="A663" s="122" t="s">
        <v>913</v>
      </c>
      <c r="B663" s="122" t="s">
        <v>1133</v>
      </c>
      <c r="C663" s="122" t="s">
        <v>267</v>
      </c>
      <c r="D663" s="122" t="s">
        <v>686</v>
      </c>
      <c r="E663" s="122"/>
      <c r="F663" s="122" t="s">
        <v>910</v>
      </c>
      <c r="G663" s="251" t="s">
        <v>1134</v>
      </c>
      <c r="H663" s="122" t="s">
        <v>267</v>
      </c>
      <c r="I663" s="122" t="s">
        <v>1135</v>
      </c>
      <c r="J663" s="122" t="s">
        <v>906</v>
      </c>
    </row>
    <row r="664" spans="1:10">
      <c r="A664" s="122" t="s">
        <v>1136</v>
      </c>
      <c r="B664" s="122" t="s">
        <v>441</v>
      </c>
      <c r="C664" s="122" t="s">
        <v>267</v>
      </c>
      <c r="D664" s="122" t="s">
        <v>686</v>
      </c>
      <c r="E664" s="122"/>
      <c r="F664" s="122" t="s">
        <v>910</v>
      </c>
      <c r="G664" s="251" t="s">
        <v>443</v>
      </c>
      <c r="H664" s="122" t="s">
        <v>267</v>
      </c>
      <c r="I664" s="122" t="s">
        <v>1137</v>
      </c>
      <c r="J664" s="122" t="s">
        <v>906</v>
      </c>
    </row>
    <row r="665" spans="1:10">
      <c r="A665" s="122" t="s">
        <v>1136</v>
      </c>
      <c r="B665" s="122" t="s">
        <v>401</v>
      </c>
      <c r="C665" s="122" t="s">
        <v>267</v>
      </c>
      <c r="D665" s="122" t="s">
        <v>686</v>
      </c>
      <c r="E665" s="122"/>
      <c r="F665" s="122" t="s">
        <v>910</v>
      </c>
      <c r="G665" s="251" t="s">
        <v>403</v>
      </c>
      <c r="H665" s="122" t="s">
        <v>267</v>
      </c>
      <c r="I665" s="122" t="s">
        <v>1138</v>
      </c>
      <c r="J665" s="122" t="s">
        <v>906</v>
      </c>
    </row>
    <row r="666" spans="1:10">
      <c r="A666" s="122" t="s">
        <v>913</v>
      </c>
      <c r="B666" s="122" t="s">
        <v>1139</v>
      </c>
      <c r="C666" s="122" t="s">
        <v>267</v>
      </c>
      <c r="D666" s="122" t="s">
        <v>686</v>
      </c>
      <c r="E666" s="122"/>
      <c r="F666" s="122" t="s">
        <v>910</v>
      </c>
      <c r="G666" s="251" t="s">
        <v>1140</v>
      </c>
      <c r="H666" s="122" t="s">
        <v>267</v>
      </c>
      <c r="I666" s="122" t="s">
        <v>1141</v>
      </c>
      <c r="J666" s="122" t="s">
        <v>906</v>
      </c>
    </row>
    <row r="667" spans="1:10">
      <c r="A667" s="122" t="s">
        <v>913</v>
      </c>
      <c r="B667" s="122" t="s">
        <v>380</v>
      </c>
      <c r="C667" s="122" t="s">
        <v>267</v>
      </c>
      <c r="D667" s="122" t="s">
        <v>686</v>
      </c>
      <c r="E667" s="122"/>
      <c r="F667" s="122" t="s">
        <v>910</v>
      </c>
      <c r="G667" s="251" t="s">
        <v>170</v>
      </c>
      <c r="H667" s="122" t="s">
        <v>267</v>
      </c>
      <c r="I667" s="122" t="s">
        <v>1142</v>
      </c>
      <c r="J667" s="122" t="s">
        <v>906</v>
      </c>
    </row>
    <row r="668" spans="1:10">
      <c r="A668" s="122" t="s">
        <v>913</v>
      </c>
      <c r="B668" s="122" t="s">
        <v>1143</v>
      </c>
      <c r="C668" s="122" t="s">
        <v>267</v>
      </c>
      <c r="D668" s="122" t="s">
        <v>686</v>
      </c>
      <c r="E668" s="122"/>
      <c r="F668" s="122" t="s">
        <v>910</v>
      </c>
      <c r="G668" s="251" t="s">
        <v>1144</v>
      </c>
      <c r="H668" s="122" t="s">
        <v>267</v>
      </c>
      <c r="I668" s="122" t="s">
        <v>1145</v>
      </c>
      <c r="J668" s="122" t="s">
        <v>906</v>
      </c>
    </row>
    <row r="669" spans="1:10">
      <c r="A669" s="120" t="s">
        <v>1118</v>
      </c>
      <c r="B669" s="122" t="s">
        <v>1146</v>
      </c>
      <c r="C669" s="122" t="s">
        <v>267</v>
      </c>
      <c r="D669" s="122" t="s">
        <v>686</v>
      </c>
      <c r="E669" s="122"/>
      <c r="F669" s="122" t="s">
        <v>910</v>
      </c>
      <c r="G669" s="251" t="s">
        <v>1147</v>
      </c>
      <c r="H669" s="122" t="s">
        <v>267</v>
      </c>
      <c r="I669" s="122" t="s">
        <v>1148</v>
      </c>
      <c r="J669" s="122" t="s">
        <v>906</v>
      </c>
    </row>
    <row r="670" spans="1:10">
      <c r="A670" s="120" t="s">
        <v>1118</v>
      </c>
      <c r="B670" s="122" t="s">
        <v>1149</v>
      </c>
      <c r="C670" s="122" t="s">
        <v>267</v>
      </c>
      <c r="D670" s="122" t="s">
        <v>686</v>
      </c>
      <c r="E670" s="122"/>
      <c r="F670" s="122" t="s">
        <v>910</v>
      </c>
      <c r="G670" s="251" t="s">
        <v>1150</v>
      </c>
      <c r="H670" s="122" t="s">
        <v>267</v>
      </c>
      <c r="I670" s="122" t="s">
        <v>1151</v>
      </c>
      <c r="J670" s="122" t="s">
        <v>906</v>
      </c>
    </row>
    <row r="671" spans="1:10">
      <c r="A671" s="120" t="s">
        <v>1118</v>
      </c>
      <c r="B671" s="122" t="s">
        <v>1152</v>
      </c>
      <c r="C671" s="122" t="s">
        <v>267</v>
      </c>
      <c r="D671" s="122" t="s">
        <v>686</v>
      </c>
      <c r="E671" s="122"/>
      <c r="F671" s="122" t="s">
        <v>910</v>
      </c>
      <c r="G671" s="251" t="s">
        <v>1153</v>
      </c>
      <c r="H671" s="122" t="s">
        <v>267</v>
      </c>
      <c r="I671" s="122" t="s">
        <v>1154</v>
      </c>
      <c r="J671" s="122" t="s">
        <v>906</v>
      </c>
    </row>
    <row r="672" spans="1:10">
      <c r="A672" s="122" t="s">
        <v>913</v>
      </c>
      <c r="B672" s="122" t="s">
        <v>419</v>
      </c>
      <c r="C672" s="122" t="s">
        <v>274</v>
      </c>
      <c r="D672" s="122" t="s">
        <v>686</v>
      </c>
      <c r="E672" s="122"/>
      <c r="F672" s="122" t="s">
        <v>910</v>
      </c>
      <c r="G672" s="251" t="s">
        <v>1155</v>
      </c>
      <c r="H672" s="122" t="s">
        <v>274</v>
      </c>
      <c r="I672" s="122" t="s">
        <v>1156</v>
      </c>
      <c r="J672" s="122" t="s">
        <v>906</v>
      </c>
    </row>
    <row r="673" spans="1:10">
      <c r="A673" s="122" t="s">
        <v>913</v>
      </c>
      <c r="B673" s="122" t="s">
        <v>385</v>
      </c>
      <c r="C673" s="122" t="s">
        <v>267</v>
      </c>
      <c r="D673" s="122" t="s">
        <v>686</v>
      </c>
      <c r="E673" s="122"/>
      <c r="F673" s="122" t="s">
        <v>910</v>
      </c>
      <c r="G673" s="251" t="s">
        <v>110</v>
      </c>
      <c r="H673" s="122" t="s">
        <v>267</v>
      </c>
      <c r="I673" s="122" t="s">
        <v>1157</v>
      </c>
      <c r="J673" s="122" t="s">
        <v>906</v>
      </c>
    </row>
    <row r="674" spans="1:10">
      <c r="A674" s="250" t="s">
        <v>908</v>
      </c>
      <c r="B674" s="122" t="s">
        <v>1158</v>
      </c>
      <c r="C674" s="122" t="s">
        <v>267</v>
      </c>
      <c r="D674" s="122" t="s">
        <v>686</v>
      </c>
      <c r="E674" s="122"/>
      <c r="F674" s="122" t="s">
        <v>910</v>
      </c>
      <c r="G674" s="251" t="s">
        <v>1159</v>
      </c>
      <c r="H674" s="122" t="s">
        <v>267</v>
      </c>
      <c r="I674" s="122" t="s">
        <v>1160</v>
      </c>
      <c r="J674" s="122" t="s">
        <v>906</v>
      </c>
    </row>
    <row r="675" spans="1:10">
      <c r="A675" s="250" t="s">
        <v>908</v>
      </c>
      <c r="B675" s="122" t="s">
        <v>1161</v>
      </c>
      <c r="C675" s="122" t="s">
        <v>267</v>
      </c>
      <c r="D675" s="122" t="s">
        <v>686</v>
      </c>
      <c r="E675" s="122"/>
      <c r="F675" s="122" t="s">
        <v>910</v>
      </c>
      <c r="G675" s="251" t="s">
        <v>1162</v>
      </c>
      <c r="H675" s="122" t="s">
        <v>267</v>
      </c>
      <c r="I675" s="122" t="s">
        <v>1163</v>
      </c>
      <c r="J675" s="122" t="s">
        <v>906</v>
      </c>
    </row>
    <row r="676" spans="1:10">
      <c r="A676" s="122" t="s">
        <v>913</v>
      </c>
      <c r="B676" s="122" t="s">
        <v>1164</v>
      </c>
      <c r="C676" s="122" t="s">
        <v>267</v>
      </c>
      <c r="D676" s="122" t="s">
        <v>686</v>
      </c>
      <c r="E676" s="122"/>
      <c r="F676" s="122" t="s">
        <v>910</v>
      </c>
      <c r="G676" s="352" t="s">
        <v>1165</v>
      </c>
      <c r="H676" s="122" t="s">
        <v>267</v>
      </c>
      <c r="I676" s="122" t="s">
        <v>1166</v>
      </c>
      <c r="J676" s="122" t="s">
        <v>906</v>
      </c>
    </row>
    <row r="677" spans="1:10">
      <c r="A677" s="120" t="s">
        <v>1118</v>
      </c>
      <c r="B677" s="122" t="s">
        <v>1167</v>
      </c>
      <c r="C677" s="122" t="s">
        <v>267</v>
      </c>
      <c r="D677" s="122" t="s">
        <v>686</v>
      </c>
      <c r="E677" s="122"/>
      <c r="F677" s="122" t="s">
        <v>910</v>
      </c>
      <c r="G677" s="251" t="s">
        <v>1168</v>
      </c>
      <c r="H677" s="122" t="s">
        <v>267</v>
      </c>
      <c r="I677" s="122" t="s">
        <v>1169</v>
      </c>
      <c r="J677" s="122" t="s">
        <v>906</v>
      </c>
    </row>
    <row r="678" spans="1:10">
      <c r="A678" s="122" t="s">
        <v>913</v>
      </c>
      <c r="B678" s="122" t="s">
        <v>1170</v>
      </c>
      <c r="C678" s="122" t="s">
        <v>267</v>
      </c>
      <c r="D678" s="122" t="s">
        <v>686</v>
      </c>
      <c r="E678" s="122"/>
      <c r="F678" s="122" t="s">
        <v>910</v>
      </c>
      <c r="G678" s="251" t="s">
        <v>1171</v>
      </c>
      <c r="H678" s="122" t="s">
        <v>267</v>
      </c>
      <c r="I678" s="122" t="s">
        <v>1172</v>
      </c>
      <c r="J678" s="122" t="s">
        <v>906</v>
      </c>
    </row>
    <row r="679" spans="1:10">
      <c r="A679" s="122" t="s">
        <v>913</v>
      </c>
      <c r="B679" s="122" t="s">
        <v>1173</v>
      </c>
      <c r="C679" s="122" t="s">
        <v>267</v>
      </c>
      <c r="D679" s="122" t="s">
        <v>922</v>
      </c>
      <c r="E679" s="122" t="s">
        <v>1174</v>
      </c>
      <c r="F679" s="122" t="s">
        <v>910</v>
      </c>
      <c r="G679" s="251" t="s">
        <v>905</v>
      </c>
      <c r="H679" s="122" t="s">
        <v>267</v>
      </c>
      <c r="I679" s="122" t="s">
        <v>1175</v>
      </c>
      <c r="J679" s="122" t="s">
        <v>906</v>
      </c>
    </row>
    <row r="680" spans="1:10" ht="62.5">
      <c r="A680" s="250" t="s">
        <v>908</v>
      </c>
      <c r="B680" s="268" t="s">
        <v>312</v>
      </c>
      <c r="C680" s="268" t="s">
        <v>267</v>
      </c>
      <c r="D680" s="268" t="s">
        <v>922</v>
      </c>
      <c r="E680" s="268" t="s">
        <v>1176</v>
      </c>
      <c r="F680" s="122" t="s">
        <v>910</v>
      </c>
      <c r="G680" s="251" t="s">
        <v>1177</v>
      </c>
      <c r="H680" s="122" t="s">
        <v>274</v>
      </c>
      <c r="I680" s="122"/>
      <c r="J680" s="122" t="s">
        <v>906</v>
      </c>
    </row>
    <row r="681" spans="1:10">
      <c r="A681" s="122" t="s">
        <v>1136</v>
      </c>
      <c r="B681" s="122" t="s">
        <v>1178</v>
      </c>
      <c r="C681" s="122" t="s">
        <v>267</v>
      </c>
      <c r="D681" s="122" t="s">
        <v>686</v>
      </c>
      <c r="E681" s="122"/>
      <c r="F681" s="122" t="s">
        <v>910</v>
      </c>
      <c r="G681" s="251" t="s">
        <v>1178</v>
      </c>
      <c r="H681" s="122" t="s">
        <v>267</v>
      </c>
      <c r="I681" s="122" t="s">
        <v>1179</v>
      </c>
      <c r="J681" s="122" t="s">
        <v>906</v>
      </c>
    </row>
    <row r="682" spans="1:10">
      <c r="A682" s="250" t="s">
        <v>908</v>
      </c>
      <c r="B682" s="122" t="s">
        <v>1180</v>
      </c>
      <c r="C682" s="122" t="s">
        <v>280</v>
      </c>
      <c r="D682" s="122" t="s">
        <v>686</v>
      </c>
      <c r="E682" s="122"/>
      <c r="F682" s="122" t="s">
        <v>910</v>
      </c>
      <c r="G682" s="251" t="s">
        <v>1181</v>
      </c>
      <c r="H682" s="122" t="s">
        <v>280</v>
      </c>
      <c r="I682" s="122" t="s">
        <v>1182</v>
      </c>
      <c r="J682" s="122" t="s">
        <v>906</v>
      </c>
    </row>
    <row r="683" spans="1:10">
      <c r="A683" s="250" t="s">
        <v>908</v>
      </c>
      <c r="B683" s="122" t="s">
        <v>1183</v>
      </c>
      <c r="C683" s="122" t="s">
        <v>280</v>
      </c>
      <c r="D683" s="122" t="s">
        <v>686</v>
      </c>
      <c r="E683" s="122"/>
      <c r="F683" s="122" t="s">
        <v>910</v>
      </c>
      <c r="G683" s="251" t="s">
        <v>1184</v>
      </c>
      <c r="H683" s="122" t="s">
        <v>280</v>
      </c>
      <c r="I683" s="122" t="s">
        <v>1185</v>
      </c>
      <c r="J683" s="122" t="s">
        <v>906</v>
      </c>
    </row>
    <row r="684" spans="1:10">
      <c r="A684" s="250" t="s">
        <v>908</v>
      </c>
      <c r="B684" s="122" t="s">
        <v>1186</v>
      </c>
      <c r="C684" s="122" t="s">
        <v>280</v>
      </c>
      <c r="D684" s="122" t="s">
        <v>686</v>
      </c>
      <c r="E684" s="122"/>
      <c r="F684" s="122" t="s">
        <v>910</v>
      </c>
      <c r="G684" s="251" t="s">
        <v>1187</v>
      </c>
      <c r="H684" s="122" t="s">
        <v>280</v>
      </c>
      <c r="I684" s="122" t="s">
        <v>1188</v>
      </c>
      <c r="J684" s="122" t="s">
        <v>906</v>
      </c>
    </row>
    <row r="685" spans="1:10">
      <c r="A685" s="250" t="s">
        <v>908</v>
      </c>
      <c r="B685" s="122" t="s">
        <v>1189</v>
      </c>
      <c r="C685" s="122" t="s">
        <v>280</v>
      </c>
      <c r="D685" s="122" t="s">
        <v>686</v>
      </c>
      <c r="E685" s="122" t="s">
        <v>1190</v>
      </c>
      <c r="F685" s="122" t="s">
        <v>910</v>
      </c>
      <c r="G685" s="251" t="s">
        <v>1191</v>
      </c>
      <c r="H685" s="122" t="s">
        <v>280</v>
      </c>
      <c r="I685" s="122" t="s">
        <v>1192</v>
      </c>
      <c r="J685" s="122" t="s">
        <v>906</v>
      </c>
    </row>
    <row r="686" spans="1:10">
      <c r="A686" s="250" t="s">
        <v>908</v>
      </c>
      <c r="B686" s="122" t="s">
        <v>1189</v>
      </c>
      <c r="C686" s="122" t="s">
        <v>280</v>
      </c>
      <c r="D686" s="122" t="s">
        <v>922</v>
      </c>
      <c r="E686" s="122" t="s">
        <v>1193</v>
      </c>
      <c r="F686" s="122" t="s">
        <v>910</v>
      </c>
      <c r="G686" s="349" t="s">
        <v>1194</v>
      </c>
      <c r="H686" s="122" t="s">
        <v>280</v>
      </c>
      <c r="I686" s="122" t="s">
        <v>1195</v>
      </c>
      <c r="J686" s="122" t="s">
        <v>906</v>
      </c>
    </row>
    <row r="687" spans="1:10" ht="25">
      <c r="A687" s="250" t="s">
        <v>908</v>
      </c>
      <c r="B687" s="122" t="s">
        <v>1189</v>
      </c>
      <c r="C687" s="122" t="s">
        <v>280</v>
      </c>
      <c r="D687" s="122" t="s">
        <v>922</v>
      </c>
      <c r="E687" s="118" t="s">
        <v>1196</v>
      </c>
      <c r="F687" s="122" t="s">
        <v>910</v>
      </c>
      <c r="G687" s="349" t="s">
        <v>1197</v>
      </c>
      <c r="H687" s="122" t="s">
        <v>280</v>
      </c>
      <c r="I687" s="122" t="s">
        <v>1198</v>
      </c>
      <c r="J687" s="122" t="s">
        <v>906</v>
      </c>
    </row>
    <row r="688" spans="1:10" ht="25">
      <c r="A688" s="250" t="s">
        <v>908</v>
      </c>
      <c r="B688" s="122" t="s">
        <v>1189</v>
      </c>
      <c r="C688" s="122" t="s">
        <v>280</v>
      </c>
      <c r="D688" s="122" t="s">
        <v>922</v>
      </c>
      <c r="E688" s="118" t="s">
        <v>1199</v>
      </c>
      <c r="F688" s="122" t="s">
        <v>910</v>
      </c>
      <c r="G688" s="349" t="s">
        <v>1200</v>
      </c>
      <c r="H688" s="122" t="s">
        <v>280</v>
      </c>
      <c r="I688" s="122" t="s">
        <v>1201</v>
      </c>
      <c r="J688" s="122" t="s">
        <v>906</v>
      </c>
    </row>
    <row r="689" spans="1:19" ht="25">
      <c r="A689" s="353" t="s">
        <v>908</v>
      </c>
      <c r="B689" s="354" t="s">
        <v>1189</v>
      </c>
      <c r="C689" s="354" t="s">
        <v>280</v>
      </c>
      <c r="D689" s="354" t="s">
        <v>922</v>
      </c>
      <c r="E689" s="169" t="s">
        <v>1202</v>
      </c>
      <c r="F689" s="354" t="s">
        <v>910</v>
      </c>
      <c r="G689" s="355" t="s">
        <v>1203</v>
      </c>
      <c r="H689" s="354" t="s">
        <v>280</v>
      </c>
      <c r="I689" s="354" t="s">
        <v>1204</v>
      </c>
      <c r="J689" s="354" t="s">
        <v>906</v>
      </c>
    </row>
    <row r="690" spans="1:19" ht="25">
      <c r="A690" s="122"/>
      <c r="B690" s="122"/>
      <c r="C690" s="122"/>
      <c r="D690" s="122" t="s">
        <v>922</v>
      </c>
      <c r="E690" s="356" t="s">
        <v>1205</v>
      </c>
      <c r="F690" s="122" t="s">
        <v>910</v>
      </c>
      <c r="G690" s="115" t="s">
        <v>1206</v>
      </c>
      <c r="H690" s="122" t="s">
        <v>280</v>
      </c>
      <c r="I690" s="122" t="s">
        <v>1207</v>
      </c>
      <c r="J690" s="122" t="s">
        <v>906</v>
      </c>
    </row>
    <row r="691" spans="1:19" ht="27" customHeight="1">
      <c r="A691" s="490" t="s">
        <v>5226</v>
      </c>
      <c r="B691" s="491" t="s">
        <v>5227</v>
      </c>
      <c r="C691" s="491"/>
      <c r="D691" s="491" t="s">
        <v>686</v>
      </c>
      <c r="E691" s="491" t="s">
        <v>5229</v>
      </c>
      <c r="F691" s="451" t="s">
        <v>910</v>
      </c>
      <c r="G691" s="451" t="s">
        <v>5231</v>
      </c>
      <c r="H691" s="451" t="s">
        <v>267</v>
      </c>
      <c r="I691" s="451" t="str">
        <f>UPPER(G691)</f>
        <v>ROAMING_COUNTRY</v>
      </c>
      <c r="J691" s="451" t="s">
        <v>906</v>
      </c>
      <c r="K691" s="159"/>
      <c r="L691" s="159"/>
      <c r="M691" s="159"/>
      <c r="N691" s="159"/>
      <c r="O691" s="159"/>
      <c r="P691" s="159"/>
      <c r="Q691" s="159"/>
      <c r="R691" s="159"/>
      <c r="S691" s="159"/>
    </row>
    <row r="692" spans="1:19" ht="23.15" customHeight="1">
      <c r="A692" s="490" t="s">
        <v>5226</v>
      </c>
      <c r="B692" s="491" t="s">
        <v>5228</v>
      </c>
      <c r="C692" s="491"/>
      <c r="D692" s="491" t="s">
        <v>686</v>
      </c>
      <c r="E692" s="491" t="s">
        <v>5230</v>
      </c>
      <c r="F692" s="451" t="s">
        <v>910</v>
      </c>
      <c r="G692" s="451" t="s">
        <v>5232</v>
      </c>
      <c r="H692" s="451" t="s">
        <v>267</v>
      </c>
      <c r="I692" s="451" t="str">
        <f>UPPER(G692)</f>
        <v>ROAMING_OPERATOR</v>
      </c>
      <c r="J692" s="451" t="s">
        <v>906</v>
      </c>
      <c r="K692" s="159"/>
      <c r="L692" s="159"/>
      <c r="M692" s="159"/>
      <c r="N692" s="159"/>
      <c r="O692" s="159"/>
      <c r="P692" s="159"/>
      <c r="Q692" s="159"/>
      <c r="R692" s="159"/>
      <c r="S692" s="159"/>
    </row>
    <row r="693" spans="1:19" ht="23.15" customHeight="1">
      <c r="A693" s="451" t="s">
        <v>913</v>
      </c>
      <c r="B693" s="511" t="s">
        <v>5257</v>
      </c>
      <c r="C693" s="512" t="s">
        <v>1293</v>
      </c>
      <c r="D693" s="491" t="s">
        <v>686</v>
      </c>
      <c r="E693" s="511" t="s">
        <v>5257</v>
      </c>
      <c r="F693" s="451" t="s">
        <v>910</v>
      </c>
      <c r="G693" s="511" t="s">
        <v>5257</v>
      </c>
      <c r="H693" s="512" t="s">
        <v>1293</v>
      </c>
      <c r="I693" s="451" t="str">
        <f t="shared" ref="I693:I694" si="0">UPPER(G693)</f>
        <v>ROAMING_FLAG</v>
      </c>
      <c r="J693" s="451" t="s">
        <v>906</v>
      </c>
      <c r="K693" s="159"/>
      <c r="L693" s="159"/>
      <c r="M693" s="159"/>
      <c r="N693" s="159"/>
      <c r="O693" s="159"/>
      <c r="P693" s="159"/>
      <c r="Q693" s="159"/>
      <c r="R693" s="159"/>
      <c r="S693" s="159"/>
    </row>
    <row r="694" spans="1:19" ht="23.15" customHeight="1">
      <c r="A694" s="451" t="s">
        <v>913</v>
      </c>
      <c r="B694" s="511" t="s">
        <v>5258</v>
      </c>
      <c r="C694" s="512" t="s">
        <v>1292</v>
      </c>
      <c r="D694" s="491" t="s">
        <v>686</v>
      </c>
      <c r="E694" s="511" t="s">
        <v>5258</v>
      </c>
      <c r="F694" s="451" t="s">
        <v>910</v>
      </c>
      <c r="G694" s="511" t="s">
        <v>5258</v>
      </c>
      <c r="H694" s="512" t="s">
        <v>1292</v>
      </c>
      <c r="I694" s="451" t="str">
        <f t="shared" si="0"/>
        <v>CONSISTENT_ROAMING_MONTHS</v>
      </c>
      <c r="J694" s="451" t="s">
        <v>906</v>
      </c>
      <c r="K694" s="159"/>
      <c r="L694" s="159"/>
      <c r="M694" s="159"/>
      <c r="N694" s="159"/>
      <c r="O694" s="159"/>
      <c r="P694" s="159"/>
      <c r="Q694" s="159"/>
      <c r="R694" s="159"/>
      <c r="S694" s="159"/>
    </row>
    <row r="696" spans="1:19" ht="14">
      <c r="A696" s="543" t="s">
        <v>1208</v>
      </c>
      <c r="B696" s="543"/>
      <c r="C696" s="543"/>
      <c r="D696" s="543" t="s">
        <v>906</v>
      </c>
      <c r="E696" s="543"/>
      <c r="F696" s="543"/>
      <c r="G696" s="543"/>
      <c r="H696" s="543"/>
      <c r="I696" s="543"/>
      <c r="J696" s="543"/>
    </row>
    <row r="697" spans="1:19">
      <c r="A697" s="253"/>
      <c r="B697" s="253"/>
      <c r="C697" s="253"/>
      <c r="D697" s="253"/>
      <c r="E697" s="253"/>
      <c r="F697" s="253"/>
      <c r="G697" s="253"/>
      <c r="H697" s="253"/>
      <c r="I697" s="253"/>
      <c r="J697" s="253"/>
      <c r="K697" s="253"/>
      <c r="L697" s="253"/>
      <c r="M697" s="253"/>
      <c r="N697" s="253"/>
      <c r="O697" s="253"/>
      <c r="P697" s="253"/>
      <c r="Q697" s="253"/>
      <c r="R697" s="253"/>
    </row>
    <row r="698" spans="1:19" ht="13.4" customHeight="1">
      <c r="A698" s="553" t="s">
        <v>1209</v>
      </c>
      <c r="B698" s="553"/>
      <c r="C698" s="553"/>
      <c r="D698" s="157"/>
      <c r="E698" s="157"/>
      <c r="F698" s="157"/>
      <c r="G698" s="157"/>
      <c r="H698" s="157"/>
      <c r="I698" s="157"/>
      <c r="J698" s="157"/>
      <c r="S698" s="253"/>
    </row>
    <row r="699" spans="1:19">
      <c r="A699" s="553"/>
      <c r="B699" s="553"/>
      <c r="C699" s="553"/>
      <c r="D699" s="157"/>
      <c r="E699" s="157"/>
      <c r="F699" s="157"/>
      <c r="G699" s="157"/>
      <c r="H699" s="157"/>
      <c r="I699" s="157"/>
      <c r="J699" s="157"/>
      <c r="S699" s="253"/>
    </row>
    <row r="700" spans="1:19">
      <c r="A700" s="553"/>
      <c r="B700" s="553"/>
      <c r="C700" s="553"/>
      <c r="D700" s="157"/>
      <c r="E700" s="157"/>
      <c r="F700" s="157"/>
      <c r="G700" s="157"/>
      <c r="H700" s="157"/>
      <c r="I700" s="157"/>
      <c r="J700" s="157"/>
      <c r="S700" s="253"/>
    </row>
    <row r="701" spans="1:19" ht="134.5" customHeight="1">
      <c r="A701" s="553"/>
      <c r="B701" s="553"/>
      <c r="C701" s="553"/>
      <c r="D701" s="157"/>
      <c r="E701" s="157"/>
      <c r="F701" s="157"/>
      <c r="G701" s="157"/>
      <c r="H701" s="157"/>
      <c r="I701" s="157"/>
      <c r="J701" s="157"/>
      <c r="S701" s="253"/>
    </row>
    <row r="702" spans="1:19" ht="13">
      <c r="A702" s="259" t="s">
        <v>73</v>
      </c>
      <c r="B702" s="254" t="s">
        <v>74</v>
      </c>
      <c r="C702" s="255" t="s">
        <v>75</v>
      </c>
      <c r="D702" s="255" t="s">
        <v>76</v>
      </c>
      <c r="E702" s="256" t="s">
        <v>77</v>
      </c>
      <c r="F702" s="255" t="s">
        <v>78</v>
      </c>
      <c r="G702" s="255" t="s">
        <v>79</v>
      </c>
      <c r="H702" s="257" t="s">
        <v>80</v>
      </c>
      <c r="I702" s="255" t="s">
        <v>683</v>
      </c>
      <c r="J702" s="255" t="s">
        <v>261</v>
      </c>
      <c r="K702" s="253"/>
      <c r="L702" s="253"/>
      <c r="M702" s="253"/>
      <c r="N702" s="253"/>
      <c r="O702" s="253"/>
      <c r="P702" s="253"/>
      <c r="Q702" s="253"/>
      <c r="R702" s="253"/>
      <c r="S702" s="253"/>
    </row>
    <row r="703" spans="1:19">
      <c r="A703" s="261" t="s">
        <v>1210</v>
      </c>
      <c r="B703" s="261" t="s">
        <v>87</v>
      </c>
      <c r="C703" s="261" t="s">
        <v>274</v>
      </c>
      <c r="D703" s="261" t="s">
        <v>686</v>
      </c>
      <c r="E703" s="261" t="s">
        <v>909</v>
      </c>
      <c r="F703" s="261" t="s">
        <v>1211</v>
      </c>
      <c r="G703" s="261" t="s">
        <v>911</v>
      </c>
      <c r="H703" s="262" t="s">
        <v>262</v>
      </c>
      <c r="I703" s="261" t="s">
        <v>912</v>
      </c>
      <c r="J703" s="261" t="s">
        <v>1208</v>
      </c>
      <c r="K703" s="253"/>
      <c r="L703" s="253"/>
      <c r="M703" s="253"/>
      <c r="N703" s="253"/>
      <c r="O703" s="253"/>
      <c r="P703" s="253"/>
      <c r="Q703" s="253"/>
      <c r="R703" s="253"/>
      <c r="S703" s="253"/>
    </row>
    <row r="704" spans="1:19">
      <c r="A704" s="261" t="s">
        <v>913</v>
      </c>
      <c r="B704" s="261" t="s">
        <v>914</v>
      </c>
      <c r="C704" s="261" t="s">
        <v>267</v>
      </c>
      <c r="D704" s="261" t="s">
        <v>922</v>
      </c>
      <c r="E704" s="348"/>
      <c r="F704" s="261" t="s">
        <v>1211</v>
      </c>
      <c r="G704" s="261" t="s">
        <v>914</v>
      </c>
      <c r="H704" s="262" t="s">
        <v>267</v>
      </c>
      <c r="I704" s="261" t="s">
        <v>915</v>
      </c>
      <c r="J704" s="261" t="s">
        <v>1208</v>
      </c>
      <c r="K704" s="253"/>
      <c r="L704" s="253"/>
      <c r="M704" s="253"/>
      <c r="N704" s="253"/>
      <c r="O704" s="253"/>
      <c r="P704" s="253"/>
      <c r="Q704" s="253"/>
      <c r="R704" s="253"/>
      <c r="S704" s="253"/>
    </row>
    <row r="705" spans="1:19">
      <c r="A705" s="261" t="s">
        <v>913</v>
      </c>
      <c r="B705" s="261" t="s">
        <v>916</v>
      </c>
      <c r="C705" s="261" t="s">
        <v>267</v>
      </c>
      <c r="D705" s="261" t="s">
        <v>922</v>
      </c>
      <c r="E705" s="348"/>
      <c r="F705" s="261" t="s">
        <v>1211</v>
      </c>
      <c r="G705" s="261" t="s">
        <v>916</v>
      </c>
      <c r="H705" s="262" t="s">
        <v>267</v>
      </c>
      <c r="I705" s="261" t="s">
        <v>917</v>
      </c>
      <c r="J705" s="261" t="s">
        <v>1208</v>
      </c>
      <c r="K705" s="253"/>
      <c r="L705" s="253"/>
      <c r="M705" s="253"/>
      <c r="N705" s="253"/>
      <c r="O705" s="253"/>
      <c r="P705" s="253"/>
      <c r="Q705" s="253"/>
      <c r="R705" s="253"/>
      <c r="S705" s="253"/>
    </row>
    <row r="706" spans="1:19">
      <c r="A706" s="261" t="s">
        <v>913</v>
      </c>
      <c r="B706" s="261" t="s">
        <v>918</v>
      </c>
      <c r="C706" s="261" t="s">
        <v>267</v>
      </c>
      <c r="D706" s="261" t="s">
        <v>922</v>
      </c>
      <c r="E706" s="348"/>
      <c r="F706" s="261" t="s">
        <v>1211</v>
      </c>
      <c r="G706" s="261" t="s">
        <v>918</v>
      </c>
      <c r="H706" s="262" t="s">
        <v>267</v>
      </c>
      <c r="I706" s="261" t="s">
        <v>919</v>
      </c>
      <c r="J706" s="261" t="s">
        <v>1208</v>
      </c>
      <c r="K706" s="253"/>
      <c r="L706" s="253"/>
      <c r="M706" s="253"/>
      <c r="N706" s="253"/>
      <c r="O706" s="253"/>
      <c r="P706" s="253"/>
      <c r="Q706" s="253"/>
      <c r="R706" s="253"/>
      <c r="S706" s="253"/>
    </row>
    <row r="707" spans="1:19">
      <c r="A707" s="261" t="s">
        <v>913</v>
      </c>
      <c r="B707" s="261" t="s">
        <v>920</v>
      </c>
      <c r="C707" s="261" t="s">
        <v>267</v>
      </c>
      <c r="D707" s="261" t="s">
        <v>922</v>
      </c>
      <c r="E707" s="348"/>
      <c r="F707" s="261" t="s">
        <v>1211</v>
      </c>
      <c r="G707" s="261" t="s">
        <v>920</v>
      </c>
      <c r="H707" s="262" t="s">
        <v>267</v>
      </c>
      <c r="I707" s="261" t="s">
        <v>921</v>
      </c>
      <c r="J707" s="261" t="s">
        <v>1208</v>
      </c>
      <c r="K707" s="253"/>
      <c r="L707" s="253"/>
      <c r="M707" s="253"/>
      <c r="N707" s="253"/>
      <c r="O707" s="253"/>
      <c r="P707" s="253"/>
      <c r="Q707" s="253"/>
      <c r="R707" s="253"/>
      <c r="S707" s="253"/>
    </row>
    <row r="708" spans="1:19" ht="25">
      <c r="A708" s="261" t="s">
        <v>1210</v>
      </c>
      <c r="B708" s="261" t="s">
        <v>312</v>
      </c>
      <c r="C708" s="261" t="s">
        <v>267</v>
      </c>
      <c r="D708" s="261" t="s">
        <v>922</v>
      </c>
      <c r="E708" s="158" t="s">
        <v>923</v>
      </c>
      <c r="F708" s="261" t="s">
        <v>1211</v>
      </c>
      <c r="G708" s="261" t="s">
        <v>924</v>
      </c>
      <c r="H708" s="262" t="s">
        <v>267</v>
      </c>
      <c r="I708" s="261" t="s">
        <v>925</v>
      </c>
      <c r="J708" s="261" t="s">
        <v>1208</v>
      </c>
      <c r="K708" s="253"/>
      <c r="L708" s="253"/>
      <c r="M708" s="253"/>
      <c r="N708" s="253"/>
      <c r="O708" s="253"/>
      <c r="P708" s="253"/>
      <c r="Q708" s="253"/>
      <c r="R708" s="253"/>
      <c r="S708" s="253"/>
    </row>
    <row r="709" spans="1:19">
      <c r="A709" s="261" t="s">
        <v>1210</v>
      </c>
      <c r="B709" s="261" t="s">
        <v>312</v>
      </c>
      <c r="C709" s="261" t="s">
        <v>267</v>
      </c>
      <c r="D709" s="261" t="s">
        <v>922</v>
      </c>
      <c r="E709" s="158" t="s">
        <v>926</v>
      </c>
      <c r="F709" s="261" t="s">
        <v>1211</v>
      </c>
      <c r="G709" s="261" t="s">
        <v>927</v>
      </c>
      <c r="H709" s="262" t="s">
        <v>267</v>
      </c>
      <c r="I709" s="261" t="s">
        <v>928</v>
      </c>
      <c r="J709" s="261" t="s">
        <v>1208</v>
      </c>
      <c r="K709" s="253"/>
      <c r="L709" s="253"/>
      <c r="M709" s="253"/>
      <c r="N709" s="253"/>
      <c r="O709" s="253"/>
      <c r="P709" s="253"/>
      <c r="Q709" s="253"/>
      <c r="R709" s="253"/>
      <c r="S709" s="253"/>
    </row>
    <row r="710" spans="1:19">
      <c r="A710" s="261" t="s">
        <v>913</v>
      </c>
      <c r="B710" s="261" t="s">
        <v>929</v>
      </c>
      <c r="C710" s="261" t="s">
        <v>267</v>
      </c>
      <c r="D710" s="261" t="s">
        <v>686</v>
      </c>
      <c r="E710" s="261"/>
      <c r="F710" s="261" t="s">
        <v>1211</v>
      </c>
      <c r="G710" s="261" t="s">
        <v>929</v>
      </c>
      <c r="H710" s="262" t="s">
        <v>267</v>
      </c>
      <c r="I710" s="261" t="s">
        <v>930</v>
      </c>
      <c r="J710" s="261" t="s">
        <v>1208</v>
      </c>
      <c r="K710" s="253"/>
      <c r="L710" s="253"/>
      <c r="M710" s="253"/>
      <c r="N710" s="253"/>
      <c r="O710" s="253"/>
      <c r="P710" s="253"/>
      <c r="Q710" s="253"/>
      <c r="R710" s="253"/>
      <c r="S710" s="253"/>
    </row>
    <row r="711" spans="1:19">
      <c r="A711" s="261" t="s">
        <v>913</v>
      </c>
      <c r="B711" s="261" t="s">
        <v>931</v>
      </c>
      <c r="C711" s="261" t="s">
        <v>267</v>
      </c>
      <c r="D711" s="261" t="s">
        <v>686</v>
      </c>
      <c r="E711" s="261"/>
      <c r="F711" s="261" t="s">
        <v>1211</v>
      </c>
      <c r="G711" s="261" t="s">
        <v>931</v>
      </c>
      <c r="H711" s="262" t="s">
        <v>267</v>
      </c>
      <c r="I711" s="261" t="s">
        <v>932</v>
      </c>
      <c r="J711" s="261" t="s">
        <v>1208</v>
      </c>
      <c r="K711" s="253"/>
      <c r="L711" s="253"/>
      <c r="M711" s="253"/>
      <c r="N711" s="253"/>
      <c r="O711" s="253"/>
      <c r="P711" s="253"/>
      <c r="Q711" s="253"/>
      <c r="R711" s="253"/>
      <c r="S711" s="253"/>
    </row>
    <row r="712" spans="1:19">
      <c r="A712" s="261" t="s">
        <v>913</v>
      </c>
      <c r="B712" s="261" t="s">
        <v>933</v>
      </c>
      <c r="C712" s="261" t="s">
        <v>267</v>
      </c>
      <c r="D712" s="261" t="s">
        <v>686</v>
      </c>
      <c r="E712" s="261"/>
      <c r="F712" s="261" t="s">
        <v>1211</v>
      </c>
      <c r="G712" s="261" t="s">
        <v>933</v>
      </c>
      <c r="H712" s="262" t="s">
        <v>267</v>
      </c>
      <c r="I712" s="261" t="s">
        <v>934</v>
      </c>
      <c r="J712" s="261" t="s">
        <v>1208</v>
      </c>
      <c r="K712" s="253"/>
      <c r="L712" s="253"/>
      <c r="M712" s="253"/>
      <c r="N712" s="253"/>
      <c r="O712" s="253"/>
      <c r="P712" s="253"/>
      <c r="Q712" s="253"/>
      <c r="R712" s="253"/>
      <c r="S712" s="253"/>
    </row>
    <row r="713" spans="1:19">
      <c r="A713" s="261" t="s">
        <v>913</v>
      </c>
      <c r="B713" s="261" t="s">
        <v>935</v>
      </c>
      <c r="C713" s="261" t="s">
        <v>267</v>
      </c>
      <c r="D713" s="261" t="s">
        <v>686</v>
      </c>
      <c r="E713" s="261"/>
      <c r="F713" s="261" t="s">
        <v>1211</v>
      </c>
      <c r="G713" s="261" t="s">
        <v>935</v>
      </c>
      <c r="H713" s="262" t="s">
        <v>267</v>
      </c>
      <c r="I713" s="261" t="s">
        <v>936</v>
      </c>
      <c r="J713" s="261" t="s">
        <v>1208</v>
      </c>
      <c r="K713" s="253"/>
      <c r="L713" s="253"/>
      <c r="M713" s="253"/>
      <c r="N713" s="253"/>
      <c r="O713" s="253"/>
      <c r="P713" s="253"/>
      <c r="Q713" s="253"/>
      <c r="R713" s="253"/>
      <c r="S713" s="253"/>
    </row>
    <row r="714" spans="1:19">
      <c r="A714" s="261" t="s">
        <v>913</v>
      </c>
      <c r="B714" s="261" t="s">
        <v>937</v>
      </c>
      <c r="C714" s="261" t="s">
        <v>267</v>
      </c>
      <c r="D714" s="261" t="s">
        <v>686</v>
      </c>
      <c r="E714" s="261"/>
      <c r="F714" s="261" t="s">
        <v>1211</v>
      </c>
      <c r="G714" s="261" t="s">
        <v>937</v>
      </c>
      <c r="H714" s="262" t="s">
        <v>267</v>
      </c>
      <c r="I714" s="261" t="s">
        <v>938</v>
      </c>
      <c r="J714" s="261" t="s">
        <v>1208</v>
      </c>
      <c r="K714" s="253"/>
      <c r="L714" s="253"/>
      <c r="M714" s="253"/>
      <c r="N714" s="253"/>
      <c r="O714" s="253"/>
      <c r="P714" s="253"/>
      <c r="Q714" s="253"/>
      <c r="R714" s="253"/>
      <c r="S714" s="253"/>
    </row>
    <row r="715" spans="1:19">
      <c r="A715" s="261" t="s">
        <v>913</v>
      </c>
      <c r="B715" s="261" t="s">
        <v>939</v>
      </c>
      <c r="C715" s="261" t="s">
        <v>267</v>
      </c>
      <c r="D715" s="261" t="s">
        <v>686</v>
      </c>
      <c r="E715" s="261"/>
      <c r="F715" s="261" t="s">
        <v>1211</v>
      </c>
      <c r="G715" s="261" t="s">
        <v>939</v>
      </c>
      <c r="H715" s="262" t="s">
        <v>267</v>
      </c>
      <c r="I715" s="261" t="s">
        <v>940</v>
      </c>
      <c r="J715" s="261" t="s">
        <v>1208</v>
      </c>
      <c r="K715" s="253"/>
      <c r="L715" s="253"/>
      <c r="M715" s="253"/>
      <c r="N715" s="253"/>
      <c r="O715" s="253"/>
      <c r="P715" s="253"/>
      <c r="Q715" s="253"/>
      <c r="R715" s="253"/>
      <c r="S715" s="253"/>
    </row>
    <row r="716" spans="1:19">
      <c r="A716" s="261" t="s">
        <v>913</v>
      </c>
      <c r="B716" s="261" t="s">
        <v>941</v>
      </c>
      <c r="C716" s="261" t="s">
        <v>267</v>
      </c>
      <c r="D716" s="261" t="s">
        <v>686</v>
      </c>
      <c r="E716" s="261"/>
      <c r="F716" s="261" t="s">
        <v>1211</v>
      </c>
      <c r="G716" s="261" t="s">
        <v>941</v>
      </c>
      <c r="H716" s="262" t="s">
        <v>267</v>
      </c>
      <c r="I716" s="261" t="s">
        <v>942</v>
      </c>
      <c r="J716" s="261" t="s">
        <v>1208</v>
      </c>
      <c r="K716" s="253"/>
      <c r="L716" s="253"/>
      <c r="M716" s="253"/>
      <c r="N716" s="253"/>
      <c r="O716" s="253"/>
      <c r="P716" s="253"/>
      <c r="Q716" s="253"/>
      <c r="R716" s="253"/>
      <c r="S716" s="253"/>
    </row>
    <row r="717" spans="1:19">
      <c r="A717" s="261" t="s">
        <v>913</v>
      </c>
      <c r="B717" s="261" t="s">
        <v>943</v>
      </c>
      <c r="C717" s="261" t="s">
        <v>267</v>
      </c>
      <c r="D717" s="261" t="s">
        <v>686</v>
      </c>
      <c r="E717" s="261"/>
      <c r="F717" s="261" t="s">
        <v>1211</v>
      </c>
      <c r="G717" s="261" t="s">
        <v>943</v>
      </c>
      <c r="H717" s="262" t="s">
        <v>267</v>
      </c>
      <c r="I717" s="261" t="s">
        <v>944</v>
      </c>
      <c r="J717" s="261" t="s">
        <v>1208</v>
      </c>
      <c r="K717" s="253"/>
      <c r="L717" s="253"/>
      <c r="M717" s="253"/>
      <c r="N717" s="253"/>
      <c r="O717" s="253"/>
      <c r="P717" s="253"/>
      <c r="Q717" s="253"/>
      <c r="R717" s="253"/>
      <c r="S717" s="253"/>
    </row>
    <row r="718" spans="1:19">
      <c r="A718" s="261" t="s">
        <v>913</v>
      </c>
      <c r="B718" s="261" t="s">
        <v>945</v>
      </c>
      <c r="C718" s="261" t="s">
        <v>267</v>
      </c>
      <c r="D718" s="261" t="s">
        <v>686</v>
      </c>
      <c r="E718" s="261"/>
      <c r="F718" s="261" t="s">
        <v>1211</v>
      </c>
      <c r="G718" s="261" t="s">
        <v>945</v>
      </c>
      <c r="H718" s="262" t="s">
        <v>267</v>
      </c>
      <c r="I718" s="261" t="s">
        <v>946</v>
      </c>
      <c r="J718" s="261" t="s">
        <v>1208</v>
      </c>
      <c r="K718" s="253"/>
      <c r="L718" s="253"/>
      <c r="M718" s="253"/>
      <c r="N718" s="253"/>
      <c r="O718" s="253"/>
      <c r="P718" s="253"/>
      <c r="Q718" s="253"/>
      <c r="R718" s="253"/>
      <c r="S718" s="253"/>
    </row>
    <row r="719" spans="1:19">
      <c r="A719" s="261" t="s">
        <v>913</v>
      </c>
      <c r="B719" s="261" t="s">
        <v>947</v>
      </c>
      <c r="C719" s="261" t="s">
        <v>267</v>
      </c>
      <c r="D719" s="261" t="s">
        <v>686</v>
      </c>
      <c r="E719" s="261"/>
      <c r="F719" s="261" t="s">
        <v>1211</v>
      </c>
      <c r="G719" s="261" t="s">
        <v>947</v>
      </c>
      <c r="H719" s="262" t="s">
        <v>267</v>
      </c>
      <c r="I719" s="261" t="s">
        <v>948</v>
      </c>
      <c r="J719" s="261" t="s">
        <v>1208</v>
      </c>
      <c r="K719" s="253"/>
      <c r="L719" s="253"/>
      <c r="M719" s="253"/>
      <c r="N719" s="253"/>
      <c r="O719" s="253"/>
      <c r="P719" s="253"/>
      <c r="Q719" s="253"/>
      <c r="R719" s="253"/>
      <c r="S719" s="253"/>
    </row>
    <row r="720" spans="1:19">
      <c r="A720" s="261" t="s">
        <v>913</v>
      </c>
      <c r="B720" s="261" t="s">
        <v>949</v>
      </c>
      <c r="C720" s="261" t="s">
        <v>267</v>
      </c>
      <c r="D720" s="261" t="s">
        <v>686</v>
      </c>
      <c r="E720" s="261"/>
      <c r="F720" s="261" t="s">
        <v>1211</v>
      </c>
      <c r="G720" s="261" t="s">
        <v>949</v>
      </c>
      <c r="H720" s="262" t="s">
        <v>267</v>
      </c>
      <c r="I720" s="261" t="s">
        <v>950</v>
      </c>
      <c r="J720" s="261" t="s">
        <v>1208</v>
      </c>
      <c r="K720" s="253"/>
      <c r="L720" s="253"/>
      <c r="M720" s="253"/>
      <c r="N720" s="253"/>
      <c r="O720" s="253"/>
      <c r="P720" s="253"/>
      <c r="Q720" s="253"/>
      <c r="R720" s="253"/>
      <c r="S720" s="253"/>
    </row>
    <row r="721" spans="1:19">
      <c r="A721" s="261" t="s">
        <v>913</v>
      </c>
      <c r="B721" s="261" t="s">
        <v>951</v>
      </c>
      <c r="C721" s="261" t="s">
        <v>267</v>
      </c>
      <c r="D721" s="261" t="s">
        <v>686</v>
      </c>
      <c r="E721" s="261"/>
      <c r="F721" s="261" t="s">
        <v>1211</v>
      </c>
      <c r="G721" s="261" t="s">
        <v>951</v>
      </c>
      <c r="H721" s="262" t="s">
        <v>267</v>
      </c>
      <c r="I721" s="261" t="s">
        <v>952</v>
      </c>
      <c r="J721" s="261" t="s">
        <v>1208</v>
      </c>
      <c r="K721" s="253"/>
      <c r="L721" s="253"/>
      <c r="M721" s="253"/>
      <c r="N721" s="253"/>
      <c r="O721" s="253"/>
      <c r="P721" s="253"/>
      <c r="Q721" s="253"/>
      <c r="R721" s="253"/>
      <c r="S721" s="253"/>
    </row>
    <row r="722" spans="1:19">
      <c r="A722" s="261" t="s">
        <v>913</v>
      </c>
      <c r="B722" s="261" t="s">
        <v>953</v>
      </c>
      <c r="C722" s="261" t="s">
        <v>267</v>
      </c>
      <c r="D722" s="261" t="s">
        <v>686</v>
      </c>
      <c r="E722" s="261"/>
      <c r="F722" s="261" t="s">
        <v>1211</v>
      </c>
      <c r="G722" s="261" t="s">
        <v>953</v>
      </c>
      <c r="H722" s="262" t="s">
        <v>267</v>
      </c>
      <c r="I722" s="261" t="s">
        <v>954</v>
      </c>
      <c r="J722" s="261" t="s">
        <v>1208</v>
      </c>
      <c r="K722" s="253"/>
      <c r="L722" s="253"/>
      <c r="M722" s="253"/>
      <c r="N722" s="253"/>
      <c r="O722" s="253"/>
      <c r="P722" s="253"/>
      <c r="Q722" s="253"/>
      <c r="R722" s="253"/>
      <c r="S722" s="253"/>
    </row>
    <row r="723" spans="1:19">
      <c r="A723" s="261" t="s">
        <v>913</v>
      </c>
      <c r="B723" s="261" t="s">
        <v>955</v>
      </c>
      <c r="C723" s="261" t="s">
        <v>267</v>
      </c>
      <c r="D723" s="261" t="s">
        <v>686</v>
      </c>
      <c r="E723" s="261"/>
      <c r="F723" s="261" t="s">
        <v>1211</v>
      </c>
      <c r="G723" s="261" t="s">
        <v>955</v>
      </c>
      <c r="H723" s="262" t="s">
        <v>267</v>
      </c>
      <c r="I723" s="261" t="s">
        <v>956</v>
      </c>
      <c r="J723" s="261" t="s">
        <v>1208</v>
      </c>
      <c r="K723" s="253"/>
      <c r="L723" s="253"/>
      <c r="M723" s="253"/>
      <c r="N723" s="253"/>
      <c r="O723" s="253"/>
      <c r="P723" s="253"/>
      <c r="Q723" s="253"/>
      <c r="R723" s="253"/>
      <c r="S723" s="253"/>
    </row>
    <row r="724" spans="1:19">
      <c r="A724" s="261" t="s">
        <v>913</v>
      </c>
      <c r="B724" s="261" t="s">
        <v>957</v>
      </c>
      <c r="C724" s="261" t="s">
        <v>267</v>
      </c>
      <c r="D724" s="261" t="s">
        <v>686</v>
      </c>
      <c r="E724" s="261"/>
      <c r="F724" s="261" t="s">
        <v>1211</v>
      </c>
      <c r="G724" s="261" t="s">
        <v>957</v>
      </c>
      <c r="H724" s="262" t="s">
        <v>267</v>
      </c>
      <c r="I724" s="261" t="s">
        <v>958</v>
      </c>
      <c r="J724" s="261" t="s">
        <v>1208</v>
      </c>
      <c r="K724" s="253"/>
      <c r="L724" s="253"/>
      <c r="M724" s="253"/>
      <c r="N724" s="253"/>
      <c r="O724" s="253"/>
      <c r="P724" s="253"/>
      <c r="Q724" s="253"/>
      <c r="R724" s="253"/>
      <c r="S724" s="253"/>
    </row>
    <row r="725" spans="1:19">
      <c r="A725" s="261" t="s">
        <v>913</v>
      </c>
      <c r="B725" s="261" t="s">
        <v>959</v>
      </c>
      <c r="C725" s="261" t="s">
        <v>267</v>
      </c>
      <c r="D725" s="261" t="s">
        <v>686</v>
      </c>
      <c r="E725" s="261"/>
      <c r="F725" s="261" t="s">
        <v>1211</v>
      </c>
      <c r="G725" s="261" t="s">
        <v>959</v>
      </c>
      <c r="H725" s="262" t="s">
        <v>267</v>
      </c>
      <c r="I725" s="261" t="s">
        <v>960</v>
      </c>
      <c r="J725" s="261" t="s">
        <v>1208</v>
      </c>
      <c r="K725" s="253"/>
      <c r="L725" s="253"/>
      <c r="M725" s="253"/>
      <c r="N725" s="253"/>
      <c r="O725" s="253"/>
      <c r="P725" s="253"/>
      <c r="Q725" s="253"/>
      <c r="R725" s="253"/>
      <c r="S725" s="253"/>
    </row>
    <row r="726" spans="1:19">
      <c r="A726" s="261" t="s">
        <v>913</v>
      </c>
      <c r="B726" s="261" t="s">
        <v>961</v>
      </c>
      <c r="C726" s="261" t="s">
        <v>267</v>
      </c>
      <c r="D726" s="261" t="s">
        <v>686</v>
      </c>
      <c r="E726" s="261"/>
      <c r="F726" s="261" t="s">
        <v>1211</v>
      </c>
      <c r="G726" s="261" t="s">
        <v>961</v>
      </c>
      <c r="H726" s="262" t="s">
        <v>267</v>
      </c>
      <c r="I726" s="261" t="s">
        <v>962</v>
      </c>
      <c r="J726" s="261" t="s">
        <v>1208</v>
      </c>
      <c r="K726" s="253"/>
      <c r="L726" s="253"/>
      <c r="M726" s="253"/>
      <c r="N726" s="253"/>
      <c r="O726" s="253"/>
      <c r="P726" s="253"/>
      <c r="Q726" s="253"/>
      <c r="R726" s="253"/>
      <c r="S726" s="253"/>
    </row>
    <row r="727" spans="1:19">
      <c r="A727" s="261" t="s">
        <v>913</v>
      </c>
      <c r="B727" s="261" t="s">
        <v>963</v>
      </c>
      <c r="C727" s="261" t="s">
        <v>267</v>
      </c>
      <c r="D727" s="261" t="s">
        <v>686</v>
      </c>
      <c r="E727" s="261"/>
      <c r="F727" s="261" t="s">
        <v>1211</v>
      </c>
      <c r="G727" s="261" t="s">
        <v>963</v>
      </c>
      <c r="H727" s="262" t="s">
        <v>267</v>
      </c>
      <c r="I727" s="261" t="s">
        <v>964</v>
      </c>
      <c r="J727" s="261" t="s">
        <v>1208</v>
      </c>
      <c r="K727" s="253"/>
      <c r="L727" s="253"/>
      <c r="M727" s="253"/>
      <c r="N727" s="253"/>
      <c r="O727" s="253"/>
      <c r="P727" s="253"/>
      <c r="Q727" s="253"/>
      <c r="R727" s="253"/>
      <c r="S727" s="253"/>
    </row>
    <row r="728" spans="1:19">
      <c r="A728" s="261" t="s">
        <v>913</v>
      </c>
      <c r="B728" s="261" t="s">
        <v>965</v>
      </c>
      <c r="C728" s="261" t="s">
        <v>267</v>
      </c>
      <c r="D728" s="261" t="s">
        <v>686</v>
      </c>
      <c r="E728" s="261"/>
      <c r="F728" s="261" t="s">
        <v>1211</v>
      </c>
      <c r="G728" s="261" t="s">
        <v>965</v>
      </c>
      <c r="H728" s="262" t="s">
        <v>267</v>
      </c>
      <c r="I728" s="261" t="s">
        <v>966</v>
      </c>
      <c r="J728" s="261" t="s">
        <v>1208</v>
      </c>
      <c r="K728" s="253"/>
      <c r="L728" s="253"/>
      <c r="M728" s="253"/>
      <c r="N728" s="253"/>
      <c r="O728" s="253"/>
      <c r="P728" s="253"/>
      <c r="Q728" s="253"/>
      <c r="R728" s="253"/>
      <c r="S728" s="253"/>
    </row>
    <row r="729" spans="1:19">
      <c r="A729" s="261" t="s">
        <v>913</v>
      </c>
      <c r="B729" s="261" t="s">
        <v>967</v>
      </c>
      <c r="C729" s="261" t="s">
        <v>267</v>
      </c>
      <c r="D729" s="261" t="s">
        <v>686</v>
      </c>
      <c r="E729" s="261"/>
      <c r="F729" s="261" t="s">
        <v>1211</v>
      </c>
      <c r="G729" s="261" t="s">
        <v>967</v>
      </c>
      <c r="H729" s="262" t="s">
        <v>267</v>
      </c>
      <c r="I729" s="261" t="s">
        <v>968</v>
      </c>
      <c r="J729" s="261" t="s">
        <v>1208</v>
      </c>
      <c r="K729" s="253"/>
      <c r="L729" s="253"/>
      <c r="M729" s="253"/>
      <c r="N729" s="253"/>
      <c r="O729" s="253"/>
      <c r="P729" s="253"/>
      <c r="Q729" s="253"/>
      <c r="R729" s="253"/>
      <c r="S729" s="253"/>
    </row>
    <row r="730" spans="1:19">
      <c r="A730" s="261" t="s">
        <v>913</v>
      </c>
      <c r="B730" s="261" t="s">
        <v>969</v>
      </c>
      <c r="C730" s="261" t="s">
        <v>267</v>
      </c>
      <c r="D730" s="261" t="s">
        <v>686</v>
      </c>
      <c r="E730" s="261"/>
      <c r="F730" s="261" t="s">
        <v>1211</v>
      </c>
      <c r="G730" s="261" t="s">
        <v>969</v>
      </c>
      <c r="H730" s="262" t="s">
        <v>267</v>
      </c>
      <c r="I730" s="261" t="s">
        <v>970</v>
      </c>
      <c r="J730" s="261" t="s">
        <v>1208</v>
      </c>
      <c r="K730" s="253"/>
      <c r="L730" s="253"/>
      <c r="M730" s="253"/>
      <c r="N730" s="253"/>
      <c r="O730" s="253"/>
      <c r="P730" s="253"/>
      <c r="Q730" s="253"/>
      <c r="R730" s="253"/>
      <c r="S730" s="253"/>
    </row>
    <row r="731" spans="1:19">
      <c r="A731" s="261" t="s">
        <v>913</v>
      </c>
      <c r="B731" s="261" t="s">
        <v>971</v>
      </c>
      <c r="C731" s="261" t="s">
        <v>267</v>
      </c>
      <c r="D731" s="261" t="s">
        <v>686</v>
      </c>
      <c r="E731" s="261"/>
      <c r="F731" s="261" t="s">
        <v>1211</v>
      </c>
      <c r="G731" s="261" t="s">
        <v>971</v>
      </c>
      <c r="H731" s="262" t="s">
        <v>267</v>
      </c>
      <c r="I731" s="261" t="s">
        <v>972</v>
      </c>
      <c r="J731" s="261" t="s">
        <v>1208</v>
      </c>
      <c r="K731" s="253"/>
      <c r="L731" s="253"/>
      <c r="M731" s="253"/>
      <c r="N731" s="253"/>
      <c r="O731" s="253"/>
      <c r="P731" s="253"/>
      <c r="Q731" s="253"/>
      <c r="R731" s="253"/>
      <c r="S731" s="253"/>
    </row>
    <row r="732" spans="1:19">
      <c r="A732" s="261" t="s">
        <v>913</v>
      </c>
      <c r="B732" s="261" t="s">
        <v>973</v>
      </c>
      <c r="C732" s="261" t="s">
        <v>267</v>
      </c>
      <c r="D732" s="261" t="s">
        <v>686</v>
      </c>
      <c r="E732" s="261"/>
      <c r="F732" s="261" t="s">
        <v>1211</v>
      </c>
      <c r="G732" s="261" t="s">
        <v>973</v>
      </c>
      <c r="H732" s="262" t="s">
        <v>267</v>
      </c>
      <c r="I732" s="261" t="s">
        <v>974</v>
      </c>
      <c r="J732" s="261" t="s">
        <v>1208</v>
      </c>
      <c r="K732" s="253"/>
      <c r="L732" s="253"/>
      <c r="M732" s="253"/>
      <c r="N732" s="253"/>
      <c r="O732" s="253"/>
      <c r="P732" s="253"/>
      <c r="Q732" s="253"/>
      <c r="R732" s="253"/>
      <c r="S732" s="253"/>
    </row>
    <row r="733" spans="1:19">
      <c r="A733" s="261" t="s">
        <v>913</v>
      </c>
      <c r="B733" s="261" t="s">
        <v>975</v>
      </c>
      <c r="C733" s="261" t="s">
        <v>267</v>
      </c>
      <c r="D733" s="261" t="s">
        <v>686</v>
      </c>
      <c r="E733" s="261"/>
      <c r="F733" s="261" t="s">
        <v>1211</v>
      </c>
      <c r="G733" s="261" t="s">
        <v>975</v>
      </c>
      <c r="H733" s="262" t="s">
        <v>267</v>
      </c>
      <c r="I733" s="261" t="s">
        <v>976</v>
      </c>
      <c r="J733" s="261" t="s">
        <v>1208</v>
      </c>
      <c r="K733" s="253"/>
      <c r="L733" s="253"/>
      <c r="M733" s="253"/>
      <c r="N733" s="253"/>
      <c r="O733" s="253"/>
      <c r="P733" s="253"/>
      <c r="Q733" s="253"/>
      <c r="R733" s="253"/>
      <c r="S733" s="253"/>
    </row>
    <row r="734" spans="1:19">
      <c r="A734" s="261" t="s">
        <v>913</v>
      </c>
      <c r="B734" s="261" t="s">
        <v>977</v>
      </c>
      <c r="C734" s="261" t="s">
        <v>267</v>
      </c>
      <c r="D734" s="261" t="s">
        <v>686</v>
      </c>
      <c r="E734" s="261"/>
      <c r="F734" s="261" t="s">
        <v>1211</v>
      </c>
      <c r="G734" s="261" t="s">
        <v>977</v>
      </c>
      <c r="H734" s="262" t="s">
        <v>267</v>
      </c>
      <c r="I734" s="261" t="s">
        <v>978</v>
      </c>
      <c r="J734" s="261" t="s">
        <v>1208</v>
      </c>
      <c r="K734" s="253"/>
      <c r="L734" s="253"/>
      <c r="M734" s="253"/>
      <c r="N734" s="253"/>
      <c r="O734" s="253"/>
      <c r="P734" s="253"/>
      <c r="Q734" s="253"/>
      <c r="R734" s="253"/>
      <c r="S734" s="253"/>
    </row>
    <row r="735" spans="1:19">
      <c r="A735" s="261" t="s">
        <v>913</v>
      </c>
      <c r="B735" s="261" t="s">
        <v>979</v>
      </c>
      <c r="C735" s="261" t="s">
        <v>267</v>
      </c>
      <c r="D735" s="261" t="s">
        <v>686</v>
      </c>
      <c r="E735" s="261"/>
      <c r="F735" s="261" t="s">
        <v>1211</v>
      </c>
      <c r="G735" s="261" t="s">
        <v>979</v>
      </c>
      <c r="H735" s="262" t="s">
        <v>267</v>
      </c>
      <c r="I735" s="261" t="s">
        <v>980</v>
      </c>
      <c r="J735" s="261" t="s">
        <v>1208</v>
      </c>
      <c r="K735" s="253"/>
      <c r="L735" s="253"/>
      <c r="M735" s="253"/>
      <c r="N735" s="253"/>
      <c r="O735" s="253"/>
      <c r="P735" s="253"/>
      <c r="Q735" s="253"/>
      <c r="R735" s="253"/>
      <c r="S735" s="253"/>
    </row>
    <row r="736" spans="1:19">
      <c r="A736" s="261" t="s">
        <v>913</v>
      </c>
      <c r="B736" s="261" t="s">
        <v>981</v>
      </c>
      <c r="C736" s="261" t="s">
        <v>267</v>
      </c>
      <c r="D736" s="261" t="s">
        <v>686</v>
      </c>
      <c r="E736" s="261"/>
      <c r="F736" s="261" t="s">
        <v>1211</v>
      </c>
      <c r="G736" s="261" t="s">
        <v>981</v>
      </c>
      <c r="H736" s="262" t="s">
        <v>267</v>
      </c>
      <c r="I736" s="261" t="s">
        <v>982</v>
      </c>
      <c r="J736" s="261" t="s">
        <v>1208</v>
      </c>
      <c r="K736" s="253"/>
      <c r="L736" s="253"/>
      <c r="M736" s="253"/>
      <c r="N736" s="253"/>
      <c r="O736" s="253"/>
      <c r="P736" s="253"/>
      <c r="Q736" s="253"/>
      <c r="R736" s="253"/>
      <c r="S736" s="253"/>
    </row>
    <row r="737" spans="1:19">
      <c r="A737" s="261" t="s">
        <v>913</v>
      </c>
      <c r="B737" s="261" t="s">
        <v>983</v>
      </c>
      <c r="C737" s="261" t="s">
        <v>267</v>
      </c>
      <c r="D737" s="261" t="s">
        <v>686</v>
      </c>
      <c r="E737" s="261"/>
      <c r="F737" s="261" t="s">
        <v>1211</v>
      </c>
      <c r="G737" s="261" t="s">
        <v>983</v>
      </c>
      <c r="H737" s="262" t="s">
        <v>267</v>
      </c>
      <c r="I737" s="261" t="s">
        <v>984</v>
      </c>
      <c r="J737" s="261" t="s">
        <v>1208</v>
      </c>
      <c r="K737" s="253"/>
      <c r="L737" s="253"/>
      <c r="M737" s="253"/>
      <c r="N737" s="253"/>
      <c r="O737" s="253"/>
      <c r="P737" s="253"/>
      <c r="Q737" s="253"/>
      <c r="R737" s="253"/>
      <c r="S737" s="253"/>
    </row>
    <row r="738" spans="1:19">
      <c r="A738" s="261" t="s">
        <v>913</v>
      </c>
      <c r="B738" s="261" t="s">
        <v>985</v>
      </c>
      <c r="C738" s="261" t="s">
        <v>267</v>
      </c>
      <c r="D738" s="261" t="s">
        <v>686</v>
      </c>
      <c r="E738" s="261"/>
      <c r="F738" s="261" t="s">
        <v>1211</v>
      </c>
      <c r="G738" s="261" t="s">
        <v>985</v>
      </c>
      <c r="H738" s="262" t="s">
        <v>267</v>
      </c>
      <c r="I738" s="261" t="s">
        <v>986</v>
      </c>
      <c r="J738" s="261" t="s">
        <v>1208</v>
      </c>
      <c r="K738" s="253"/>
      <c r="L738" s="253"/>
      <c r="M738" s="253"/>
      <c r="N738" s="253"/>
      <c r="O738" s="253"/>
      <c r="P738" s="253"/>
      <c r="Q738" s="253"/>
      <c r="R738" s="253"/>
      <c r="S738" s="253"/>
    </row>
    <row r="739" spans="1:19">
      <c r="A739" s="261" t="s">
        <v>913</v>
      </c>
      <c r="B739" s="261" t="s">
        <v>987</v>
      </c>
      <c r="C739" s="261" t="s">
        <v>267</v>
      </c>
      <c r="D739" s="261" t="s">
        <v>686</v>
      </c>
      <c r="E739" s="261"/>
      <c r="F739" s="261" t="s">
        <v>1211</v>
      </c>
      <c r="G739" s="261" t="s">
        <v>987</v>
      </c>
      <c r="H739" s="262" t="s">
        <v>267</v>
      </c>
      <c r="I739" s="261" t="s">
        <v>988</v>
      </c>
      <c r="J739" s="261" t="s">
        <v>1208</v>
      </c>
      <c r="K739" s="253"/>
      <c r="L739" s="253"/>
      <c r="M739" s="253"/>
      <c r="N739" s="253"/>
      <c r="O739" s="253"/>
      <c r="P739" s="253"/>
      <c r="Q739" s="253"/>
      <c r="R739" s="253"/>
      <c r="S739" s="253"/>
    </row>
    <row r="740" spans="1:19">
      <c r="A740" s="261" t="s">
        <v>913</v>
      </c>
      <c r="B740" s="261" t="s">
        <v>989</v>
      </c>
      <c r="C740" s="261" t="s">
        <v>267</v>
      </c>
      <c r="D740" s="261" t="s">
        <v>686</v>
      </c>
      <c r="E740" s="261"/>
      <c r="F740" s="261" t="s">
        <v>1211</v>
      </c>
      <c r="G740" s="261" t="s">
        <v>989</v>
      </c>
      <c r="H740" s="262" t="s">
        <v>267</v>
      </c>
      <c r="I740" s="261" t="s">
        <v>990</v>
      </c>
      <c r="J740" s="261" t="s">
        <v>1208</v>
      </c>
      <c r="K740" s="253"/>
      <c r="L740" s="253"/>
      <c r="M740" s="253"/>
      <c r="N740" s="253"/>
      <c r="O740" s="253"/>
      <c r="P740" s="253"/>
      <c r="Q740" s="253"/>
      <c r="R740" s="253"/>
      <c r="S740" s="253"/>
    </row>
    <row r="741" spans="1:19">
      <c r="A741" s="261" t="s">
        <v>913</v>
      </c>
      <c r="B741" s="261" t="s">
        <v>991</v>
      </c>
      <c r="C741" s="261" t="s">
        <v>267</v>
      </c>
      <c r="D741" s="261" t="s">
        <v>686</v>
      </c>
      <c r="E741" s="261"/>
      <c r="F741" s="261" t="s">
        <v>1211</v>
      </c>
      <c r="G741" s="261" t="s">
        <v>991</v>
      </c>
      <c r="H741" s="262" t="s">
        <v>267</v>
      </c>
      <c r="I741" s="261" t="s">
        <v>992</v>
      </c>
      <c r="J741" s="261" t="s">
        <v>1208</v>
      </c>
      <c r="K741" s="253"/>
      <c r="L741" s="253"/>
      <c r="M741" s="253"/>
      <c r="N741" s="253"/>
      <c r="O741" s="253"/>
      <c r="P741" s="253"/>
      <c r="Q741" s="253"/>
      <c r="R741" s="253"/>
      <c r="S741" s="253"/>
    </row>
    <row r="742" spans="1:19">
      <c r="A742" s="261" t="s">
        <v>913</v>
      </c>
      <c r="B742" s="261" t="s">
        <v>993</v>
      </c>
      <c r="C742" s="261" t="s">
        <v>267</v>
      </c>
      <c r="D742" s="261" t="s">
        <v>686</v>
      </c>
      <c r="E742" s="261"/>
      <c r="F742" s="261" t="s">
        <v>1211</v>
      </c>
      <c r="G742" s="261" t="s">
        <v>993</v>
      </c>
      <c r="H742" s="262" t="s">
        <v>267</v>
      </c>
      <c r="I742" s="261" t="s">
        <v>994</v>
      </c>
      <c r="J742" s="261" t="s">
        <v>1208</v>
      </c>
      <c r="K742" s="253"/>
      <c r="L742" s="253"/>
      <c r="M742" s="253"/>
      <c r="N742" s="253"/>
      <c r="O742" s="253"/>
      <c r="P742" s="253"/>
      <c r="Q742" s="253"/>
      <c r="R742" s="253"/>
      <c r="S742" s="253"/>
    </row>
    <row r="743" spans="1:19">
      <c r="A743" s="261" t="s">
        <v>913</v>
      </c>
      <c r="B743" s="261" t="s">
        <v>995</v>
      </c>
      <c r="C743" s="261" t="s">
        <v>267</v>
      </c>
      <c r="D743" s="261" t="s">
        <v>686</v>
      </c>
      <c r="E743" s="261"/>
      <c r="F743" s="261" t="s">
        <v>1211</v>
      </c>
      <c r="G743" s="261" t="s">
        <v>995</v>
      </c>
      <c r="H743" s="262" t="s">
        <v>267</v>
      </c>
      <c r="I743" s="261" t="s">
        <v>996</v>
      </c>
      <c r="J743" s="261" t="s">
        <v>1208</v>
      </c>
      <c r="K743" s="253"/>
      <c r="L743" s="253"/>
      <c r="M743" s="253"/>
      <c r="N743" s="253"/>
      <c r="O743" s="253"/>
      <c r="P743" s="253"/>
      <c r="Q743" s="253"/>
      <c r="R743" s="253"/>
      <c r="S743" s="253"/>
    </row>
    <row r="744" spans="1:19">
      <c r="A744" s="261" t="s">
        <v>913</v>
      </c>
      <c r="B744" s="261" t="s">
        <v>997</v>
      </c>
      <c r="C744" s="261" t="s">
        <v>267</v>
      </c>
      <c r="D744" s="261" t="s">
        <v>686</v>
      </c>
      <c r="E744" s="261"/>
      <c r="F744" s="261" t="s">
        <v>1211</v>
      </c>
      <c r="G744" s="261" t="s">
        <v>997</v>
      </c>
      <c r="H744" s="262" t="s">
        <v>267</v>
      </c>
      <c r="I744" s="261" t="s">
        <v>998</v>
      </c>
      <c r="J744" s="261" t="s">
        <v>1208</v>
      </c>
      <c r="K744" s="253"/>
      <c r="L744" s="253"/>
      <c r="M744" s="253"/>
      <c r="N744" s="253"/>
      <c r="O744" s="253"/>
      <c r="P744" s="253"/>
      <c r="Q744" s="253"/>
      <c r="R744" s="253"/>
      <c r="S744" s="253"/>
    </row>
    <row r="745" spans="1:19">
      <c r="A745" s="261" t="s">
        <v>913</v>
      </c>
      <c r="B745" s="261" t="s">
        <v>999</v>
      </c>
      <c r="C745" s="261" t="s">
        <v>267</v>
      </c>
      <c r="D745" s="261" t="s">
        <v>686</v>
      </c>
      <c r="E745" s="261"/>
      <c r="F745" s="261" t="s">
        <v>1211</v>
      </c>
      <c r="G745" s="261" t="s">
        <v>999</v>
      </c>
      <c r="H745" s="262" t="s">
        <v>267</v>
      </c>
      <c r="I745" s="261" t="s">
        <v>1000</v>
      </c>
      <c r="J745" s="261" t="s">
        <v>1208</v>
      </c>
      <c r="K745" s="253"/>
      <c r="L745" s="253"/>
      <c r="M745" s="253"/>
      <c r="N745" s="253"/>
      <c r="O745" s="253"/>
      <c r="P745" s="253"/>
      <c r="Q745" s="253"/>
      <c r="R745" s="253"/>
      <c r="S745" s="253"/>
    </row>
    <row r="746" spans="1:19">
      <c r="A746" s="261" t="s">
        <v>913</v>
      </c>
      <c r="B746" s="261" t="s">
        <v>1001</v>
      </c>
      <c r="C746" s="261" t="s">
        <v>267</v>
      </c>
      <c r="D746" s="261" t="s">
        <v>686</v>
      </c>
      <c r="E746" s="261"/>
      <c r="F746" s="261" t="s">
        <v>1211</v>
      </c>
      <c r="G746" s="261" t="s">
        <v>1001</v>
      </c>
      <c r="H746" s="262" t="s">
        <v>267</v>
      </c>
      <c r="I746" s="261" t="s">
        <v>1002</v>
      </c>
      <c r="J746" s="261" t="s">
        <v>1208</v>
      </c>
      <c r="K746" s="253"/>
      <c r="L746" s="253"/>
      <c r="M746" s="253"/>
      <c r="N746" s="253"/>
      <c r="O746" s="253"/>
      <c r="P746" s="253"/>
      <c r="Q746" s="253"/>
      <c r="R746" s="253"/>
      <c r="S746" s="253"/>
    </row>
    <row r="747" spans="1:19">
      <c r="A747" s="261" t="s">
        <v>913</v>
      </c>
      <c r="B747" s="261" t="s">
        <v>1003</v>
      </c>
      <c r="C747" s="261" t="s">
        <v>267</v>
      </c>
      <c r="D747" s="261" t="s">
        <v>686</v>
      </c>
      <c r="E747" s="261"/>
      <c r="F747" s="261" t="s">
        <v>1211</v>
      </c>
      <c r="G747" s="261" t="s">
        <v>1003</v>
      </c>
      <c r="H747" s="262" t="s">
        <v>267</v>
      </c>
      <c r="I747" s="261" t="s">
        <v>1004</v>
      </c>
      <c r="J747" s="261" t="s">
        <v>1208</v>
      </c>
      <c r="K747" s="253"/>
      <c r="L747" s="253"/>
      <c r="M747" s="253"/>
      <c r="N747" s="253"/>
      <c r="O747" s="253"/>
      <c r="P747" s="253"/>
      <c r="Q747" s="253"/>
      <c r="R747" s="253"/>
      <c r="S747" s="253"/>
    </row>
    <row r="748" spans="1:19">
      <c r="A748" s="261" t="s">
        <v>913</v>
      </c>
      <c r="B748" s="261" t="s">
        <v>1005</v>
      </c>
      <c r="C748" s="261" t="s">
        <v>267</v>
      </c>
      <c r="D748" s="261" t="s">
        <v>686</v>
      </c>
      <c r="E748" s="261"/>
      <c r="F748" s="261" t="s">
        <v>1211</v>
      </c>
      <c r="G748" s="261" t="s">
        <v>1005</v>
      </c>
      <c r="H748" s="262" t="s">
        <v>267</v>
      </c>
      <c r="I748" s="261" t="s">
        <v>1006</v>
      </c>
      <c r="J748" s="261" t="s">
        <v>1208</v>
      </c>
      <c r="K748" s="253"/>
      <c r="L748" s="253"/>
      <c r="M748" s="253"/>
      <c r="N748" s="253"/>
      <c r="O748" s="253"/>
      <c r="P748" s="253"/>
      <c r="Q748" s="253"/>
      <c r="R748" s="253"/>
      <c r="S748" s="253"/>
    </row>
    <row r="749" spans="1:19">
      <c r="A749" s="261" t="s">
        <v>913</v>
      </c>
      <c r="B749" s="261" t="s">
        <v>1007</v>
      </c>
      <c r="C749" s="261" t="s">
        <v>267</v>
      </c>
      <c r="D749" s="261" t="s">
        <v>686</v>
      </c>
      <c r="E749" s="261"/>
      <c r="F749" s="261" t="s">
        <v>1211</v>
      </c>
      <c r="G749" s="261" t="s">
        <v>1007</v>
      </c>
      <c r="H749" s="262" t="s">
        <v>267</v>
      </c>
      <c r="I749" s="261" t="s">
        <v>1008</v>
      </c>
      <c r="J749" s="261" t="s">
        <v>1208</v>
      </c>
      <c r="K749" s="253"/>
      <c r="L749" s="253"/>
      <c r="M749" s="253"/>
      <c r="N749" s="253"/>
      <c r="O749" s="253"/>
      <c r="P749" s="253"/>
      <c r="Q749" s="253"/>
      <c r="R749" s="253"/>
      <c r="S749" s="253"/>
    </row>
    <row r="750" spans="1:19">
      <c r="A750" s="261" t="s">
        <v>913</v>
      </c>
      <c r="B750" s="261" t="s">
        <v>1009</v>
      </c>
      <c r="C750" s="261" t="s">
        <v>267</v>
      </c>
      <c r="D750" s="261" t="s">
        <v>686</v>
      </c>
      <c r="E750" s="261"/>
      <c r="F750" s="261" t="s">
        <v>1211</v>
      </c>
      <c r="G750" s="261" t="s">
        <v>1009</v>
      </c>
      <c r="H750" s="262" t="s">
        <v>267</v>
      </c>
      <c r="I750" s="261" t="s">
        <v>1010</v>
      </c>
      <c r="J750" s="261" t="s">
        <v>1208</v>
      </c>
      <c r="K750" s="253"/>
      <c r="L750" s="253"/>
      <c r="M750" s="253"/>
      <c r="N750" s="253"/>
      <c r="O750" s="253"/>
      <c r="P750" s="253"/>
      <c r="Q750" s="253"/>
      <c r="R750" s="253"/>
      <c r="S750" s="253"/>
    </row>
    <row r="751" spans="1:19">
      <c r="A751" s="261" t="s">
        <v>913</v>
      </c>
      <c r="B751" s="261" t="s">
        <v>1011</v>
      </c>
      <c r="C751" s="261" t="s">
        <v>267</v>
      </c>
      <c r="D751" s="261" t="s">
        <v>686</v>
      </c>
      <c r="E751" s="261"/>
      <c r="F751" s="261" t="s">
        <v>1211</v>
      </c>
      <c r="G751" s="261" t="s">
        <v>1011</v>
      </c>
      <c r="H751" s="262" t="s">
        <v>267</v>
      </c>
      <c r="I751" s="261" t="s">
        <v>1012</v>
      </c>
      <c r="J751" s="261" t="s">
        <v>1208</v>
      </c>
      <c r="K751" s="253"/>
      <c r="L751" s="253"/>
      <c r="M751" s="253"/>
      <c r="N751" s="253"/>
      <c r="O751" s="253"/>
      <c r="P751" s="253"/>
      <c r="Q751" s="253"/>
      <c r="R751" s="253"/>
      <c r="S751" s="253"/>
    </row>
    <row r="752" spans="1:19">
      <c r="A752" s="261" t="s">
        <v>913</v>
      </c>
      <c r="B752" s="261" t="s">
        <v>1013</v>
      </c>
      <c r="C752" s="261" t="s">
        <v>267</v>
      </c>
      <c r="D752" s="261" t="s">
        <v>686</v>
      </c>
      <c r="E752" s="261"/>
      <c r="F752" s="261" t="s">
        <v>1211</v>
      </c>
      <c r="G752" s="261" t="s">
        <v>1013</v>
      </c>
      <c r="H752" s="262" t="s">
        <v>267</v>
      </c>
      <c r="I752" s="261" t="s">
        <v>1014</v>
      </c>
      <c r="J752" s="261" t="s">
        <v>1208</v>
      </c>
      <c r="K752" s="253"/>
      <c r="L752" s="253"/>
      <c r="M752" s="253"/>
      <c r="N752" s="253"/>
      <c r="O752" s="253"/>
      <c r="P752" s="253"/>
      <c r="Q752" s="253"/>
      <c r="R752" s="253"/>
      <c r="S752" s="253"/>
    </row>
    <row r="753" spans="1:19">
      <c r="A753" s="261" t="s">
        <v>913</v>
      </c>
      <c r="B753" s="261" t="s">
        <v>1015</v>
      </c>
      <c r="C753" s="261" t="s">
        <v>267</v>
      </c>
      <c r="D753" s="261" t="s">
        <v>686</v>
      </c>
      <c r="E753" s="261"/>
      <c r="F753" s="261" t="s">
        <v>1211</v>
      </c>
      <c r="G753" s="261" t="s">
        <v>1015</v>
      </c>
      <c r="H753" s="262" t="s">
        <v>267</v>
      </c>
      <c r="I753" s="261" t="s">
        <v>1016</v>
      </c>
      <c r="J753" s="261" t="s">
        <v>1208</v>
      </c>
      <c r="K753" s="253"/>
      <c r="L753" s="253"/>
      <c r="M753" s="253"/>
      <c r="N753" s="253"/>
      <c r="O753" s="253"/>
      <c r="P753" s="253"/>
      <c r="Q753" s="253"/>
      <c r="R753" s="253"/>
      <c r="S753" s="253"/>
    </row>
    <row r="754" spans="1:19">
      <c r="A754" s="261" t="s">
        <v>913</v>
      </c>
      <c r="B754" s="261" t="s">
        <v>1017</v>
      </c>
      <c r="C754" s="261" t="s">
        <v>267</v>
      </c>
      <c r="D754" s="261" t="s">
        <v>686</v>
      </c>
      <c r="E754" s="261"/>
      <c r="F754" s="261" t="s">
        <v>1211</v>
      </c>
      <c r="G754" s="261" t="s">
        <v>1017</v>
      </c>
      <c r="H754" s="262" t="s">
        <v>267</v>
      </c>
      <c r="I754" s="261" t="s">
        <v>1018</v>
      </c>
      <c r="J754" s="261" t="s">
        <v>1208</v>
      </c>
      <c r="K754" s="253"/>
      <c r="L754" s="253"/>
      <c r="M754" s="253"/>
      <c r="N754" s="253"/>
      <c r="O754" s="253"/>
      <c r="P754" s="253"/>
      <c r="Q754" s="253"/>
      <c r="R754" s="253"/>
      <c r="S754" s="253"/>
    </row>
    <row r="755" spans="1:19">
      <c r="A755" s="261" t="s">
        <v>913</v>
      </c>
      <c r="B755" s="261" t="s">
        <v>1019</v>
      </c>
      <c r="C755" s="261" t="s">
        <v>267</v>
      </c>
      <c r="D755" s="261" t="s">
        <v>686</v>
      </c>
      <c r="E755" s="261"/>
      <c r="F755" s="261" t="s">
        <v>1211</v>
      </c>
      <c r="G755" s="261" t="s">
        <v>1019</v>
      </c>
      <c r="H755" s="262" t="s">
        <v>267</v>
      </c>
      <c r="I755" s="261" t="s">
        <v>1020</v>
      </c>
      <c r="J755" s="261" t="s">
        <v>1208</v>
      </c>
      <c r="K755" s="253"/>
      <c r="L755" s="253"/>
      <c r="M755" s="253"/>
      <c r="N755" s="253"/>
      <c r="O755" s="253"/>
      <c r="P755" s="253"/>
      <c r="Q755" s="253"/>
      <c r="R755" s="253"/>
      <c r="S755" s="253"/>
    </row>
    <row r="756" spans="1:19">
      <c r="A756" s="261" t="s">
        <v>913</v>
      </c>
      <c r="B756" s="261" t="s">
        <v>1021</v>
      </c>
      <c r="C756" s="261" t="s">
        <v>267</v>
      </c>
      <c r="D756" s="261" t="s">
        <v>686</v>
      </c>
      <c r="E756" s="261"/>
      <c r="F756" s="261" t="s">
        <v>1211</v>
      </c>
      <c r="G756" s="261" t="s">
        <v>1021</v>
      </c>
      <c r="H756" s="262" t="s">
        <v>267</v>
      </c>
      <c r="I756" s="261" t="s">
        <v>1022</v>
      </c>
      <c r="J756" s="261" t="s">
        <v>1208</v>
      </c>
      <c r="K756" s="253"/>
      <c r="L756" s="253"/>
      <c r="M756" s="253"/>
      <c r="N756" s="253"/>
      <c r="O756" s="253"/>
      <c r="P756" s="253"/>
      <c r="Q756" s="253"/>
      <c r="R756" s="253"/>
      <c r="S756" s="253"/>
    </row>
    <row r="757" spans="1:19">
      <c r="A757" s="261" t="s">
        <v>913</v>
      </c>
      <c r="B757" s="261" t="s">
        <v>1023</v>
      </c>
      <c r="C757" s="261" t="s">
        <v>267</v>
      </c>
      <c r="D757" s="261" t="s">
        <v>686</v>
      </c>
      <c r="E757" s="261"/>
      <c r="F757" s="261" t="s">
        <v>1211</v>
      </c>
      <c r="G757" s="261" t="s">
        <v>1023</v>
      </c>
      <c r="H757" s="262" t="s">
        <v>267</v>
      </c>
      <c r="I757" s="261" t="s">
        <v>1024</v>
      </c>
      <c r="J757" s="261" t="s">
        <v>1208</v>
      </c>
      <c r="K757" s="253"/>
      <c r="L757" s="253"/>
      <c r="M757" s="253"/>
      <c r="N757" s="253"/>
      <c r="O757" s="253"/>
      <c r="P757" s="253"/>
      <c r="Q757" s="253"/>
      <c r="R757" s="253"/>
      <c r="S757" s="253"/>
    </row>
    <row r="758" spans="1:19">
      <c r="A758" s="261" t="s">
        <v>913</v>
      </c>
      <c r="B758" s="261" t="s">
        <v>1025</v>
      </c>
      <c r="C758" s="261" t="s">
        <v>267</v>
      </c>
      <c r="D758" s="261" t="s">
        <v>686</v>
      </c>
      <c r="E758" s="261"/>
      <c r="F758" s="261" t="s">
        <v>1211</v>
      </c>
      <c r="G758" s="261" t="s">
        <v>1025</v>
      </c>
      <c r="H758" s="262" t="s">
        <v>267</v>
      </c>
      <c r="I758" s="261" t="s">
        <v>1026</v>
      </c>
      <c r="J758" s="261" t="s">
        <v>1208</v>
      </c>
      <c r="K758" s="253"/>
      <c r="L758" s="253"/>
      <c r="M758" s="253"/>
      <c r="N758" s="253"/>
      <c r="O758" s="253"/>
      <c r="P758" s="253"/>
      <c r="Q758" s="253"/>
      <c r="R758" s="253"/>
      <c r="S758" s="253"/>
    </row>
    <row r="759" spans="1:19">
      <c r="A759" s="261" t="s">
        <v>913</v>
      </c>
      <c r="B759" s="261" t="s">
        <v>1027</v>
      </c>
      <c r="C759" s="261" t="s">
        <v>267</v>
      </c>
      <c r="D759" s="261" t="s">
        <v>686</v>
      </c>
      <c r="E759" s="261"/>
      <c r="F759" s="261" t="s">
        <v>1211</v>
      </c>
      <c r="G759" s="261" t="s">
        <v>1027</v>
      </c>
      <c r="H759" s="262" t="s">
        <v>267</v>
      </c>
      <c r="I759" s="261" t="s">
        <v>1028</v>
      </c>
      <c r="J759" s="261" t="s">
        <v>1208</v>
      </c>
      <c r="K759" s="253"/>
      <c r="L759" s="253"/>
      <c r="M759" s="253"/>
      <c r="N759" s="253"/>
      <c r="O759" s="253"/>
      <c r="P759" s="253"/>
      <c r="Q759" s="253"/>
      <c r="R759" s="253"/>
      <c r="S759" s="253"/>
    </row>
    <row r="760" spans="1:19">
      <c r="A760" s="261" t="s">
        <v>913</v>
      </c>
      <c r="B760" s="261" t="s">
        <v>1029</v>
      </c>
      <c r="C760" s="261" t="s">
        <v>267</v>
      </c>
      <c r="D760" s="261" t="s">
        <v>686</v>
      </c>
      <c r="E760" s="261"/>
      <c r="F760" s="261" t="s">
        <v>1211</v>
      </c>
      <c r="G760" s="261" t="s">
        <v>1029</v>
      </c>
      <c r="H760" s="262" t="s">
        <v>267</v>
      </c>
      <c r="I760" s="261" t="s">
        <v>1030</v>
      </c>
      <c r="J760" s="261" t="s">
        <v>1208</v>
      </c>
      <c r="K760" s="253"/>
      <c r="L760" s="253"/>
      <c r="M760" s="253"/>
      <c r="N760" s="253"/>
      <c r="O760" s="253"/>
      <c r="P760" s="253"/>
      <c r="Q760" s="253"/>
      <c r="R760" s="253"/>
      <c r="S760" s="253"/>
    </row>
    <row r="761" spans="1:19">
      <c r="A761" s="261" t="s">
        <v>913</v>
      </c>
      <c r="B761" s="261" t="s">
        <v>1031</v>
      </c>
      <c r="C761" s="261" t="s">
        <v>267</v>
      </c>
      <c r="D761" s="261" t="s">
        <v>686</v>
      </c>
      <c r="E761" s="261"/>
      <c r="F761" s="261" t="s">
        <v>1211</v>
      </c>
      <c r="G761" s="261" t="s">
        <v>1031</v>
      </c>
      <c r="H761" s="262" t="s">
        <v>267</v>
      </c>
      <c r="I761" s="261" t="s">
        <v>1032</v>
      </c>
      <c r="J761" s="261" t="s">
        <v>1208</v>
      </c>
      <c r="K761" s="253"/>
      <c r="L761" s="253"/>
      <c r="M761" s="253"/>
      <c r="N761" s="253"/>
      <c r="O761" s="253"/>
      <c r="P761" s="253"/>
      <c r="Q761" s="253"/>
      <c r="R761" s="253"/>
      <c r="S761" s="253"/>
    </row>
    <row r="762" spans="1:19">
      <c r="A762" s="261" t="s">
        <v>913</v>
      </c>
      <c r="B762" s="261" t="s">
        <v>1033</v>
      </c>
      <c r="C762" s="261" t="s">
        <v>267</v>
      </c>
      <c r="D762" s="261" t="s">
        <v>686</v>
      </c>
      <c r="E762" s="261"/>
      <c r="F762" s="261" t="s">
        <v>1211</v>
      </c>
      <c r="G762" s="261" t="s">
        <v>1033</v>
      </c>
      <c r="H762" s="262" t="s">
        <v>267</v>
      </c>
      <c r="I762" s="261" t="s">
        <v>1034</v>
      </c>
      <c r="J762" s="261" t="s">
        <v>1208</v>
      </c>
      <c r="K762" s="253"/>
      <c r="L762" s="253"/>
      <c r="M762" s="253"/>
      <c r="N762" s="253"/>
      <c r="O762" s="253"/>
      <c r="P762" s="253"/>
      <c r="Q762" s="253"/>
      <c r="R762" s="253"/>
      <c r="S762" s="253"/>
    </row>
    <row r="763" spans="1:19">
      <c r="A763" s="261" t="s">
        <v>913</v>
      </c>
      <c r="B763" s="261" t="s">
        <v>1035</v>
      </c>
      <c r="C763" s="261" t="s">
        <v>267</v>
      </c>
      <c r="D763" s="261" t="s">
        <v>686</v>
      </c>
      <c r="E763" s="261"/>
      <c r="F763" s="261" t="s">
        <v>1211</v>
      </c>
      <c r="G763" s="261" t="s">
        <v>1035</v>
      </c>
      <c r="H763" s="262" t="s">
        <v>267</v>
      </c>
      <c r="I763" s="261" t="s">
        <v>1036</v>
      </c>
      <c r="J763" s="261" t="s">
        <v>1208</v>
      </c>
      <c r="K763" s="253"/>
      <c r="L763" s="253"/>
      <c r="M763" s="253"/>
      <c r="N763" s="253"/>
      <c r="O763" s="253"/>
      <c r="P763" s="253"/>
      <c r="Q763" s="253"/>
      <c r="R763" s="253"/>
      <c r="S763" s="253"/>
    </row>
    <row r="764" spans="1:19">
      <c r="A764" s="261" t="s">
        <v>913</v>
      </c>
      <c r="B764" s="261" t="s">
        <v>1037</v>
      </c>
      <c r="C764" s="261" t="s">
        <v>267</v>
      </c>
      <c r="D764" s="261" t="s">
        <v>686</v>
      </c>
      <c r="E764" s="261"/>
      <c r="F764" s="261" t="s">
        <v>1211</v>
      </c>
      <c r="G764" s="261" t="s">
        <v>1037</v>
      </c>
      <c r="H764" s="262" t="s">
        <v>267</v>
      </c>
      <c r="I764" s="261" t="s">
        <v>1038</v>
      </c>
      <c r="J764" s="261" t="s">
        <v>1208</v>
      </c>
      <c r="K764" s="253"/>
      <c r="L764" s="253"/>
      <c r="M764" s="253"/>
      <c r="N764" s="253"/>
      <c r="O764" s="253"/>
      <c r="P764" s="253"/>
      <c r="Q764" s="253"/>
      <c r="R764" s="253"/>
      <c r="S764" s="253"/>
    </row>
    <row r="765" spans="1:19">
      <c r="A765" s="261" t="s">
        <v>913</v>
      </c>
      <c r="B765" s="261" t="s">
        <v>1039</v>
      </c>
      <c r="C765" s="261" t="s">
        <v>267</v>
      </c>
      <c r="D765" s="261" t="s">
        <v>686</v>
      </c>
      <c r="E765" s="261"/>
      <c r="F765" s="261" t="s">
        <v>1211</v>
      </c>
      <c r="G765" s="261" t="s">
        <v>1039</v>
      </c>
      <c r="H765" s="262" t="s">
        <v>267</v>
      </c>
      <c r="I765" s="261" t="s">
        <v>1040</v>
      </c>
      <c r="J765" s="261" t="s">
        <v>1208</v>
      </c>
      <c r="K765" s="253"/>
      <c r="L765" s="253"/>
      <c r="M765" s="253"/>
      <c r="N765" s="253"/>
      <c r="O765" s="253"/>
      <c r="P765" s="253"/>
      <c r="Q765" s="253"/>
      <c r="R765" s="253"/>
      <c r="S765" s="253"/>
    </row>
    <row r="766" spans="1:19">
      <c r="A766" s="261" t="s">
        <v>913</v>
      </c>
      <c r="B766" s="261" t="s">
        <v>1041</v>
      </c>
      <c r="C766" s="261" t="s">
        <v>267</v>
      </c>
      <c r="D766" s="261" t="s">
        <v>686</v>
      </c>
      <c r="E766" s="261"/>
      <c r="F766" s="261" t="s">
        <v>1211</v>
      </c>
      <c r="G766" s="261" t="s">
        <v>1041</v>
      </c>
      <c r="H766" s="262" t="s">
        <v>267</v>
      </c>
      <c r="I766" s="261" t="s">
        <v>1042</v>
      </c>
      <c r="J766" s="261" t="s">
        <v>1208</v>
      </c>
      <c r="K766" s="253"/>
      <c r="L766" s="253"/>
      <c r="M766" s="253"/>
      <c r="N766" s="253"/>
      <c r="O766" s="253"/>
      <c r="P766" s="253"/>
      <c r="Q766" s="253"/>
      <c r="R766" s="253"/>
      <c r="S766" s="253"/>
    </row>
    <row r="767" spans="1:19">
      <c r="A767" s="261" t="s">
        <v>913</v>
      </c>
      <c r="B767" s="261" t="s">
        <v>1043</v>
      </c>
      <c r="C767" s="261" t="s">
        <v>267</v>
      </c>
      <c r="D767" s="261" t="s">
        <v>686</v>
      </c>
      <c r="E767" s="261"/>
      <c r="F767" s="261" t="s">
        <v>1211</v>
      </c>
      <c r="G767" s="261" t="s">
        <v>1043</v>
      </c>
      <c r="H767" s="262" t="s">
        <v>267</v>
      </c>
      <c r="I767" s="261" t="s">
        <v>1044</v>
      </c>
      <c r="J767" s="261" t="s">
        <v>1208</v>
      </c>
      <c r="K767" s="253"/>
      <c r="L767" s="253"/>
      <c r="M767" s="253"/>
      <c r="N767" s="253"/>
      <c r="O767" s="253"/>
      <c r="P767" s="253"/>
      <c r="Q767" s="253"/>
      <c r="R767" s="253"/>
      <c r="S767" s="253"/>
    </row>
    <row r="768" spans="1:19">
      <c r="A768" s="261" t="s">
        <v>913</v>
      </c>
      <c r="B768" s="261" t="s">
        <v>1045</v>
      </c>
      <c r="C768" s="261" t="s">
        <v>267</v>
      </c>
      <c r="D768" s="261" t="s">
        <v>686</v>
      </c>
      <c r="E768" s="261"/>
      <c r="F768" s="261" t="s">
        <v>1211</v>
      </c>
      <c r="G768" s="261" t="s">
        <v>1045</v>
      </c>
      <c r="H768" s="262" t="s">
        <v>267</v>
      </c>
      <c r="I768" s="261" t="s">
        <v>1046</v>
      </c>
      <c r="J768" s="261" t="s">
        <v>1208</v>
      </c>
      <c r="K768" s="253"/>
      <c r="L768" s="253"/>
      <c r="M768" s="253"/>
      <c r="N768" s="253"/>
      <c r="O768" s="253"/>
      <c r="P768" s="253"/>
      <c r="Q768" s="253"/>
      <c r="R768" s="253"/>
      <c r="S768" s="253"/>
    </row>
    <row r="769" spans="1:19">
      <c r="A769" s="261" t="s">
        <v>913</v>
      </c>
      <c r="B769" s="261" t="s">
        <v>1047</v>
      </c>
      <c r="C769" s="261" t="s">
        <v>267</v>
      </c>
      <c r="D769" s="261" t="s">
        <v>686</v>
      </c>
      <c r="E769" s="261"/>
      <c r="F769" s="261" t="s">
        <v>1211</v>
      </c>
      <c r="G769" s="261" t="s">
        <v>1047</v>
      </c>
      <c r="H769" s="262" t="s">
        <v>267</v>
      </c>
      <c r="I769" s="261" t="s">
        <v>1048</v>
      </c>
      <c r="J769" s="261" t="s">
        <v>1208</v>
      </c>
      <c r="K769" s="253"/>
      <c r="L769" s="253"/>
      <c r="M769" s="253"/>
      <c r="N769" s="253"/>
      <c r="O769" s="253"/>
      <c r="P769" s="253"/>
      <c r="Q769" s="253"/>
      <c r="R769" s="253"/>
      <c r="S769" s="253"/>
    </row>
    <row r="770" spans="1:19">
      <c r="A770" s="261" t="s">
        <v>913</v>
      </c>
      <c r="B770" s="261" t="s">
        <v>1049</v>
      </c>
      <c r="C770" s="261" t="s">
        <v>267</v>
      </c>
      <c r="D770" s="261" t="s">
        <v>686</v>
      </c>
      <c r="E770" s="261"/>
      <c r="F770" s="261" t="s">
        <v>1211</v>
      </c>
      <c r="G770" s="261" t="s">
        <v>1049</v>
      </c>
      <c r="H770" s="262" t="s">
        <v>267</v>
      </c>
      <c r="I770" s="261" t="s">
        <v>1050</v>
      </c>
      <c r="J770" s="261" t="s">
        <v>1208</v>
      </c>
      <c r="K770" s="253"/>
      <c r="L770" s="253"/>
      <c r="M770" s="253"/>
      <c r="N770" s="253"/>
      <c r="O770" s="253"/>
      <c r="P770" s="253"/>
      <c r="Q770" s="253"/>
      <c r="R770" s="253"/>
      <c r="S770" s="253"/>
    </row>
    <row r="771" spans="1:19">
      <c r="A771" s="261" t="s">
        <v>913</v>
      </c>
      <c r="B771" s="261" t="s">
        <v>1051</v>
      </c>
      <c r="C771" s="261" t="s">
        <v>267</v>
      </c>
      <c r="D771" s="261" t="s">
        <v>686</v>
      </c>
      <c r="E771" s="261"/>
      <c r="F771" s="261" t="s">
        <v>1211</v>
      </c>
      <c r="G771" s="261" t="s">
        <v>1051</v>
      </c>
      <c r="H771" s="262" t="s">
        <v>267</v>
      </c>
      <c r="I771" s="261" t="s">
        <v>1052</v>
      </c>
      <c r="J771" s="261" t="s">
        <v>1208</v>
      </c>
      <c r="K771" s="253"/>
      <c r="L771" s="253"/>
      <c r="M771" s="253"/>
      <c r="N771" s="253"/>
      <c r="O771" s="253"/>
      <c r="P771" s="253"/>
      <c r="Q771" s="253"/>
      <c r="R771" s="253"/>
      <c r="S771" s="253"/>
    </row>
    <row r="772" spans="1:19">
      <c r="A772" s="261" t="s">
        <v>913</v>
      </c>
      <c r="B772" s="261" t="s">
        <v>1053</v>
      </c>
      <c r="C772" s="261" t="s">
        <v>267</v>
      </c>
      <c r="D772" s="261" t="s">
        <v>686</v>
      </c>
      <c r="E772" s="261"/>
      <c r="F772" s="261" t="s">
        <v>1211</v>
      </c>
      <c r="G772" s="261" t="s">
        <v>1053</v>
      </c>
      <c r="H772" s="262" t="s">
        <v>267</v>
      </c>
      <c r="I772" s="261" t="s">
        <v>1054</v>
      </c>
      <c r="J772" s="261" t="s">
        <v>1208</v>
      </c>
      <c r="K772" s="253"/>
      <c r="L772" s="253"/>
      <c r="M772" s="253"/>
      <c r="N772" s="253"/>
      <c r="O772" s="253"/>
      <c r="P772" s="253"/>
      <c r="Q772" s="253"/>
      <c r="R772" s="253"/>
      <c r="S772" s="253"/>
    </row>
    <row r="773" spans="1:19">
      <c r="A773" s="261" t="s">
        <v>913</v>
      </c>
      <c r="B773" s="261" t="s">
        <v>1055</v>
      </c>
      <c r="C773" s="261" t="s">
        <v>267</v>
      </c>
      <c r="D773" s="261" t="s">
        <v>686</v>
      </c>
      <c r="E773" s="261"/>
      <c r="F773" s="261" t="s">
        <v>1211</v>
      </c>
      <c r="G773" s="261" t="s">
        <v>1055</v>
      </c>
      <c r="H773" s="262" t="s">
        <v>267</v>
      </c>
      <c r="I773" s="261" t="s">
        <v>1056</v>
      </c>
      <c r="J773" s="261" t="s">
        <v>1208</v>
      </c>
      <c r="K773" s="253"/>
      <c r="L773" s="253"/>
      <c r="M773" s="253"/>
      <c r="N773" s="253"/>
      <c r="O773" s="253"/>
      <c r="P773" s="253"/>
      <c r="Q773" s="253"/>
      <c r="R773" s="253"/>
      <c r="S773" s="253"/>
    </row>
    <row r="774" spans="1:19">
      <c r="A774" s="261" t="s">
        <v>913</v>
      </c>
      <c r="B774" s="261" t="s">
        <v>1057</v>
      </c>
      <c r="C774" s="261" t="s">
        <v>267</v>
      </c>
      <c r="D774" s="261" t="s">
        <v>686</v>
      </c>
      <c r="E774" s="261"/>
      <c r="F774" s="261" t="s">
        <v>1211</v>
      </c>
      <c r="G774" s="261" t="s">
        <v>1057</v>
      </c>
      <c r="H774" s="262" t="s">
        <v>267</v>
      </c>
      <c r="I774" s="261" t="s">
        <v>1058</v>
      </c>
      <c r="J774" s="261" t="s">
        <v>1208</v>
      </c>
      <c r="K774" s="253"/>
      <c r="L774" s="253"/>
      <c r="M774" s="253"/>
      <c r="N774" s="253"/>
      <c r="O774" s="253"/>
      <c r="P774" s="253"/>
      <c r="Q774" s="253"/>
      <c r="R774" s="253"/>
      <c r="S774" s="253"/>
    </row>
    <row r="775" spans="1:19">
      <c r="A775" s="261" t="s">
        <v>913</v>
      </c>
      <c r="B775" s="261" t="s">
        <v>1059</v>
      </c>
      <c r="C775" s="261" t="s">
        <v>267</v>
      </c>
      <c r="D775" s="261" t="s">
        <v>686</v>
      </c>
      <c r="E775" s="261"/>
      <c r="F775" s="261" t="s">
        <v>1211</v>
      </c>
      <c r="G775" s="261" t="s">
        <v>1059</v>
      </c>
      <c r="H775" s="262" t="s">
        <v>267</v>
      </c>
      <c r="I775" s="261" t="s">
        <v>1060</v>
      </c>
      <c r="J775" s="261" t="s">
        <v>1208</v>
      </c>
      <c r="K775" s="253"/>
      <c r="L775" s="253"/>
      <c r="M775" s="253"/>
      <c r="N775" s="253"/>
      <c r="O775" s="253"/>
      <c r="P775" s="253"/>
      <c r="Q775" s="253"/>
      <c r="R775" s="253"/>
      <c r="S775" s="253"/>
    </row>
    <row r="776" spans="1:19">
      <c r="A776" s="261" t="s">
        <v>913</v>
      </c>
      <c r="B776" s="261" t="s">
        <v>1061</v>
      </c>
      <c r="C776" s="261" t="s">
        <v>267</v>
      </c>
      <c r="D776" s="261" t="s">
        <v>686</v>
      </c>
      <c r="E776" s="261"/>
      <c r="F776" s="261" t="s">
        <v>1211</v>
      </c>
      <c r="G776" s="261" t="s">
        <v>1061</v>
      </c>
      <c r="H776" s="262" t="s">
        <v>267</v>
      </c>
      <c r="I776" s="261" t="s">
        <v>1062</v>
      </c>
      <c r="J776" s="261" t="s">
        <v>1208</v>
      </c>
      <c r="K776" s="253"/>
      <c r="L776" s="253"/>
      <c r="M776" s="253"/>
      <c r="N776" s="253"/>
      <c r="O776" s="253"/>
      <c r="P776" s="253"/>
      <c r="Q776" s="253"/>
      <c r="R776" s="253"/>
      <c r="S776" s="253"/>
    </row>
    <row r="777" spans="1:19">
      <c r="A777" s="261" t="s">
        <v>913</v>
      </c>
      <c r="B777" s="261" t="s">
        <v>1063</v>
      </c>
      <c r="C777" s="261" t="s">
        <v>267</v>
      </c>
      <c r="D777" s="261" t="s">
        <v>686</v>
      </c>
      <c r="E777" s="261"/>
      <c r="F777" s="261" t="s">
        <v>1211</v>
      </c>
      <c r="G777" s="261" t="s">
        <v>1063</v>
      </c>
      <c r="H777" s="262" t="s">
        <v>267</v>
      </c>
      <c r="I777" s="261" t="s">
        <v>1064</v>
      </c>
      <c r="J777" s="261" t="s">
        <v>1208</v>
      </c>
      <c r="K777" s="253"/>
      <c r="L777" s="253"/>
      <c r="M777" s="253"/>
      <c r="N777" s="253"/>
      <c r="O777" s="253"/>
      <c r="P777" s="253"/>
      <c r="Q777" s="253"/>
      <c r="R777" s="253"/>
      <c r="S777" s="253"/>
    </row>
    <row r="778" spans="1:19">
      <c r="A778" s="261" t="s">
        <v>913</v>
      </c>
      <c r="B778" s="261" t="s">
        <v>1065</v>
      </c>
      <c r="C778" s="261" t="s">
        <v>267</v>
      </c>
      <c r="D778" s="261" t="s">
        <v>686</v>
      </c>
      <c r="E778" s="261"/>
      <c r="F778" s="261" t="s">
        <v>1211</v>
      </c>
      <c r="G778" s="261" t="s">
        <v>1065</v>
      </c>
      <c r="H778" s="262" t="s">
        <v>267</v>
      </c>
      <c r="I778" s="261" t="s">
        <v>1066</v>
      </c>
      <c r="J778" s="261" t="s">
        <v>1208</v>
      </c>
      <c r="K778" s="253"/>
      <c r="L778" s="253"/>
      <c r="M778" s="253"/>
      <c r="N778" s="253"/>
      <c r="O778" s="253"/>
      <c r="P778" s="253"/>
      <c r="Q778" s="253"/>
      <c r="R778" s="253"/>
      <c r="S778" s="253"/>
    </row>
    <row r="779" spans="1:19">
      <c r="A779" s="261" t="s">
        <v>913</v>
      </c>
      <c r="B779" s="261" t="s">
        <v>1067</v>
      </c>
      <c r="C779" s="261" t="s">
        <v>267</v>
      </c>
      <c r="D779" s="261" t="s">
        <v>686</v>
      </c>
      <c r="E779" s="261"/>
      <c r="F779" s="261" t="s">
        <v>1211</v>
      </c>
      <c r="G779" s="261" t="s">
        <v>1067</v>
      </c>
      <c r="H779" s="262" t="s">
        <v>267</v>
      </c>
      <c r="I779" s="261" t="s">
        <v>1068</v>
      </c>
      <c r="J779" s="261" t="s">
        <v>1208</v>
      </c>
      <c r="K779" s="253"/>
      <c r="L779" s="253"/>
      <c r="M779" s="253"/>
      <c r="N779" s="253"/>
      <c r="O779" s="253"/>
      <c r="P779" s="253"/>
      <c r="Q779" s="253"/>
      <c r="R779" s="253"/>
      <c r="S779" s="253"/>
    </row>
    <row r="780" spans="1:19">
      <c r="A780" s="261" t="s">
        <v>913</v>
      </c>
      <c r="B780" s="261" t="s">
        <v>1069</v>
      </c>
      <c r="C780" s="261" t="s">
        <v>267</v>
      </c>
      <c r="D780" s="261" t="s">
        <v>686</v>
      </c>
      <c r="E780" s="261"/>
      <c r="F780" s="261" t="s">
        <v>1211</v>
      </c>
      <c r="G780" s="261" t="s">
        <v>1069</v>
      </c>
      <c r="H780" s="262" t="s">
        <v>267</v>
      </c>
      <c r="I780" s="261" t="s">
        <v>1070</v>
      </c>
      <c r="J780" s="261" t="s">
        <v>1208</v>
      </c>
      <c r="K780" s="253"/>
      <c r="L780" s="253"/>
      <c r="M780" s="253"/>
      <c r="N780" s="253"/>
      <c r="O780" s="253"/>
      <c r="P780" s="253"/>
      <c r="Q780" s="253"/>
      <c r="R780" s="253"/>
      <c r="S780" s="253"/>
    </row>
    <row r="781" spans="1:19">
      <c r="A781" s="261" t="s">
        <v>913</v>
      </c>
      <c r="B781" s="261" t="s">
        <v>1071</v>
      </c>
      <c r="C781" s="261" t="s">
        <v>267</v>
      </c>
      <c r="D781" s="261" t="s">
        <v>686</v>
      </c>
      <c r="E781" s="261"/>
      <c r="F781" s="261" t="s">
        <v>1211</v>
      </c>
      <c r="G781" s="261" t="s">
        <v>1071</v>
      </c>
      <c r="H781" s="262" t="s">
        <v>267</v>
      </c>
      <c r="I781" s="261" t="s">
        <v>1072</v>
      </c>
      <c r="J781" s="261" t="s">
        <v>1208</v>
      </c>
      <c r="K781" s="253"/>
      <c r="L781" s="253"/>
      <c r="M781" s="253"/>
      <c r="N781" s="253"/>
      <c r="O781" s="253"/>
      <c r="P781" s="253"/>
      <c r="Q781" s="253"/>
      <c r="R781" s="253"/>
      <c r="S781" s="253"/>
    </row>
    <row r="782" spans="1:19">
      <c r="A782" s="261" t="s">
        <v>913</v>
      </c>
      <c r="B782" s="261" t="s">
        <v>1073</v>
      </c>
      <c r="C782" s="261" t="s">
        <v>267</v>
      </c>
      <c r="D782" s="261" t="s">
        <v>686</v>
      </c>
      <c r="E782" s="261"/>
      <c r="F782" s="261" t="s">
        <v>1211</v>
      </c>
      <c r="G782" s="261" t="s">
        <v>1073</v>
      </c>
      <c r="H782" s="262" t="s">
        <v>267</v>
      </c>
      <c r="I782" s="261" t="s">
        <v>1074</v>
      </c>
      <c r="J782" s="261" t="s">
        <v>1208</v>
      </c>
      <c r="K782" s="253"/>
      <c r="L782" s="253"/>
      <c r="M782" s="253"/>
      <c r="N782" s="253"/>
      <c r="O782" s="253"/>
      <c r="P782" s="253"/>
      <c r="Q782" s="253"/>
      <c r="R782" s="253"/>
      <c r="S782" s="253"/>
    </row>
    <row r="783" spans="1:19">
      <c r="A783" s="261" t="s">
        <v>913</v>
      </c>
      <c r="B783" s="261" t="s">
        <v>1075</v>
      </c>
      <c r="C783" s="261" t="s">
        <v>267</v>
      </c>
      <c r="D783" s="261" t="s">
        <v>686</v>
      </c>
      <c r="E783" s="261"/>
      <c r="F783" s="261" t="s">
        <v>1211</v>
      </c>
      <c r="G783" s="261" t="s">
        <v>1075</v>
      </c>
      <c r="H783" s="262" t="s">
        <v>267</v>
      </c>
      <c r="I783" s="261" t="s">
        <v>1076</v>
      </c>
      <c r="J783" s="261" t="s">
        <v>1208</v>
      </c>
      <c r="K783" s="253"/>
      <c r="L783" s="253"/>
      <c r="M783" s="253"/>
      <c r="N783" s="253"/>
      <c r="O783" s="253"/>
      <c r="P783" s="253"/>
      <c r="Q783" s="253"/>
      <c r="R783" s="253"/>
      <c r="S783" s="253"/>
    </row>
    <row r="784" spans="1:19">
      <c r="A784" s="261" t="s">
        <v>913</v>
      </c>
      <c r="B784" s="261" t="s">
        <v>1077</v>
      </c>
      <c r="C784" s="261" t="s">
        <v>267</v>
      </c>
      <c r="D784" s="261" t="s">
        <v>686</v>
      </c>
      <c r="E784" s="261"/>
      <c r="F784" s="261" t="s">
        <v>1211</v>
      </c>
      <c r="G784" s="261" t="s">
        <v>1077</v>
      </c>
      <c r="H784" s="262" t="s">
        <v>267</v>
      </c>
      <c r="I784" s="261" t="s">
        <v>1078</v>
      </c>
      <c r="J784" s="261" t="s">
        <v>1208</v>
      </c>
      <c r="K784" s="253"/>
      <c r="L784" s="253"/>
      <c r="M784" s="253"/>
      <c r="N784" s="253"/>
      <c r="O784" s="253"/>
      <c r="P784" s="253"/>
      <c r="Q784" s="253"/>
      <c r="R784" s="253"/>
      <c r="S784" s="253"/>
    </row>
    <row r="785" spans="1:19">
      <c r="A785" s="261" t="s">
        <v>913</v>
      </c>
      <c r="B785" s="261" t="s">
        <v>1079</v>
      </c>
      <c r="C785" s="261" t="s">
        <v>267</v>
      </c>
      <c r="D785" s="261" t="s">
        <v>686</v>
      </c>
      <c r="E785" s="261"/>
      <c r="F785" s="261" t="s">
        <v>1211</v>
      </c>
      <c r="G785" s="261" t="s">
        <v>1079</v>
      </c>
      <c r="H785" s="262" t="s">
        <v>267</v>
      </c>
      <c r="I785" s="261" t="s">
        <v>1080</v>
      </c>
      <c r="J785" s="261" t="s">
        <v>1208</v>
      </c>
      <c r="K785" s="253"/>
      <c r="L785" s="253"/>
      <c r="M785" s="253"/>
      <c r="N785" s="253"/>
      <c r="O785" s="253"/>
      <c r="P785" s="253"/>
      <c r="Q785" s="253"/>
      <c r="R785" s="253"/>
      <c r="S785" s="253"/>
    </row>
    <row r="786" spans="1:19">
      <c r="A786" s="261" t="s">
        <v>913</v>
      </c>
      <c r="B786" s="261" t="s">
        <v>1081</v>
      </c>
      <c r="C786" s="261" t="s">
        <v>267</v>
      </c>
      <c r="D786" s="261" t="s">
        <v>686</v>
      </c>
      <c r="E786" s="261"/>
      <c r="F786" s="261" t="s">
        <v>1211</v>
      </c>
      <c r="G786" s="261" t="s">
        <v>1081</v>
      </c>
      <c r="H786" s="262" t="s">
        <v>267</v>
      </c>
      <c r="I786" s="261" t="s">
        <v>1082</v>
      </c>
      <c r="J786" s="261" t="s">
        <v>1208</v>
      </c>
      <c r="K786" s="253"/>
      <c r="L786" s="253"/>
      <c r="M786" s="253"/>
      <c r="N786" s="253"/>
      <c r="O786" s="253"/>
      <c r="P786" s="253"/>
      <c r="Q786" s="253"/>
      <c r="R786" s="253"/>
      <c r="S786" s="253"/>
    </row>
    <row r="787" spans="1:19">
      <c r="A787" s="261" t="s">
        <v>913</v>
      </c>
      <c r="B787" s="261" t="s">
        <v>1083</v>
      </c>
      <c r="C787" s="261" t="s">
        <v>267</v>
      </c>
      <c r="D787" s="261" t="s">
        <v>686</v>
      </c>
      <c r="E787" s="261"/>
      <c r="F787" s="261" t="s">
        <v>1211</v>
      </c>
      <c r="G787" s="261" t="s">
        <v>1083</v>
      </c>
      <c r="H787" s="262" t="s">
        <v>267</v>
      </c>
      <c r="I787" s="261" t="s">
        <v>1084</v>
      </c>
      <c r="J787" s="261" t="s">
        <v>1208</v>
      </c>
      <c r="K787" s="253"/>
      <c r="L787" s="253"/>
      <c r="M787" s="253"/>
      <c r="N787" s="253"/>
      <c r="O787" s="253"/>
      <c r="P787" s="253"/>
      <c r="Q787" s="253"/>
      <c r="R787" s="253"/>
      <c r="S787" s="253"/>
    </row>
    <row r="788" spans="1:19">
      <c r="A788" s="261" t="s">
        <v>913</v>
      </c>
      <c r="B788" s="261" t="s">
        <v>1085</v>
      </c>
      <c r="C788" s="261" t="s">
        <v>267</v>
      </c>
      <c r="D788" s="261" t="s">
        <v>686</v>
      </c>
      <c r="E788" s="261"/>
      <c r="F788" s="261" t="s">
        <v>1211</v>
      </c>
      <c r="G788" s="261" t="s">
        <v>1085</v>
      </c>
      <c r="H788" s="262" t="s">
        <v>267</v>
      </c>
      <c r="I788" s="261" t="s">
        <v>1086</v>
      </c>
      <c r="J788" s="261" t="s">
        <v>1208</v>
      </c>
      <c r="K788" s="253"/>
      <c r="L788" s="253"/>
      <c r="M788" s="253"/>
      <c r="N788" s="253"/>
      <c r="O788" s="253"/>
      <c r="P788" s="253"/>
      <c r="Q788" s="253"/>
      <c r="R788" s="253"/>
      <c r="S788" s="253"/>
    </row>
    <row r="789" spans="1:19">
      <c r="A789" s="261" t="s">
        <v>913</v>
      </c>
      <c r="B789" s="357" t="s">
        <v>1094</v>
      </c>
      <c r="C789" s="261" t="s">
        <v>267</v>
      </c>
      <c r="D789" s="261" t="s">
        <v>686</v>
      </c>
      <c r="E789" s="261"/>
      <c r="F789" s="261" t="s">
        <v>1211</v>
      </c>
      <c r="G789" s="357" t="s">
        <v>1094</v>
      </c>
      <c r="H789" s="262" t="s">
        <v>267</v>
      </c>
      <c r="I789" s="261" t="s">
        <v>1095</v>
      </c>
      <c r="J789" s="261" t="s">
        <v>1208</v>
      </c>
      <c r="K789" s="253"/>
      <c r="L789" s="253"/>
      <c r="M789" s="253"/>
      <c r="N789" s="253"/>
      <c r="O789" s="253"/>
      <c r="P789" s="253"/>
      <c r="Q789" s="253"/>
      <c r="R789" s="253"/>
      <c r="S789" s="253"/>
    </row>
    <row r="790" spans="1:19">
      <c r="A790" s="261" t="s">
        <v>913</v>
      </c>
      <c r="B790" s="357" t="s">
        <v>1096</v>
      </c>
      <c r="C790" s="261" t="s">
        <v>267</v>
      </c>
      <c r="D790" s="261" t="s">
        <v>686</v>
      </c>
      <c r="E790" s="261"/>
      <c r="F790" s="261" t="s">
        <v>1211</v>
      </c>
      <c r="G790" s="357" t="s">
        <v>1096</v>
      </c>
      <c r="H790" s="262" t="s">
        <v>267</v>
      </c>
      <c r="I790" s="261" t="s">
        <v>1097</v>
      </c>
      <c r="J790" s="261" t="s">
        <v>1208</v>
      </c>
      <c r="K790" s="253"/>
      <c r="L790" s="253"/>
      <c r="M790" s="253"/>
      <c r="N790" s="253"/>
      <c r="O790" s="253"/>
      <c r="P790" s="253"/>
      <c r="Q790" s="253"/>
      <c r="R790" s="253"/>
      <c r="S790" s="253"/>
    </row>
    <row r="791" spans="1:19">
      <c r="A791" s="261" t="s">
        <v>913</v>
      </c>
      <c r="B791" s="358" t="s">
        <v>1098</v>
      </c>
      <c r="C791" s="261" t="s">
        <v>267</v>
      </c>
      <c r="D791" s="261" t="s">
        <v>686</v>
      </c>
      <c r="E791" s="261"/>
      <c r="F791" s="261" t="s">
        <v>1211</v>
      </c>
      <c r="G791" s="358" t="s">
        <v>1098</v>
      </c>
      <c r="H791" s="262" t="s">
        <v>267</v>
      </c>
      <c r="I791" s="261" t="s">
        <v>1099</v>
      </c>
      <c r="J791" s="261" t="s">
        <v>1208</v>
      </c>
      <c r="K791" s="253"/>
      <c r="L791" s="253"/>
      <c r="M791" s="253"/>
      <c r="N791" s="253"/>
      <c r="O791" s="253"/>
      <c r="P791" s="253"/>
      <c r="Q791" s="253"/>
      <c r="R791" s="253"/>
      <c r="S791" s="253"/>
    </row>
    <row r="792" spans="1:19">
      <c r="A792" s="261" t="s">
        <v>913</v>
      </c>
      <c r="B792" s="358" t="s">
        <v>1100</v>
      </c>
      <c r="C792" s="261" t="s">
        <v>267</v>
      </c>
      <c r="D792" s="261" t="s">
        <v>686</v>
      </c>
      <c r="E792" s="261"/>
      <c r="F792" s="261" t="s">
        <v>1211</v>
      </c>
      <c r="G792" s="358" t="s">
        <v>1100</v>
      </c>
      <c r="H792" s="262" t="s">
        <v>267</v>
      </c>
      <c r="I792" s="261" t="s">
        <v>1101</v>
      </c>
      <c r="J792" s="261" t="s">
        <v>1208</v>
      </c>
      <c r="K792" s="253"/>
      <c r="L792" s="253"/>
      <c r="M792" s="253"/>
      <c r="N792" s="253"/>
      <c r="O792" s="253"/>
      <c r="P792" s="253"/>
      <c r="Q792" s="253"/>
      <c r="R792" s="253"/>
      <c r="S792" s="253"/>
    </row>
    <row r="793" spans="1:19">
      <c r="A793" s="261" t="s">
        <v>913</v>
      </c>
      <c r="B793" s="359" t="s">
        <v>1102</v>
      </c>
      <c r="C793" s="261" t="s">
        <v>267</v>
      </c>
      <c r="D793" s="261" t="s">
        <v>686</v>
      </c>
      <c r="E793" s="261"/>
      <c r="F793" s="261" t="s">
        <v>1211</v>
      </c>
      <c r="G793" s="359" t="s">
        <v>1102</v>
      </c>
      <c r="H793" s="262" t="s">
        <v>267</v>
      </c>
      <c r="I793" s="261" t="s">
        <v>1103</v>
      </c>
      <c r="J793" s="261" t="s">
        <v>1208</v>
      </c>
      <c r="K793" s="253"/>
      <c r="L793" s="253"/>
      <c r="M793" s="253"/>
      <c r="N793" s="253"/>
      <c r="O793" s="253"/>
      <c r="P793" s="253"/>
      <c r="Q793" s="253"/>
      <c r="R793" s="253"/>
      <c r="S793" s="253"/>
    </row>
    <row r="794" spans="1:19">
      <c r="A794" s="261" t="s">
        <v>913</v>
      </c>
      <c r="B794" s="359" t="s">
        <v>1104</v>
      </c>
      <c r="C794" s="261" t="s">
        <v>267</v>
      </c>
      <c r="D794" s="261" t="s">
        <v>686</v>
      </c>
      <c r="E794" s="261"/>
      <c r="F794" s="261" t="s">
        <v>1211</v>
      </c>
      <c r="G794" s="359" t="s">
        <v>1104</v>
      </c>
      <c r="H794" s="262" t="s">
        <v>267</v>
      </c>
      <c r="I794" s="261" t="s">
        <v>1105</v>
      </c>
      <c r="J794" s="261" t="s">
        <v>1208</v>
      </c>
      <c r="K794" s="253"/>
      <c r="L794" s="253"/>
      <c r="M794" s="253"/>
      <c r="N794" s="253"/>
      <c r="O794" s="253"/>
      <c r="P794" s="253"/>
      <c r="Q794" s="253"/>
      <c r="R794" s="253"/>
      <c r="S794" s="253"/>
    </row>
    <row r="795" spans="1:19">
      <c r="A795" s="261" t="s">
        <v>913</v>
      </c>
      <c r="B795" s="359" t="s">
        <v>1106</v>
      </c>
      <c r="C795" s="261" t="s">
        <v>267</v>
      </c>
      <c r="D795" s="261" t="s">
        <v>686</v>
      </c>
      <c r="E795" s="261"/>
      <c r="F795" s="261" t="s">
        <v>1211</v>
      </c>
      <c r="G795" s="359" t="s">
        <v>1106</v>
      </c>
      <c r="H795" s="262" t="s">
        <v>267</v>
      </c>
      <c r="I795" s="261" t="s">
        <v>1107</v>
      </c>
      <c r="J795" s="261" t="s">
        <v>1208</v>
      </c>
      <c r="K795" s="253"/>
      <c r="L795" s="253"/>
      <c r="M795" s="253"/>
      <c r="N795" s="253"/>
      <c r="O795" s="253"/>
      <c r="P795" s="253"/>
      <c r="Q795" s="253"/>
      <c r="R795" s="253"/>
      <c r="S795" s="253"/>
    </row>
    <row r="796" spans="1:19">
      <c r="A796" s="261" t="s">
        <v>913</v>
      </c>
      <c r="B796" s="359" t="s">
        <v>1108</v>
      </c>
      <c r="C796" s="261" t="s">
        <v>267</v>
      </c>
      <c r="D796" s="261" t="s">
        <v>686</v>
      </c>
      <c r="E796" s="261"/>
      <c r="F796" s="261" t="s">
        <v>1211</v>
      </c>
      <c r="G796" s="359" t="s">
        <v>1108</v>
      </c>
      <c r="H796" s="262" t="s">
        <v>267</v>
      </c>
      <c r="I796" s="261" t="s">
        <v>1109</v>
      </c>
      <c r="J796" s="261" t="s">
        <v>1208</v>
      </c>
      <c r="K796" s="253"/>
      <c r="L796" s="253"/>
      <c r="M796" s="253"/>
      <c r="N796" s="253"/>
      <c r="O796" s="253"/>
      <c r="P796" s="253"/>
      <c r="Q796" s="253"/>
      <c r="R796" s="253"/>
      <c r="S796" s="253"/>
    </row>
    <row r="797" spans="1:19">
      <c r="A797" s="261" t="s">
        <v>1210</v>
      </c>
      <c r="B797" s="261" t="s">
        <v>95</v>
      </c>
      <c r="C797" s="261" t="s">
        <v>267</v>
      </c>
      <c r="D797" s="261" t="s">
        <v>686</v>
      </c>
      <c r="E797" s="261"/>
      <c r="F797" s="261" t="s">
        <v>1211</v>
      </c>
      <c r="G797" s="261" t="s">
        <v>312</v>
      </c>
      <c r="H797" s="262" t="s">
        <v>267</v>
      </c>
      <c r="I797" s="261" t="s">
        <v>1111</v>
      </c>
      <c r="J797" s="261" t="s">
        <v>1208</v>
      </c>
      <c r="K797" s="253"/>
      <c r="L797" s="253"/>
      <c r="M797" s="253"/>
      <c r="N797" s="253"/>
      <c r="O797" s="253"/>
      <c r="P797" s="253"/>
      <c r="Q797" s="253"/>
      <c r="R797" s="253"/>
      <c r="S797" s="253"/>
    </row>
    <row r="798" spans="1:19">
      <c r="A798" s="261" t="s">
        <v>913</v>
      </c>
      <c r="B798" s="261" t="s">
        <v>92</v>
      </c>
      <c r="C798" s="261" t="s">
        <v>267</v>
      </c>
      <c r="D798" s="261" t="s">
        <v>686</v>
      </c>
      <c r="E798" s="261"/>
      <c r="F798" s="261" t="s">
        <v>1211</v>
      </c>
      <c r="G798" s="261" t="s">
        <v>310</v>
      </c>
      <c r="H798" s="262" t="s">
        <v>267</v>
      </c>
      <c r="I798" s="261" t="s">
        <v>1110</v>
      </c>
      <c r="J798" s="261" t="s">
        <v>1208</v>
      </c>
      <c r="K798" s="253"/>
      <c r="L798" s="253"/>
      <c r="M798" s="253"/>
      <c r="N798" s="253"/>
      <c r="O798" s="253"/>
      <c r="P798" s="253"/>
      <c r="Q798" s="253"/>
      <c r="R798" s="253"/>
      <c r="S798" s="253"/>
    </row>
    <row r="799" spans="1:19">
      <c r="A799" s="261" t="s">
        <v>913</v>
      </c>
      <c r="B799" s="261" t="s">
        <v>98</v>
      </c>
      <c r="C799" s="261" t="s">
        <v>267</v>
      </c>
      <c r="D799" s="261" t="s">
        <v>686</v>
      </c>
      <c r="E799" s="261"/>
      <c r="F799" s="261" t="s">
        <v>1211</v>
      </c>
      <c r="G799" s="261" t="s">
        <v>270</v>
      </c>
      <c r="H799" s="262" t="s">
        <v>267</v>
      </c>
      <c r="I799" s="261" t="s">
        <v>1112</v>
      </c>
      <c r="J799" s="261" t="s">
        <v>1208</v>
      </c>
      <c r="K799" s="253"/>
      <c r="L799" s="253"/>
      <c r="M799" s="253"/>
      <c r="N799" s="253"/>
      <c r="O799" s="253"/>
      <c r="P799" s="253"/>
      <c r="Q799" s="253"/>
      <c r="R799" s="253"/>
      <c r="S799" s="253"/>
    </row>
    <row r="800" spans="1:19">
      <c r="A800" s="261" t="s">
        <v>913</v>
      </c>
      <c r="B800" s="261" t="s">
        <v>99</v>
      </c>
      <c r="C800" s="261" t="s">
        <v>267</v>
      </c>
      <c r="D800" s="261" t="s">
        <v>686</v>
      </c>
      <c r="E800" s="261"/>
      <c r="F800" s="261" t="s">
        <v>1211</v>
      </c>
      <c r="G800" s="261" t="s">
        <v>271</v>
      </c>
      <c r="H800" s="262" t="s">
        <v>267</v>
      </c>
      <c r="I800" s="261" t="s">
        <v>1116</v>
      </c>
      <c r="J800" s="261" t="s">
        <v>1208</v>
      </c>
      <c r="K800" s="253"/>
      <c r="L800" s="253"/>
      <c r="M800" s="253"/>
      <c r="N800" s="253"/>
      <c r="O800" s="253"/>
      <c r="P800" s="253"/>
      <c r="Q800" s="253"/>
      <c r="R800" s="253"/>
      <c r="S800" s="253"/>
    </row>
    <row r="801" spans="1:19">
      <c r="A801" s="261" t="s">
        <v>913</v>
      </c>
      <c r="B801" s="261" t="s">
        <v>391</v>
      </c>
      <c r="C801" s="261" t="s">
        <v>267</v>
      </c>
      <c r="D801" s="261" t="s">
        <v>686</v>
      </c>
      <c r="E801" s="261"/>
      <c r="F801" s="261" t="s">
        <v>1211</v>
      </c>
      <c r="G801" s="261" t="s">
        <v>1117</v>
      </c>
      <c r="H801" s="262" t="s">
        <v>267</v>
      </c>
      <c r="I801" s="261" t="s">
        <v>391</v>
      </c>
      <c r="J801" s="261" t="s">
        <v>1208</v>
      </c>
      <c r="K801" s="253"/>
      <c r="L801" s="253"/>
      <c r="M801" s="253"/>
      <c r="N801" s="253"/>
      <c r="O801" s="253"/>
      <c r="P801" s="253"/>
      <c r="Q801" s="253"/>
      <c r="R801" s="253"/>
      <c r="S801" s="253"/>
    </row>
    <row r="802" spans="1:19">
      <c r="A802" s="263" t="s">
        <v>1118</v>
      </c>
      <c r="B802" s="261" t="s">
        <v>1119</v>
      </c>
      <c r="C802" s="261" t="s">
        <v>274</v>
      </c>
      <c r="D802" s="261" t="s">
        <v>686</v>
      </c>
      <c r="E802" s="261"/>
      <c r="F802" s="261" t="s">
        <v>1211</v>
      </c>
      <c r="G802" s="261" t="s">
        <v>1120</v>
      </c>
      <c r="H802" s="262" t="s">
        <v>274</v>
      </c>
      <c r="I802" s="261" t="s">
        <v>1121</v>
      </c>
      <c r="J802" s="261" t="s">
        <v>1208</v>
      </c>
      <c r="K802" s="253"/>
      <c r="L802" s="253"/>
      <c r="M802" s="253"/>
      <c r="N802" s="253"/>
      <c r="O802" s="253"/>
      <c r="P802" s="253"/>
      <c r="Q802" s="253"/>
      <c r="R802" s="253"/>
      <c r="S802" s="253"/>
    </row>
    <row r="803" spans="1:19">
      <c r="A803" s="263" t="s">
        <v>1118</v>
      </c>
      <c r="B803" s="261" t="s">
        <v>1122</v>
      </c>
      <c r="C803" s="261" t="s">
        <v>267</v>
      </c>
      <c r="D803" s="261" t="s">
        <v>686</v>
      </c>
      <c r="E803" s="261"/>
      <c r="F803" s="261" t="s">
        <v>1211</v>
      </c>
      <c r="G803" s="261" t="s">
        <v>1123</v>
      </c>
      <c r="H803" s="262" t="s">
        <v>267</v>
      </c>
      <c r="I803" s="261" t="s">
        <v>1124</v>
      </c>
      <c r="J803" s="261" t="s">
        <v>1208</v>
      </c>
      <c r="K803" s="253"/>
      <c r="L803" s="253"/>
      <c r="M803" s="253"/>
      <c r="N803" s="253"/>
      <c r="O803" s="253"/>
      <c r="P803" s="253"/>
      <c r="Q803" s="253"/>
      <c r="R803" s="253"/>
      <c r="S803" s="253"/>
    </row>
    <row r="804" spans="1:19">
      <c r="A804" s="261" t="s">
        <v>913</v>
      </c>
      <c r="B804" s="264" t="s">
        <v>186</v>
      </c>
      <c r="C804" s="261" t="s">
        <v>267</v>
      </c>
      <c r="D804" s="261" t="s">
        <v>686</v>
      </c>
      <c r="E804" s="261"/>
      <c r="F804" s="261" t="s">
        <v>1211</v>
      </c>
      <c r="G804" s="264" t="s">
        <v>186</v>
      </c>
      <c r="H804" s="262" t="s">
        <v>267</v>
      </c>
      <c r="I804" s="261" t="s">
        <v>1125</v>
      </c>
      <c r="J804" s="261" t="s">
        <v>1208</v>
      </c>
      <c r="K804" s="253"/>
      <c r="L804" s="253"/>
      <c r="M804" s="253"/>
      <c r="N804" s="253"/>
      <c r="O804" s="253"/>
      <c r="P804" s="253"/>
      <c r="Q804" s="253"/>
      <c r="R804" s="253"/>
      <c r="S804" s="253"/>
    </row>
    <row r="805" spans="1:19">
      <c r="A805" s="261" t="s">
        <v>913</v>
      </c>
      <c r="B805" s="264" t="s">
        <v>187</v>
      </c>
      <c r="C805" s="261" t="s">
        <v>267</v>
      </c>
      <c r="D805" s="261" t="s">
        <v>686</v>
      </c>
      <c r="E805" s="261"/>
      <c r="F805" s="261" t="s">
        <v>1211</v>
      </c>
      <c r="G805" s="264" t="s">
        <v>187</v>
      </c>
      <c r="H805" s="262" t="s">
        <v>267</v>
      </c>
      <c r="I805" s="261" t="s">
        <v>1126</v>
      </c>
      <c r="J805" s="261" t="s">
        <v>1208</v>
      </c>
      <c r="K805" s="253"/>
      <c r="L805" s="253"/>
      <c r="M805" s="253"/>
      <c r="N805" s="253"/>
      <c r="O805" s="253"/>
      <c r="P805" s="253"/>
      <c r="Q805" s="253"/>
      <c r="R805" s="253"/>
      <c r="S805" s="253"/>
    </row>
    <row r="806" spans="1:19">
      <c r="A806" s="261" t="s">
        <v>913</v>
      </c>
      <c r="B806" s="264" t="s">
        <v>188</v>
      </c>
      <c r="C806" s="261" t="s">
        <v>267</v>
      </c>
      <c r="D806" s="261" t="s">
        <v>686</v>
      </c>
      <c r="E806" s="261"/>
      <c r="F806" s="261" t="s">
        <v>1211</v>
      </c>
      <c r="G806" s="264" t="s">
        <v>188</v>
      </c>
      <c r="H806" s="262" t="s">
        <v>267</v>
      </c>
      <c r="I806" s="261" t="s">
        <v>1127</v>
      </c>
      <c r="J806" s="261" t="s">
        <v>1208</v>
      </c>
      <c r="K806" s="253"/>
      <c r="L806" s="253"/>
      <c r="M806" s="253"/>
      <c r="N806" s="253"/>
      <c r="O806" s="253"/>
      <c r="P806" s="253"/>
      <c r="Q806" s="253"/>
      <c r="R806" s="253"/>
      <c r="S806" s="253"/>
    </row>
    <row r="807" spans="1:19">
      <c r="A807" s="261" t="s">
        <v>913</v>
      </c>
      <c r="B807" s="264" t="s">
        <v>193</v>
      </c>
      <c r="C807" s="261" t="s">
        <v>267</v>
      </c>
      <c r="D807" s="261" t="s">
        <v>686</v>
      </c>
      <c r="E807" s="261"/>
      <c r="F807" s="261" t="s">
        <v>1211</v>
      </c>
      <c r="G807" s="264" t="s">
        <v>193</v>
      </c>
      <c r="H807" s="262" t="s">
        <v>267</v>
      </c>
      <c r="I807" s="261" t="s">
        <v>1128</v>
      </c>
      <c r="J807" s="261" t="s">
        <v>1208</v>
      </c>
      <c r="K807" s="253"/>
      <c r="L807" s="253"/>
      <c r="M807" s="253"/>
      <c r="N807" s="253"/>
      <c r="O807" s="253"/>
      <c r="P807" s="253"/>
      <c r="Q807" s="253"/>
      <c r="R807" s="253"/>
      <c r="S807" s="253"/>
    </row>
    <row r="808" spans="1:19">
      <c r="A808" s="261" t="s">
        <v>913</v>
      </c>
      <c r="B808" s="264" t="s">
        <v>194</v>
      </c>
      <c r="C808" s="261" t="s">
        <v>267</v>
      </c>
      <c r="D808" s="261" t="s">
        <v>686</v>
      </c>
      <c r="E808" s="261"/>
      <c r="F808" s="261" t="s">
        <v>1211</v>
      </c>
      <c r="G808" s="264" t="s">
        <v>194</v>
      </c>
      <c r="H808" s="262" t="s">
        <v>267</v>
      </c>
      <c r="I808" s="261" t="s">
        <v>1129</v>
      </c>
      <c r="J808" s="261" t="s">
        <v>1208</v>
      </c>
      <c r="K808" s="253"/>
      <c r="L808" s="253"/>
      <c r="M808" s="253"/>
      <c r="N808" s="253"/>
      <c r="O808" s="253"/>
      <c r="P808" s="253"/>
      <c r="Q808" s="253"/>
      <c r="R808" s="253"/>
      <c r="S808" s="253"/>
    </row>
    <row r="809" spans="1:19">
      <c r="A809" s="261" t="s">
        <v>913</v>
      </c>
      <c r="B809" s="264" t="s">
        <v>195</v>
      </c>
      <c r="C809" s="261" t="s">
        <v>267</v>
      </c>
      <c r="D809" s="261" t="s">
        <v>686</v>
      </c>
      <c r="E809" s="261"/>
      <c r="F809" s="261" t="s">
        <v>1211</v>
      </c>
      <c r="G809" s="264" t="s">
        <v>195</v>
      </c>
      <c r="H809" s="262" t="s">
        <v>267</v>
      </c>
      <c r="I809" s="261" t="s">
        <v>1130</v>
      </c>
      <c r="J809" s="261" t="s">
        <v>1208</v>
      </c>
      <c r="K809" s="253"/>
      <c r="L809" s="253"/>
      <c r="M809" s="253"/>
      <c r="N809" s="253"/>
      <c r="O809" s="253"/>
      <c r="P809" s="253"/>
      <c r="Q809" s="253"/>
      <c r="R809" s="253"/>
      <c r="S809" s="253"/>
    </row>
    <row r="810" spans="1:19">
      <c r="A810" s="261" t="s">
        <v>913</v>
      </c>
      <c r="B810" s="261" t="s">
        <v>426</v>
      </c>
      <c r="C810" s="261" t="s">
        <v>267</v>
      </c>
      <c r="D810" s="261" t="s">
        <v>686</v>
      </c>
      <c r="E810" s="261"/>
      <c r="F810" s="261" t="s">
        <v>1211</v>
      </c>
      <c r="G810" s="261" t="s">
        <v>1131</v>
      </c>
      <c r="H810" s="262" t="s">
        <v>267</v>
      </c>
      <c r="I810" s="261" t="s">
        <v>1132</v>
      </c>
      <c r="J810" s="261" t="s">
        <v>1208</v>
      </c>
      <c r="K810" s="253"/>
      <c r="L810" s="253"/>
      <c r="M810" s="253"/>
      <c r="N810" s="253"/>
      <c r="O810" s="253"/>
      <c r="P810" s="253"/>
      <c r="Q810" s="253"/>
      <c r="R810" s="253"/>
      <c r="S810" s="253"/>
    </row>
    <row r="811" spans="1:19">
      <c r="A811" s="261" t="s">
        <v>913</v>
      </c>
      <c r="B811" s="261" t="s">
        <v>1133</v>
      </c>
      <c r="C811" s="261" t="s">
        <v>267</v>
      </c>
      <c r="D811" s="261" t="s">
        <v>686</v>
      </c>
      <c r="E811" s="261"/>
      <c r="F811" s="261" t="s">
        <v>1211</v>
      </c>
      <c r="G811" s="261" t="s">
        <v>1134</v>
      </c>
      <c r="H811" s="262" t="s">
        <v>267</v>
      </c>
      <c r="I811" s="261" t="s">
        <v>1135</v>
      </c>
      <c r="J811" s="261" t="s">
        <v>1208</v>
      </c>
      <c r="K811" s="253"/>
      <c r="L811" s="253"/>
      <c r="M811" s="253"/>
      <c r="N811" s="253"/>
      <c r="O811" s="253"/>
      <c r="P811" s="253"/>
      <c r="Q811" s="253"/>
      <c r="R811" s="253"/>
      <c r="S811" s="253"/>
    </row>
    <row r="812" spans="1:19">
      <c r="A812" s="261" t="s">
        <v>1136</v>
      </c>
      <c r="B812" s="261" t="s">
        <v>441</v>
      </c>
      <c r="C812" s="261" t="s">
        <v>267</v>
      </c>
      <c r="D812" s="261" t="s">
        <v>686</v>
      </c>
      <c r="E812" s="261"/>
      <c r="F812" s="261" t="s">
        <v>1211</v>
      </c>
      <c r="G812" s="261" t="s">
        <v>443</v>
      </c>
      <c r="H812" s="262" t="s">
        <v>267</v>
      </c>
      <c r="I812" s="261" t="s">
        <v>1137</v>
      </c>
      <c r="J812" s="261" t="s">
        <v>1208</v>
      </c>
      <c r="K812" s="253"/>
      <c r="L812" s="253"/>
      <c r="M812" s="253"/>
      <c r="N812" s="253"/>
      <c r="O812" s="253"/>
      <c r="P812" s="253"/>
      <c r="Q812" s="253"/>
      <c r="R812" s="253"/>
      <c r="S812" s="253"/>
    </row>
    <row r="813" spans="1:19">
      <c r="A813" s="261" t="s">
        <v>1136</v>
      </c>
      <c r="B813" s="261" t="s">
        <v>401</v>
      </c>
      <c r="C813" s="261" t="s">
        <v>267</v>
      </c>
      <c r="D813" s="261" t="s">
        <v>686</v>
      </c>
      <c r="E813" s="261"/>
      <c r="F813" s="261" t="s">
        <v>1211</v>
      </c>
      <c r="G813" s="261" t="s">
        <v>403</v>
      </c>
      <c r="H813" s="262" t="s">
        <v>267</v>
      </c>
      <c r="I813" s="261" t="s">
        <v>1138</v>
      </c>
      <c r="J813" s="261" t="s">
        <v>1208</v>
      </c>
      <c r="K813" s="253"/>
      <c r="L813" s="253"/>
      <c r="M813" s="253"/>
      <c r="N813" s="253"/>
      <c r="O813" s="253"/>
      <c r="P813" s="253"/>
      <c r="Q813" s="253"/>
      <c r="R813" s="253"/>
      <c r="S813" s="253"/>
    </row>
    <row r="814" spans="1:19">
      <c r="A814" s="261" t="s">
        <v>913</v>
      </c>
      <c r="B814" s="261" t="s">
        <v>1139</v>
      </c>
      <c r="C814" s="261" t="s">
        <v>267</v>
      </c>
      <c r="D814" s="261" t="s">
        <v>686</v>
      </c>
      <c r="E814" s="261"/>
      <c r="F814" s="261" t="s">
        <v>1211</v>
      </c>
      <c r="G814" s="261" t="s">
        <v>1140</v>
      </c>
      <c r="H814" s="262" t="s">
        <v>267</v>
      </c>
      <c r="I814" s="261" t="s">
        <v>1141</v>
      </c>
      <c r="J814" s="261" t="s">
        <v>1208</v>
      </c>
      <c r="K814" s="253"/>
      <c r="L814" s="253"/>
      <c r="M814" s="253"/>
      <c r="N814" s="253"/>
      <c r="O814" s="253"/>
      <c r="P814" s="253"/>
      <c r="Q814" s="253"/>
      <c r="R814" s="253"/>
      <c r="S814" s="253"/>
    </row>
    <row r="815" spans="1:19">
      <c r="A815" s="261" t="s">
        <v>913</v>
      </c>
      <c r="B815" s="261" t="s">
        <v>380</v>
      </c>
      <c r="C815" s="261" t="s">
        <v>267</v>
      </c>
      <c r="D815" s="261" t="s">
        <v>686</v>
      </c>
      <c r="E815" s="261"/>
      <c r="F815" s="261" t="s">
        <v>1211</v>
      </c>
      <c r="G815" s="261" t="s">
        <v>170</v>
      </c>
      <c r="H815" s="262" t="s">
        <v>267</v>
      </c>
      <c r="I815" s="261" t="s">
        <v>1142</v>
      </c>
      <c r="J815" s="261" t="s">
        <v>1208</v>
      </c>
      <c r="K815" s="253"/>
      <c r="L815" s="253"/>
      <c r="M815" s="253"/>
      <c r="N815" s="253"/>
      <c r="O815" s="253"/>
      <c r="P815" s="253"/>
      <c r="Q815" s="253"/>
      <c r="R815" s="253"/>
      <c r="S815" s="253"/>
    </row>
    <row r="816" spans="1:19">
      <c r="A816" s="263" t="s">
        <v>1118</v>
      </c>
      <c r="B816" s="261" t="s">
        <v>1212</v>
      </c>
      <c r="C816" s="261" t="s">
        <v>267</v>
      </c>
      <c r="D816" s="261" t="s">
        <v>686</v>
      </c>
      <c r="E816" s="261"/>
      <c r="F816" s="261" t="s">
        <v>1211</v>
      </c>
      <c r="G816" s="261" t="s">
        <v>1168</v>
      </c>
      <c r="H816" s="262" t="s">
        <v>267</v>
      </c>
      <c r="I816" s="261" t="s">
        <v>1169</v>
      </c>
      <c r="J816" s="261" t="s">
        <v>1208</v>
      </c>
      <c r="K816" s="253"/>
      <c r="L816" s="253"/>
      <c r="M816" s="253"/>
      <c r="N816" s="253"/>
      <c r="O816" s="253"/>
      <c r="P816" s="253"/>
      <c r="Q816" s="253"/>
      <c r="R816" s="253"/>
      <c r="S816" s="253"/>
    </row>
    <row r="817" spans="1:19">
      <c r="A817" s="261" t="s">
        <v>1210</v>
      </c>
      <c r="B817" s="261" t="s">
        <v>1213</v>
      </c>
      <c r="C817" s="261" t="s">
        <v>267</v>
      </c>
      <c r="D817" s="261" t="s">
        <v>686</v>
      </c>
      <c r="E817" s="261"/>
      <c r="F817" s="261" t="s">
        <v>1211</v>
      </c>
      <c r="G817" s="261" t="s">
        <v>1214</v>
      </c>
      <c r="H817" s="262" t="s">
        <v>267</v>
      </c>
      <c r="I817" s="261" t="s">
        <v>1215</v>
      </c>
      <c r="J817" s="261" t="s">
        <v>1208</v>
      </c>
      <c r="K817" s="253"/>
      <c r="L817" s="253"/>
      <c r="M817" s="253"/>
      <c r="N817" s="253"/>
      <c r="O817" s="253"/>
      <c r="P817" s="253"/>
      <c r="Q817" s="253"/>
      <c r="R817" s="253"/>
      <c r="S817" s="253"/>
    </row>
    <row r="818" spans="1:19">
      <c r="A818" s="261" t="s">
        <v>1210</v>
      </c>
      <c r="B818" s="261" t="s">
        <v>1216</v>
      </c>
      <c r="C818" s="261" t="s">
        <v>267</v>
      </c>
      <c r="D818" s="261" t="s">
        <v>686</v>
      </c>
      <c r="E818" s="261"/>
      <c r="F818" s="261" t="s">
        <v>1211</v>
      </c>
      <c r="G818" s="261" t="s">
        <v>1217</v>
      </c>
      <c r="H818" s="262" t="s">
        <v>267</v>
      </c>
      <c r="I818" s="261" t="s">
        <v>1218</v>
      </c>
      <c r="J818" s="261" t="s">
        <v>1208</v>
      </c>
      <c r="K818" s="253"/>
      <c r="L818" s="253"/>
      <c r="M818" s="253"/>
      <c r="N818" s="253"/>
      <c r="O818" s="253"/>
      <c r="P818" s="253"/>
      <c r="Q818" s="253"/>
      <c r="R818" s="253"/>
      <c r="S818" s="253"/>
    </row>
    <row r="819" spans="1:19" ht="212.5">
      <c r="A819" s="261" t="s">
        <v>1210</v>
      </c>
      <c r="B819" s="261" t="s">
        <v>1216</v>
      </c>
      <c r="C819" s="261" t="s">
        <v>267</v>
      </c>
      <c r="D819" s="261" t="s">
        <v>922</v>
      </c>
      <c r="E819" s="360" t="s">
        <v>1219</v>
      </c>
      <c r="F819" s="261" t="s">
        <v>1211</v>
      </c>
      <c r="G819" s="261" t="s">
        <v>1220</v>
      </c>
      <c r="H819" s="262" t="s">
        <v>267</v>
      </c>
      <c r="I819" s="261" t="s">
        <v>1221</v>
      </c>
      <c r="J819" s="261" t="s">
        <v>1208</v>
      </c>
      <c r="K819" s="253"/>
      <c r="L819" s="253"/>
      <c r="M819" s="253"/>
      <c r="N819" s="253"/>
      <c r="O819" s="253"/>
      <c r="P819" s="253"/>
      <c r="Q819" s="253"/>
      <c r="R819" s="253"/>
      <c r="S819" s="253"/>
    </row>
    <row r="820" spans="1:19">
      <c r="A820" s="261" t="s">
        <v>913</v>
      </c>
      <c r="B820" s="361" t="s">
        <v>1164</v>
      </c>
      <c r="C820" s="261" t="s">
        <v>267</v>
      </c>
      <c r="D820" s="261" t="s">
        <v>686</v>
      </c>
      <c r="E820" s="261"/>
      <c r="F820" s="261" t="s">
        <v>1211</v>
      </c>
      <c r="G820" s="361" t="s">
        <v>1165</v>
      </c>
      <c r="H820" s="262" t="s">
        <v>267</v>
      </c>
      <c r="I820" s="261" t="s">
        <v>1166</v>
      </c>
      <c r="J820" s="261" t="s">
        <v>1208</v>
      </c>
      <c r="K820" s="253"/>
      <c r="L820" s="253"/>
      <c r="M820" s="253"/>
      <c r="N820" s="253"/>
      <c r="O820" s="253"/>
      <c r="P820" s="253"/>
      <c r="Q820" s="253"/>
      <c r="R820" s="253"/>
      <c r="S820" s="253"/>
    </row>
    <row r="821" spans="1:19" ht="50">
      <c r="A821" s="261" t="s">
        <v>913</v>
      </c>
      <c r="B821" s="261" t="s">
        <v>95</v>
      </c>
      <c r="C821" s="261" t="s">
        <v>267</v>
      </c>
      <c r="D821" s="261" t="s">
        <v>922</v>
      </c>
      <c r="E821" s="360" t="s">
        <v>1222</v>
      </c>
      <c r="F821" s="261" t="s">
        <v>1211</v>
      </c>
      <c r="G821" s="261" t="s">
        <v>1223</v>
      </c>
      <c r="H821" s="262" t="s">
        <v>274</v>
      </c>
      <c r="I821" s="261" t="s">
        <v>1224</v>
      </c>
      <c r="J821" s="261" t="s">
        <v>1208</v>
      </c>
      <c r="K821" s="253"/>
      <c r="L821" s="253"/>
      <c r="M821" s="253"/>
      <c r="N821" s="253"/>
      <c r="O821" s="253"/>
      <c r="P821" s="253"/>
      <c r="Q821" s="253"/>
      <c r="R821" s="253"/>
      <c r="S821" s="253"/>
    </row>
    <row r="822" spans="1:19">
      <c r="A822" s="261" t="s">
        <v>913</v>
      </c>
      <c r="B822" s="261" t="s">
        <v>1170</v>
      </c>
      <c r="C822" s="261" t="s">
        <v>267</v>
      </c>
      <c r="D822" s="261" t="s">
        <v>686</v>
      </c>
      <c r="E822" s="261"/>
      <c r="F822" s="261" t="s">
        <v>1211</v>
      </c>
      <c r="G822" s="261" t="s">
        <v>1171</v>
      </c>
      <c r="H822" s="262" t="s">
        <v>267</v>
      </c>
      <c r="I822" s="261" t="s">
        <v>1172</v>
      </c>
      <c r="J822" s="261" t="s">
        <v>1208</v>
      </c>
      <c r="K822" s="253"/>
      <c r="L822" s="253"/>
      <c r="M822" s="253"/>
      <c r="N822" s="253"/>
      <c r="O822" s="253"/>
      <c r="P822" s="253"/>
      <c r="Q822" s="253"/>
      <c r="R822" s="253"/>
      <c r="S822" s="253"/>
    </row>
    <row r="823" spans="1:19">
      <c r="A823" s="261" t="s">
        <v>913</v>
      </c>
      <c r="B823" s="261" t="s">
        <v>1173</v>
      </c>
      <c r="C823" s="261" t="s">
        <v>267</v>
      </c>
      <c r="D823" s="261" t="s">
        <v>922</v>
      </c>
      <c r="E823" s="261" t="s">
        <v>1225</v>
      </c>
      <c r="F823" s="261" t="s">
        <v>1211</v>
      </c>
      <c r="G823" s="261" t="s">
        <v>905</v>
      </c>
      <c r="H823" s="262" t="s">
        <v>267</v>
      </c>
      <c r="I823" s="261" t="s">
        <v>1175</v>
      </c>
      <c r="J823" s="261" t="s">
        <v>1208</v>
      </c>
      <c r="K823" s="253"/>
      <c r="L823" s="253"/>
      <c r="M823" s="253"/>
      <c r="N823" s="253"/>
      <c r="O823" s="253"/>
      <c r="P823" s="253"/>
      <c r="Q823" s="253"/>
      <c r="R823" s="253"/>
      <c r="S823" s="253"/>
    </row>
    <row r="824" spans="1:19" ht="62.5">
      <c r="A824" s="261" t="s">
        <v>1210</v>
      </c>
      <c r="B824" s="268" t="s">
        <v>312</v>
      </c>
      <c r="C824" s="268" t="s">
        <v>267</v>
      </c>
      <c r="D824" s="268" t="s">
        <v>922</v>
      </c>
      <c r="E824" s="268" t="s">
        <v>1226</v>
      </c>
      <c r="F824" s="261" t="s">
        <v>1211</v>
      </c>
      <c r="G824" s="261" t="s">
        <v>1227</v>
      </c>
      <c r="H824" s="262" t="s">
        <v>274</v>
      </c>
      <c r="I824" s="261"/>
      <c r="J824" s="261" t="s">
        <v>1208</v>
      </c>
      <c r="K824" s="253"/>
      <c r="L824" s="253"/>
      <c r="M824" s="253"/>
      <c r="N824" s="253"/>
      <c r="O824" s="253"/>
      <c r="P824" s="253"/>
      <c r="Q824" s="253"/>
      <c r="R824" s="253"/>
      <c r="S824" s="253"/>
    </row>
    <row r="825" spans="1:19">
      <c r="A825" s="261" t="s">
        <v>1136</v>
      </c>
      <c r="B825" s="261" t="s">
        <v>1178</v>
      </c>
      <c r="C825" s="261" t="s">
        <v>267</v>
      </c>
      <c r="D825" s="261" t="s">
        <v>686</v>
      </c>
      <c r="E825" s="261"/>
      <c r="F825" s="261" t="s">
        <v>1211</v>
      </c>
      <c r="G825" s="261" t="s">
        <v>1178</v>
      </c>
      <c r="H825" s="262" t="s">
        <v>267</v>
      </c>
      <c r="I825" s="261" t="s">
        <v>1179</v>
      </c>
      <c r="J825" s="261" t="s">
        <v>1208</v>
      </c>
      <c r="K825" s="253"/>
      <c r="L825" s="253"/>
      <c r="M825" s="253"/>
      <c r="N825" s="253"/>
      <c r="O825" s="253"/>
      <c r="P825" s="253"/>
      <c r="Q825" s="253"/>
      <c r="R825" s="253"/>
      <c r="S825" s="253"/>
    </row>
    <row r="826" spans="1:19">
      <c r="A826" s="261" t="s">
        <v>1210</v>
      </c>
      <c r="B826" s="261" t="s">
        <v>1228</v>
      </c>
      <c r="C826" s="261" t="s">
        <v>280</v>
      </c>
      <c r="D826" s="261" t="s">
        <v>686</v>
      </c>
      <c r="E826" s="261"/>
      <c r="F826" s="261" t="s">
        <v>1211</v>
      </c>
      <c r="G826" s="261" t="s">
        <v>1229</v>
      </c>
      <c r="H826" s="262" t="s">
        <v>280</v>
      </c>
      <c r="I826" s="261" t="s">
        <v>1230</v>
      </c>
      <c r="J826" s="261" t="s">
        <v>1208</v>
      </c>
      <c r="K826" s="253"/>
      <c r="L826" s="253"/>
      <c r="M826" s="253"/>
      <c r="N826" s="253"/>
      <c r="O826" s="253"/>
      <c r="P826" s="253"/>
      <c r="Q826" s="253"/>
      <c r="R826" s="253"/>
      <c r="S826" s="253"/>
    </row>
    <row r="827" spans="1:19" ht="37.5">
      <c r="A827" s="261" t="s">
        <v>1210</v>
      </c>
      <c r="B827" s="360" t="s">
        <v>1231</v>
      </c>
      <c r="C827" s="261" t="s">
        <v>280</v>
      </c>
      <c r="D827" s="261" t="s">
        <v>922</v>
      </c>
      <c r="E827" s="261" t="s">
        <v>1232</v>
      </c>
      <c r="F827" s="261" t="s">
        <v>1211</v>
      </c>
      <c r="G827" s="358" t="s">
        <v>1233</v>
      </c>
      <c r="H827" s="262" t="s">
        <v>280</v>
      </c>
      <c r="I827" s="261" t="s">
        <v>1234</v>
      </c>
      <c r="J827" s="261" t="s">
        <v>1208</v>
      </c>
      <c r="K827" s="253"/>
      <c r="L827" s="253"/>
      <c r="M827" s="253"/>
      <c r="N827" s="253"/>
      <c r="O827" s="253"/>
      <c r="P827" s="253"/>
      <c r="Q827" s="253"/>
      <c r="R827" s="253"/>
      <c r="S827" s="253"/>
    </row>
    <row r="828" spans="1:19" ht="38.5">
      <c r="A828" s="391" t="s">
        <v>1235</v>
      </c>
      <c r="B828" s="392" t="s">
        <v>1236</v>
      </c>
      <c r="C828" s="391" t="s">
        <v>267</v>
      </c>
      <c r="D828" s="391" t="s">
        <v>686</v>
      </c>
      <c r="E828" s="391" t="s">
        <v>1237</v>
      </c>
      <c r="F828" s="261" t="s">
        <v>1211</v>
      </c>
      <c r="G828" s="392" t="s">
        <v>1238</v>
      </c>
      <c r="H828" s="261" t="s">
        <v>267</v>
      </c>
      <c r="I828" s="392" t="s">
        <v>1238</v>
      </c>
      <c r="J828" s="261" t="s">
        <v>1208</v>
      </c>
      <c r="K828" s="291"/>
      <c r="L828" s="291"/>
      <c r="M828" s="291"/>
      <c r="N828" s="291"/>
      <c r="O828" s="291"/>
      <c r="P828" s="291"/>
      <c r="Q828" s="291"/>
      <c r="R828" s="291"/>
      <c r="S828" s="291"/>
    </row>
    <row r="829" spans="1:19">
      <c r="A829" s="258"/>
      <c r="B829" s="258"/>
      <c r="C829" s="258"/>
      <c r="D829" s="258"/>
      <c r="E829" s="258"/>
      <c r="F829" s="258"/>
      <c r="G829" s="258"/>
      <c r="H829" s="258"/>
      <c r="I829" s="258"/>
      <c r="J829" s="258"/>
      <c r="K829" s="253"/>
      <c r="L829" s="253"/>
      <c r="M829" s="253"/>
      <c r="N829" s="253"/>
      <c r="O829" s="253"/>
      <c r="P829" s="253"/>
      <c r="Q829" s="253"/>
      <c r="R829" s="253"/>
      <c r="S829" s="253"/>
    </row>
    <row r="830" spans="1:19" s="270" customFormat="1" ht="14">
      <c r="A830" s="529" t="s">
        <v>1239</v>
      </c>
      <c r="B830" s="529"/>
      <c r="C830" s="529"/>
      <c r="D830" s="529" t="s">
        <v>906</v>
      </c>
      <c r="E830" s="529"/>
      <c r="F830" s="529"/>
      <c r="G830" s="529"/>
      <c r="H830" s="529"/>
      <c r="I830" s="529"/>
      <c r="J830" s="529"/>
      <c r="K830" s="269"/>
      <c r="L830" s="269"/>
      <c r="M830" s="269"/>
      <c r="N830" s="269"/>
      <c r="O830" s="269"/>
      <c r="P830" s="269"/>
      <c r="Q830" s="269"/>
      <c r="R830" s="269"/>
      <c r="S830" s="269"/>
    </row>
    <row r="831" spans="1:19" ht="14">
      <c r="A831" s="269"/>
      <c r="B831" s="269"/>
      <c r="C831" s="269"/>
      <c r="D831" s="269"/>
      <c r="E831" s="269"/>
      <c r="F831" s="269"/>
      <c r="G831" s="269"/>
      <c r="H831" s="269"/>
      <c r="I831" s="269"/>
      <c r="J831" s="269"/>
      <c r="K831" s="269"/>
      <c r="L831" s="269"/>
      <c r="M831" s="269"/>
      <c r="N831" s="269"/>
      <c r="O831" s="269"/>
      <c r="P831" s="269"/>
      <c r="Q831" s="269"/>
      <c r="R831" s="269"/>
      <c r="S831" s="253"/>
    </row>
    <row r="832" spans="1:19" ht="147.65" customHeight="1">
      <c r="A832" s="530" t="s">
        <v>1240</v>
      </c>
      <c r="B832" s="530"/>
      <c r="C832" s="530"/>
      <c r="D832" s="253"/>
      <c r="E832" s="253"/>
      <c r="F832" s="253"/>
      <c r="G832" s="253"/>
      <c r="H832" s="253"/>
      <c r="I832" s="253"/>
      <c r="J832" s="253"/>
      <c r="K832" s="253"/>
      <c r="L832" s="253"/>
      <c r="M832" s="253"/>
      <c r="N832" s="253"/>
      <c r="O832" s="253"/>
      <c r="P832" s="253"/>
      <c r="Q832" s="253"/>
      <c r="R832" s="253"/>
      <c r="S832" s="253"/>
    </row>
    <row r="833" spans="1:19" ht="13">
      <c r="A833" s="259" t="s">
        <v>73</v>
      </c>
      <c r="B833" s="254" t="s">
        <v>74</v>
      </c>
      <c r="C833" s="255" t="s">
        <v>75</v>
      </c>
      <c r="D833" s="255" t="s">
        <v>76</v>
      </c>
      <c r="E833" s="256" t="s">
        <v>77</v>
      </c>
      <c r="F833" s="255" t="s">
        <v>78</v>
      </c>
      <c r="G833" s="255" t="s">
        <v>79</v>
      </c>
      <c r="H833" s="257" t="s">
        <v>80</v>
      </c>
      <c r="I833" s="255" t="s">
        <v>683</v>
      </c>
      <c r="J833" s="255" t="s">
        <v>261</v>
      </c>
      <c r="K833" s="253"/>
      <c r="L833" s="253"/>
      <c r="M833" s="253"/>
      <c r="N833" s="253"/>
      <c r="O833" s="253"/>
      <c r="P833" s="253"/>
      <c r="Q833" s="253"/>
      <c r="R833" s="253"/>
      <c r="S833" s="253"/>
    </row>
    <row r="834" spans="1:19">
      <c r="A834" s="265" t="s">
        <v>1241</v>
      </c>
      <c r="B834" s="261" t="s">
        <v>1242</v>
      </c>
      <c r="C834" s="261" t="s">
        <v>274</v>
      </c>
      <c r="D834" s="261" t="s">
        <v>686</v>
      </c>
      <c r="E834" s="261" t="s">
        <v>909</v>
      </c>
      <c r="F834" s="261" t="s">
        <v>1243</v>
      </c>
      <c r="G834" s="261" t="s">
        <v>911</v>
      </c>
      <c r="H834" s="261" t="s">
        <v>262</v>
      </c>
      <c r="I834" s="261" t="s">
        <v>912</v>
      </c>
      <c r="J834" s="261" t="s">
        <v>1239</v>
      </c>
      <c r="K834" s="253"/>
      <c r="L834" s="253"/>
      <c r="M834" s="253"/>
      <c r="N834" s="253"/>
      <c r="O834" s="253"/>
      <c r="P834" s="253"/>
      <c r="Q834" s="253"/>
      <c r="R834" s="253"/>
      <c r="S834" s="253"/>
    </row>
    <row r="835" spans="1:19" ht="31.5">
      <c r="A835" s="265" t="s">
        <v>1241</v>
      </c>
      <c r="B835" s="261" t="s">
        <v>92</v>
      </c>
      <c r="C835" s="261" t="s">
        <v>267</v>
      </c>
      <c r="D835" s="261" t="s">
        <v>922</v>
      </c>
      <c r="E835" s="348" t="s">
        <v>1244</v>
      </c>
      <c r="F835" s="261" t="s">
        <v>1243</v>
      </c>
      <c r="G835" s="261" t="s">
        <v>914</v>
      </c>
      <c r="H835" s="261" t="s">
        <v>267</v>
      </c>
      <c r="I835" s="261" t="s">
        <v>915</v>
      </c>
      <c r="J835" s="261" t="s">
        <v>1239</v>
      </c>
      <c r="K835" s="253"/>
      <c r="L835" s="253"/>
      <c r="M835" s="253"/>
      <c r="N835" s="253"/>
      <c r="O835" s="253"/>
      <c r="P835" s="253"/>
      <c r="Q835" s="253"/>
      <c r="R835" s="253"/>
      <c r="S835" s="253"/>
    </row>
    <row r="836" spans="1:19">
      <c r="A836" s="265" t="s">
        <v>1241</v>
      </c>
      <c r="B836" s="261" t="s">
        <v>92</v>
      </c>
      <c r="C836" s="261" t="s">
        <v>267</v>
      </c>
      <c r="D836" s="261" t="s">
        <v>922</v>
      </c>
      <c r="E836" s="348" t="s">
        <v>1245</v>
      </c>
      <c r="F836" s="261" t="s">
        <v>1243</v>
      </c>
      <c r="G836" s="261" t="s">
        <v>916</v>
      </c>
      <c r="H836" s="261" t="s">
        <v>267</v>
      </c>
      <c r="I836" s="261" t="s">
        <v>917</v>
      </c>
      <c r="J836" s="261" t="s">
        <v>1239</v>
      </c>
      <c r="K836" s="253"/>
      <c r="L836" s="253"/>
      <c r="M836" s="253"/>
      <c r="N836" s="253"/>
      <c r="O836" s="253"/>
      <c r="P836" s="253"/>
      <c r="Q836" s="253"/>
      <c r="R836" s="253"/>
      <c r="S836" s="253"/>
    </row>
    <row r="837" spans="1:19" ht="21">
      <c r="A837" s="265" t="s">
        <v>1241</v>
      </c>
      <c r="B837" s="261" t="s">
        <v>92</v>
      </c>
      <c r="C837" s="261" t="s">
        <v>267</v>
      </c>
      <c r="D837" s="261" t="s">
        <v>922</v>
      </c>
      <c r="E837" s="348" t="s">
        <v>1246</v>
      </c>
      <c r="F837" s="261" t="s">
        <v>1243</v>
      </c>
      <c r="G837" s="261" t="s">
        <v>918</v>
      </c>
      <c r="H837" s="261" t="s">
        <v>267</v>
      </c>
      <c r="I837" s="261" t="s">
        <v>919</v>
      </c>
      <c r="J837" s="261" t="s">
        <v>1239</v>
      </c>
      <c r="K837" s="253"/>
      <c r="L837" s="253"/>
      <c r="M837" s="253"/>
      <c r="N837" s="253"/>
      <c r="O837" s="253"/>
      <c r="P837" s="253"/>
      <c r="Q837" s="253"/>
      <c r="R837" s="253"/>
      <c r="S837" s="253"/>
    </row>
    <row r="838" spans="1:19">
      <c r="A838" s="265" t="s">
        <v>1241</v>
      </c>
      <c r="B838" s="261" t="s">
        <v>92</v>
      </c>
      <c r="C838" s="261" t="s">
        <v>267</v>
      </c>
      <c r="D838" s="261" t="s">
        <v>922</v>
      </c>
      <c r="E838" s="348" t="s">
        <v>1245</v>
      </c>
      <c r="F838" s="261" t="s">
        <v>1243</v>
      </c>
      <c r="G838" s="261" t="s">
        <v>920</v>
      </c>
      <c r="H838" s="261" t="s">
        <v>267</v>
      </c>
      <c r="I838" s="261" t="s">
        <v>921</v>
      </c>
      <c r="J838" s="261" t="s">
        <v>1239</v>
      </c>
      <c r="K838" s="253"/>
      <c r="L838" s="253"/>
      <c r="M838" s="253"/>
      <c r="N838" s="253"/>
      <c r="O838" s="253"/>
      <c r="P838" s="253"/>
      <c r="Q838" s="253"/>
      <c r="R838" s="253"/>
      <c r="S838" s="253"/>
    </row>
    <row r="839" spans="1:19" ht="25">
      <c r="A839" s="265" t="s">
        <v>1241</v>
      </c>
      <c r="B839" s="261" t="s">
        <v>312</v>
      </c>
      <c r="C839" s="261" t="s">
        <v>267</v>
      </c>
      <c r="D839" s="261" t="s">
        <v>922</v>
      </c>
      <c r="E839" s="158" t="s">
        <v>923</v>
      </c>
      <c r="F839" s="261" t="s">
        <v>1243</v>
      </c>
      <c r="G839" s="261" t="s">
        <v>924</v>
      </c>
      <c r="H839" s="261" t="s">
        <v>267</v>
      </c>
      <c r="I839" s="261" t="s">
        <v>925</v>
      </c>
      <c r="J839" s="261" t="s">
        <v>1239</v>
      </c>
      <c r="K839" s="253"/>
      <c r="L839" s="253"/>
      <c r="M839" s="253"/>
      <c r="N839" s="253"/>
      <c r="O839" s="253"/>
      <c r="P839" s="253"/>
      <c r="Q839" s="253"/>
      <c r="R839" s="253"/>
      <c r="S839" s="253"/>
    </row>
    <row r="840" spans="1:19">
      <c r="A840" s="265" t="s">
        <v>1241</v>
      </c>
      <c r="B840" s="261" t="s">
        <v>312</v>
      </c>
      <c r="C840" s="261" t="s">
        <v>267</v>
      </c>
      <c r="D840" s="261" t="s">
        <v>922</v>
      </c>
      <c r="E840" s="158" t="s">
        <v>926</v>
      </c>
      <c r="F840" s="261" t="s">
        <v>1243</v>
      </c>
      <c r="G840" s="261" t="s">
        <v>927</v>
      </c>
      <c r="H840" s="261" t="s">
        <v>267</v>
      </c>
      <c r="I840" s="261" t="s">
        <v>928</v>
      </c>
      <c r="J840" s="261" t="s">
        <v>1239</v>
      </c>
      <c r="K840" s="253"/>
      <c r="L840" s="253"/>
      <c r="M840" s="253"/>
      <c r="N840" s="253"/>
      <c r="O840" s="253"/>
      <c r="P840" s="253"/>
      <c r="Q840" s="253"/>
      <c r="R840" s="253"/>
      <c r="S840" s="253"/>
    </row>
    <row r="841" spans="1:19">
      <c r="A841" s="261" t="s">
        <v>913</v>
      </c>
      <c r="B841" s="261" t="s">
        <v>929</v>
      </c>
      <c r="C841" s="261" t="s">
        <v>267</v>
      </c>
      <c r="D841" s="261" t="s">
        <v>686</v>
      </c>
      <c r="E841" s="261"/>
      <c r="F841" s="261" t="s">
        <v>1243</v>
      </c>
      <c r="G841" s="261" t="s">
        <v>929</v>
      </c>
      <c r="H841" s="261" t="s">
        <v>267</v>
      </c>
      <c r="I841" s="261" t="s">
        <v>930</v>
      </c>
      <c r="J841" s="261" t="s">
        <v>1239</v>
      </c>
      <c r="K841" s="253"/>
      <c r="L841" s="253"/>
      <c r="M841" s="253"/>
      <c r="N841" s="253"/>
      <c r="O841" s="253"/>
      <c r="P841" s="253"/>
      <c r="Q841" s="253"/>
      <c r="R841" s="253"/>
      <c r="S841" s="253"/>
    </row>
    <row r="842" spans="1:19">
      <c r="A842" s="261" t="s">
        <v>913</v>
      </c>
      <c r="B842" s="261" t="s">
        <v>931</v>
      </c>
      <c r="C842" s="261" t="s">
        <v>267</v>
      </c>
      <c r="D842" s="261" t="s">
        <v>686</v>
      </c>
      <c r="E842" s="261"/>
      <c r="F842" s="261" t="s">
        <v>1243</v>
      </c>
      <c r="G842" s="261" t="s">
        <v>931</v>
      </c>
      <c r="H842" s="261" t="s">
        <v>267</v>
      </c>
      <c r="I842" s="261" t="s">
        <v>932</v>
      </c>
      <c r="J842" s="261" t="s">
        <v>1239</v>
      </c>
      <c r="K842" s="253"/>
      <c r="L842" s="253"/>
      <c r="M842" s="253"/>
      <c r="N842" s="253"/>
      <c r="O842" s="253"/>
      <c r="P842" s="253"/>
      <c r="Q842" s="253"/>
      <c r="R842" s="253"/>
      <c r="S842" s="253"/>
    </row>
    <row r="843" spans="1:19">
      <c r="A843" s="261" t="s">
        <v>913</v>
      </c>
      <c r="B843" s="261" t="s">
        <v>933</v>
      </c>
      <c r="C843" s="261" t="s">
        <v>267</v>
      </c>
      <c r="D843" s="261" t="s">
        <v>686</v>
      </c>
      <c r="E843" s="261"/>
      <c r="F843" s="261" t="s">
        <v>1243</v>
      </c>
      <c r="G843" s="261" t="s">
        <v>933</v>
      </c>
      <c r="H843" s="261" t="s">
        <v>267</v>
      </c>
      <c r="I843" s="261" t="s">
        <v>934</v>
      </c>
      <c r="J843" s="261" t="s">
        <v>1239</v>
      </c>
      <c r="K843" s="253"/>
      <c r="L843" s="253"/>
      <c r="M843" s="253"/>
      <c r="N843" s="253"/>
      <c r="O843" s="253"/>
      <c r="P843" s="253"/>
      <c r="Q843" s="253"/>
      <c r="R843" s="253"/>
      <c r="S843" s="253"/>
    </row>
    <row r="844" spans="1:19">
      <c r="A844" s="261" t="s">
        <v>913</v>
      </c>
      <c r="B844" s="261" t="s">
        <v>935</v>
      </c>
      <c r="C844" s="261" t="s">
        <v>267</v>
      </c>
      <c r="D844" s="261" t="s">
        <v>686</v>
      </c>
      <c r="E844" s="261"/>
      <c r="F844" s="261" t="s">
        <v>1243</v>
      </c>
      <c r="G844" s="261" t="s">
        <v>935</v>
      </c>
      <c r="H844" s="261" t="s">
        <v>267</v>
      </c>
      <c r="I844" s="261" t="s">
        <v>936</v>
      </c>
      <c r="J844" s="261" t="s">
        <v>1239</v>
      </c>
      <c r="K844" s="253"/>
      <c r="L844" s="253"/>
      <c r="M844" s="253"/>
      <c r="N844" s="253"/>
      <c r="O844" s="253"/>
      <c r="P844" s="253"/>
      <c r="Q844" s="253"/>
      <c r="R844" s="253"/>
      <c r="S844" s="253"/>
    </row>
    <row r="845" spans="1:19">
      <c r="A845" s="261" t="s">
        <v>913</v>
      </c>
      <c r="B845" s="261" t="s">
        <v>937</v>
      </c>
      <c r="C845" s="261" t="s">
        <v>267</v>
      </c>
      <c r="D845" s="261" t="s">
        <v>686</v>
      </c>
      <c r="E845" s="261"/>
      <c r="F845" s="261" t="s">
        <v>1243</v>
      </c>
      <c r="G845" s="261" t="s">
        <v>937</v>
      </c>
      <c r="H845" s="261" t="s">
        <v>267</v>
      </c>
      <c r="I845" s="261" t="s">
        <v>938</v>
      </c>
      <c r="J845" s="261" t="s">
        <v>1239</v>
      </c>
      <c r="K845" s="253"/>
      <c r="L845" s="253"/>
      <c r="M845" s="253"/>
      <c r="N845" s="253"/>
      <c r="O845" s="253"/>
      <c r="P845" s="253"/>
      <c r="Q845" s="253"/>
      <c r="R845" s="253"/>
      <c r="S845" s="253"/>
    </row>
    <row r="846" spans="1:19">
      <c r="A846" s="261" t="s">
        <v>913</v>
      </c>
      <c r="B846" s="261" t="s">
        <v>939</v>
      </c>
      <c r="C846" s="261" t="s">
        <v>267</v>
      </c>
      <c r="D846" s="261" t="s">
        <v>686</v>
      </c>
      <c r="E846" s="261"/>
      <c r="F846" s="261" t="s">
        <v>1243</v>
      </c>
      <c r="G846" s="261" t="s">
        <v>939</v>
      </c>
      <c r="H846" s="261" t="s">
        <v>267</v>
      </c>
      <c r="I846" s="261" t="s">
        <v>940</v>
      </c>
      <c r="J846" s="261" t="s">
        <v>1239</v>
      </c>
      <c r="K846" s="253"/>
      <c r="L846" s="253"/>
      <c r="M846" s="253"/>
      <c r="N846" s="253"/>
      <c r="O846" s="253"/>
      <c r="P846" s="253"/>
      <c r="Q846" s="253"/>
      <c r="R846" s="253"/>
      <c r="S846" s="253"/>
    </row>
    <row r="847" spans="1:19">
      <c r="A847" s="261" t="s">
        <v>913</v>
      </c>
      <c r="B847" s="261" t="s">
        <v>941</v>
      </c>
      <c r="C847" s="261" t="s">
        <v>267</v>
      </c>
      <c r="D847" s="261" t="s">
        <v>686</v>
      </c>
      <c r="E847" s="261"/>
      <c r="F847" s="261" t="s">
        <v>1243</v>
      </c>
      <c r="G847" s="261" t="s">
        <v>941</v>
      </c>
      <c r="H847" s="261" t="s">
        <v>267</v>
      </c>
      <c r="I847" s="261" t="s">
        <v>942</v>
      </c>
      <c r="J847" s="261" t="s">
        <v>1239</v>
      </c>
      <c r="K847" s="253"/>
      <c r="L847" s="253"/>
      <c r="M847" s="253"/>
      <c r="N847" s="253"/>
      <c r="O847" s="253"/>
      <c r="P847" s="253"/>
      <c r="Q847" s="253"/>
      <c r="R847" s="253"/>
      <c r="S847" s="253"/>
    </row>
    <row r="848" spans="1:19">
      <c r="A848" s="261" t="s">
        <v>913</v>
      </c>
      <c r="B848" s="261" t="s">
        <v>943</v>
      </c>
      <c r="C848" s="261" t="s">
        <v>267</v>
      </c>
      <c r="D848" s="261" t="s">
        <v>686</v>
      </c>
      <c r="E848" s="261"/>
      <c r="F848" s="261" t="s">
        <v>1243</v>
      </c>
      <c r="G848" s="261" t="s">
        <v>943</v>
      </c>
      <c r="H848" s="261" t="s">
        <v>267</v>
      </c>
      <c r="I848" s="261" t="s">
        <v>944</v>
      </c>
      <c r="J848" s="261" t="s">
        <v>1239</v>
      </c>
      <c r="K848" s="253"/>
      <c r="L848" s="253"/>
      <c r="M848" s="253"/>
      <c r="N848" s="253"/>
      <c r="O848" s="253"/>
      <c r="P848" s="253"/>
      <c r="Q848" s="253"/>
      <c r="R848" s="253"/>
      <c r="S848" s="253"/>
    </row>
    <row r="849" spans="1:19">
      <c r="A849" s="261" t="s">
        <v>913</v>
      </c>
      <c r="B849" s="261" t="s">
        <v>945</v>
      </c>
      <c r="C849" s="261" t="s">
        <v>267</v>
      </c>
      <c r="D849" s="261" t="s">
        <v>686</v>
      </c>
      <c r="E849" s="261"/>
      <c r="F849" s="261" t="s">
        <v>1243</v>
      </c>
      <c r="G849" s="261" t="s">
        <v>945</v>
      </c>
      <c r="H849" s="261" t="s">
        <v>267</v>
      </c>
      <c r="I849" s="261" t="s">
        <v>946</v>
      </c>
      <c r="J849" s="261" t="s">
        <v>1239</v>
      </c>
      <c r="K849" s="253"/>
      <c r="L849" s="253"/>
      <c r="M849" s="253"/>
      <c r="N849" s="253"/>
      <c r="O849" s="253"/>
      <c r="P849" s="253"/>
      <c r="Q849" s="253"/>
      <c r="R849" s="253"/>
      <c r="S849" s="253"/>
    </row>
    <row r="850" spans="1:19">
      <c r="A850" s="261" t="s">
        <v>913</v>
      </c>
      <c r="B850" s="261" t="s">
        <v>947</v>
      </c>
      <c r="C850" s="261" t="s">
        <v>267</v>
      </c>
      <c r="D850" s="261" t="s">
        <v>686</v>
      </c>
      <c r="E850" s="261"/>
      <c r="F850" s="261" t="s">
        <v>1243</v>
      </c>
      <c r="G850" s="261" t="s">
        <v>947</v>
      </c>
      <c r="H850" s="261" t="s">
        <v>267</v>
      </c>
      <c r="I850" s="261" t="s">
        <v>948</v>
      </c>
      <c r="J850" s="261" t="s">
        <v>1239</v>
      </c>
      <c r="K850" s="253"/>
      <c r="L850" s="253"/>
      <c r="M850" s="253"/>
      <c r="N850" s="253"/>
      <c r="O850" s="253"/>
      <c r="P850" s="253"/>
      <c r="Q850" s="253"/>
      <c r="R850" s="253"/>
      <c r="S850" s="253"/>
    </row>
    <row r="851" spans="1:19">
      <c r="A851" s="261" t="s">
        <v>913</v>
      </c>
      <c r="B851" s="261" t="s">
        <v>949</v>
      </c>
      <c r="C851" s="261" t="s">
        <v>267</v>
      </c>
      <c r="D851" s="261" t="s">
        <v>686</v>
      </c>
      <c r="E851" s="261"/>
      <c r="F851" s="261" t="s">
        <v>1243</v>
      </c>
      <c r="G851" s="261" t="s">
        <v>949</v>
      </c>
      <c r="H851" s="261" t="s">
        <v>267</v>
      </c>
      <c r="I851" s="261" t="s">
        <v>950</v>
      </c>
      <c r="J851" s="261" t="s">
        <v>1239</v>
      </c>
      <c r="K851" s="253"/>
      <c r="L851" s="253"/>
      <c r="M851" s="253"/>
      <c r="N851" s="253"/>
      <c r="O851" s="253"/>
      <c r="P851" s="253"/>
      <c r="Q851" s="253"/>
      <c r="R851" s="253"/>
      <c r="S851" s="253"/>
    </row>
    <row r="852" spans="1:19">
      <c r="A852" s="261" t="s">
        <v>913</v>
      </c>
      <c r="B852" s="261" t="s">
        <v>951</v>
      </c>
      <c r="C852" s="261" t="s">
        <v>267</v>
      </c>
      <c r="D852" s="261" t="s">
        <v>686</v>
      </c>
      <c r="E852" s="261"/>
      <c r="F852" s="261" t="s">
        <v>1243</v>
      </c>
      <c r="G852" s="261" t="s">
        <v>951</v>
      </c>
      <c r="H852" s="261" t="s">
        <v>267</v>
      </c>
      <c r="I852" s="261" t="s">
        <v>952</v>
      </c>
      <c r="J852" s="261" t="s">
        <v>1239</v>
      </c>
      <c r="K852" s="253"/>
      <c r="L852" s="253"/>
      <c r="M852" s="253"/>
      <c r="N852" s="253"/>
      <c r="O852" s="253"/>
      <c r="P852" s="253"/>
      <c r="Q852" s="253"/>
      <c r="R852" s="253"/>
      <c r="S852" s="253"/>
    </row>
    <row r="853" spans="1:19">
      <c r="A853" s="261" t="s">
        <v>913</v>
      </c>
      <c r="B853" s="261" t="s">
        <v>953</v>
      </c>
      <c r="C853" s="261" t="s">
        <v>267</v>
      </c>
      <c r="D853" s="261" t="s">
        <v>686</v>
      </c>
      <c r="E853" s="261"/>
      <c r="F853" s="261" t="s">
        <v>1243</v>
      </c>
      <c r="G853" s="261" t="s">
        <v>953</v>
      </c>
      <c r="H853" s="261" t="s">
        <v>267</v>
      </c>
      <c r="I853" s="261" t="s">
        <v>954</v>
      </c>
      <c r="J853" s="261" t="s">
        <v>1239</v>
      </c>
      <c r="K853" s="253"/>
      <c r="L853" s="253"/>
      <c r="M853" s="253"/>
      <c r="N853" s="253"/>
      <c r="O853" s="253"/>
      <c r="P853" s="253"/>
      <c r="Q853" s="253"/>
      <c r="R853" s="253"/>
      <c r="S853" s="253"/>
    </row>
    <row r="854" spans="1:19">
      <c r="A854" s="261" t="s">
        <v>913</v>
      </c>
      <c r="B854" s="261" t="s">
        <v>955</v>
      </c>
      <c r="C854" s="261" t="s">
        <v>267</v>
      </c>
      <c r="D854" s="261" t="s">
        <v>686</v>
      </c>
      <c r="E854" s="261"/>
      <c r="F854" s="261" t="s">
        <v>1243</v>
      </c>
      <c r="G854" s="261" t="s">
        <v>955</v>
      </c>
      <c r="H854" s="261" t="s">
        <v>267</v>
      </c>
      <c r="I854" s="261" t="s">
        <v>956</v>
      </c>
      <c r="J854" s="261" t="s">
        <v>1239</v>
      </c>
      <c r="K854" s="253"/>
      <c r="L854" s="253"/>
      <c r="M854" s="253"/>
      <c r="N854" s="253"/>
      <c r="O854" s="253"/>
      <c r="P854" s="253"/>
      <c r="Q854" s="253"/>
      <c r="R854" s="253"/>
      <c r="S854" s="253"/>
    </row>
    <row r="855" spans="1:19">
      <c r="A855" s="261" t="s">
        <v>913</v>
      </c>
      <c r="B855" s="261" t="s">
        <v>957</v>
      </c>
      <c r="C855" s="261" t="s">
        <v>267</v>
      </c>
      <c r="D855" s="261" t="s">
        <v>686</v>
      </c>
      <c r="E855" s="261"/>
      <c r="F855" s="261" t="s">
        <v>1243</v>
      </c>
      <c r="G855" s="261" t="s">
        <v>957</v>
      </c>
      <c r="H855" s="261" t="s">
        <v>267</v>
      </c>
      <c r="I855" s="261" t="s">
        <v>958</v>
      </c>
      <c r="J855" s="261" t="s">
        <v>1239</v>
      </c>
      <c r="K855" s="253"/>
      <c r="L855" s="253"/>
      <c r="M855" s="253"/>
      <c r="N855" s="253"/>
      <c r="O855" s="253"/>
      <c r="P855" s="253"/>
      <c r="Q855" s="253"/>
      <c r="R855" s="253"/>
      <c r="S855" s="253"/>
    </row>
    <row r="856" spans="1:19">
      <c r="A856" s="261" t="s">
        <v>913</v>
      </c>
      <c r="B856" s="261" t="s">
        <v>959</v>
      </c>
      <c r="C856" s="261" t="s">
        <v>267</v>
      </c>
      <c r="D856" s="261" t="s">
        <v>686</v>
      </c>
      <c r="E856" s="261"/>
      <c r="F856" s="261" t="s">
        <v>1243</v>
      </c>
      <c r="G856" s="261" t="s">
        <v>959</v>
      </c>
      <c r="H856" s="261" t="s">
        <v>267</v>
      </c>
      <c r="I856" s="261" t="s">
        <v>960</v>
      </c>
      <c r="J856" s="261" t="s">
        <v>1239</v>
      </c>
      <c r="K856" s="253"/>
      <c r="L856" s="253"/>
      <c r="M856" s="253"/>
      <c r="N856" s="253"/>
      <c r="O856" s="253"/>
      <c r="P856" s="253"/>
      <c r="Q856" s="253"/>
      <c r="R856" s="253"/>
      <c r="S856" s="253"/>
    </row>
    <row r="857" spans="1:19">
      <c r="A857" s="261" t="s">
        <v>913</v>
      </c>
      <c r="B857" s="261" t="s">
        <v>961</v>
      </c>
      <c r="C857" s="261" t="s">
        <v>267</v>
      </c>
      <c r="D857" s="261" t="s">
        <v>686</v>
      </c>
      <c r="E857" s="261"/>
      <c r="F857" s="261" t="s">
        <v>1243</v>
      </c>
      <c r="G857" s="261" t="s">
        <v>961</v>
      </c>
      <c r="H857" s="261" t="s">
        <v>267</v>
      </c>
      <c r="I857" s="261" t="s">
        <v>962</v>
      </c>
      <c r="J857" s="261" t="s">
        <v>1239</v>
      </c>
      <c r="K857" s="253"/>
      <c r="L857" s="253"/>
      <c r="M857" s="253"/>
      <c r="N857" s="253"/>
      <c r="O857" s="253"/>
      <c r="P857" s="253"/>
      <c r="Q857" s="253"/>
      <c r="R857" s="253"/>
      <c r="S857" s="253"/>
    </row>
    <row r="858" spans="1:19">
      <c r="A858" s="261" t="s">
        <v>913</v>
      </c>
      <c r="B858" s="261" t="s">
        <v>963</v>
      </c>
      <c r="C858" s="261" t="s">
        <v>267</v>
      </c>
      <c r="D858" s="261" t="s">
        <v>686</v>
      </c>
      <c r="E858" s="261"/>
      <c r="F858" s="261" t="s">
        <v>1243</v>
      </c>
      <c r="G858" s="261" t="s">
        <v>963</v>
      </c>
      <c r="H858" s="261" t="s">
        <v>267</v>
      </c>
      <c r="I858" s="261" t="s">
        <v>964</v>
      </c>
      <c r="J858" s="261" t="s">
        <v>1239</v>
      </c>
      <c r="K858" s="253"/>
      <c r="L858" s="253"/>
      <c r="M858" s="253"/>
      <c r="N858" s="253"/>
      <c r="O858" s="253"/>
      <c r="P858" s="253"/>
      <c r="Q858" s="253"/>
      <c r="R858" s="253"/>
      <c r="S858" s="253"/>
    </row>
    <row r="859" spans="1:19">
      <c r="A859" s="261" t="s">
        <v>913</v>
      </c>
      <c r="B859" s="261" t="s">
        <v>965</v>
      </c>
      <c r="C859" s="261" t="s">
        <v>267</v>
      </c>
      <c r="D859" s="261" t="s">
        <v>686</v>
      </c>
      <c r="E859" s="261"/>
      <c r="F859" s="261" t="s">
        <v>1243</v>
      </c>
      <c r="G859" s="261" t="s">
        <v>965</v>
      </c>
      <c r="H859" s="261" t="s">
        <v>267</v>
      </c>
      <c r="I859" s="261" t="s">
        <v>966</v>
      </c>
      <c r="J859" s="261" t="s">
        <v>1239</v>
      </c>
      <c r="K859" s="253"/>
      <c r="L859" s="253"/>
      <c r="M859" s="253"/>
      <c r="N859" s="253"/>
      <c r="O859" s="253"/>
      <c r="P859" s="253"/>
      <c r="Q859" s="253"/>
      <c r="R859" s="253"/>
      <c r="S859" s="253"/>
    </row>
    <row r="860" spans="1:19">
      <c r="A860" s="261" t="s">
        <v>913</v>
      </c>
      <c r="B860" s="261" t="s">
        <v>967</v>
      </c>
      <c r="C860" s="261" t="s">
        <v>267</v>
      </c>
      <c r="D860" s="261" t="s">
        <v>686</v>
      </c>
      <c r="E860" s="261"/>
      <c r="F860" s="261" t="s">
        <v>1243</v>
      </c>
      <c r="G860" s="261" t="s">
        <v>967</v>
      </c>
      <c r="H860" s="261" t="s">
        <v>267</v>
      </c>
      <c r="I860" s="261" t="s">
        <v>968</v>
      </c>
      <c r="J860" s="261" t="s">
        <v>1239</v>
      </c>
      <c r="K860" s="253"/>
      <c r="L860" s="253"/>
      <c r="M860" s="253"/>
      <c r="N860" s="253"/>
      <c r="O860" s="253"/>
      <c r="P860" s="253"/>
      <c r="Q860" s="253"/>
      <c r="R860" s="253"/>
      <c r="S860" s="253"/>
    </row>
    <row r="861" spans="1:19">
      <c r="A861" s="261" t="s">
        <v>913</v>
      </c>
      <c r="B861" s="261" t="s">
        <v>969</v>
      </c>
      <c r="C861" s="261" t="s">
        <v>267</v>
      </c>
      <c r="D861" s="261" t="s">
        <v>686</v>
      </c>
      <c r="E861" s="261"/>
      <c r="F861" s="261" t="s">
        <v>1243</v>
      </c>
      <c r="G861" s="261" t="s">
        <v>969</v>
      </c>
      <c r="H861" s="261" t="s">
        <v>267</v>
      </c>
      <c r="I861" s="261" t="s">
        <v>970</v>
      </c>
      <c r="J861" s="261" t="s">
        <v>1239</v>
      </c>
      <c r="K861" s="253"/>
      <c r="L861" s="253"/>
      <c r="M861" s="253"/>
      <c r="N861" s="253"/>
      <c r="O861" s="253"/>
      <c r="P861" s="253"/>
      <c r="Q861" s="253"/>
      <c r="R861" s="253"/>
      <c r="S861" s="253"/>
    </row>
    <row r="862" spans="1:19">
      <c r="A862" s="261" t="s">
        <v>913</v>
      </c>
      <c r="B862" s="261" t="s">
        <v>971</v>
      </c>
      <c r="C862" s="261" t="s">
        <v>267</v>
      </c>
      <c r="D862" s="261" t="s">
        <v>686</v>
      </c>
      <c r="E862" s="261"/>
      <c r="F862" s="261" t="s">
        <v>1243</v>
      </c>
      <c r="G862" s="261" t="s">
        <v>971</v>
      </c>
      <c r="H862" s="261" t="s">
        <v>267</v>
      </c>
      <c r="I862" s="261" t="s">
        <v>972</v>
      </c>
      <c r="J862" s="261" t="s">
        <v>1239</v>
      </c>
      <c r="K862" s="253"/>
      <c r="L862" s="253"/>
      <c r="M862" s="253"/>
      <c r="N862" s="253"/>
      <c r="O862" s="253"/>
      <c r="P862" s="253"/>
      <c r="Q862" s="253"/>
      <c r="R862" s="253"/>
      <c r="S862" s="253"/>
    </row>
    <row r="863" spans="1:19">
      <c r="A863" s="261" t="s">
        <v>913</v>
      </c>
      <c r="B863" s="261" t="s">
        <v>973</v>
      </c>
      <c r="C863" s="261" t="s">
        <v>267</v>
      </c>
      <c r="D863" s="261" t="s">
        <v>686</v>
      </c>
      <c r="E863" s="261"/>
      <c r="F863" s="261" t="s">
        <v>1243</v>
      </c>
      <c r="G863" s="261" t="s">
        <v>973</v>
      </c>
      <c r="H863" s="261" t="s">
        <v>267</v>
      </c>
      <c r="I863" s="261" t="s">
        <v>974</v>
      </c>
      <c r="J863" s="261" t="s">
        <v>1239</v>
      </c>
      <c r="K863" s="253"/>
      <c r="L863" s="253"/>
      <c r="M863" s="253"/>
      <c r="N863" s="253"/>
      <c r="O863" s="253"/>
      <c r="P863" s="253"/>
      <c r="Q863" s="253"/>
      <c r="R863" s="253"/>
      <c r="S863" s="253"/>
    </row>
    <row r="864" spans="1:19">
      <c r="A864" s="261" t="s">
        <v>913</v>
      </c>
      <c r="B864" s="261" t="s">
        <v>975</v>
      </c>
      <c r="C864" s="261" t="s">
        <v>267</v>
      </c>
      <c r="D864" s="261" t="s">
        <v>686</v>
      </c>
      <c r="E864" s="261"/>
      <c r="F864" s="261" t="s">
        <v>1243</v>
      </c>
      <c r="G864" s="261" t="s">
        <v>975</v>
      </c>
      <c r="H864" s="261" t="s">
        <v>267</v>
      </c>
      <c r="I864" s="261" t="s">
        <v>976</v>
      </c>
      <c r="J864" s="261" t="s">
        <v>1239</v>
      </c>
      <c r="K864" s="253"/>
      <c r="L864" s="253"/>
      <c r="M864" s="253"/>
      <c r="N864" s="253"/>
      <c r="O864" s="253"/>
      <c r="P864" s="253"/>
      <c r="Q864" s="253"/>
      <c r="R864" s="253"/>
      <c r="S864" s="253"/>
    </row>
    <row r="865" spans="1:19">
      <c r="A865" s="261" t="s">
        <v>913</v>
      </c>
      <c r="B865" s="261" t="s">
        <v>977</v>
      </c>
      <c r="C865" s="261" t="s">
        <v>267</v>
      </c>
      <c r="D865" s="261" t="s">
        <v>686</v>
      </c>
      <c r="E865" s="261"/>
      <c r="F865" s="261" t="s">
        <v>1243</v>
      </c>
      <c r="G865" s="261" t="s">
        <v>977</v>
      </c>
      <c r="H865" s="261" t="s">
        <v>267</v>
      </c>
      <c r="I865" s="261" t="s">
        <v>978</v>
      </c>
      <c r="J865" s="261" t="s">
        <v>1239</v>
      </c>
      <c r="K865" s="253"/>
      <c r="L865" s="253"/>
      <c r="M865" s="253"/>
      <c r="N865" s="253"/>
      <c r="O865" s="253"/>
      <c r="P865" s="253"/>
      <c r="Q865" s="253"/>
      <c r="R865" s="253"/>
      <c r="S865" s="253"/>
    </row>
    <row r="866" spans="1:19">
      <c r="A866" s="261" t="s">
        <v>913</v>
      </c>
      <c r="B866" s="261" t="s">
        <v>979</v>
      </c>
      <c r="C866" s="261" t="s">
        <v>267</v>
      </c>
      <c r="D866" s="261" t="s">
        <v>686</v>
      </c>
      <c r="E866" s="261"/>
      <c r="F866" s="261" t="s">
        <v>1243</v>
      </c>
      <c r="G866" s="261" t="s">
        <v>979</v>
      </c>
      <c r="H866" s="261" t="s">
        <v>267</v>
      </c>
      <c r="I866" s="261" t="s">
        <v>980</v>
      </c>
      <c r="J866" s="261" t="s">
        <v>1239</v>
      </c>
      <c r="K866" s="253"/>
      <c r="L866" s="253"/>
      <c r="M866" s="253"/>
      <c r="N866" s="253"/>
      <c r="O866" s="253"/>
      <c r="P866" s="253"/>
      <c r="Q866" s="253"/>
      <c r="R866" s="253"/>
      <c r="S866" s="253"/>
    </row>
    <row r="867" spans="1:19">
      <c r="A867" s="261" t="s">
        <v>913</v>
      </c>
      <c r="B867" s="261" t="s">
        <v>981</v>
      </c>
      <c r="C867" s="261" t="s">
        <v>267</v>
      </c>
      <c r="D867" s="261" t="s">
        <v>686</v>
      </c>
      <c r="E867" s="261"/>
      <c r="F867" s="261" t="s">
        <v>1243</v>
      </c>
      <c r="G867" s="261" t="s">
        <v>981</v>
      </c>
      <c r="H867" s="261" t="s">
        <v>267</v>
      </c>
      <c r="I867" s="261" t="s">
        <v>982</v>
      </c>
      <c r="J867" s="261" t="s">
        <v>1239</v>
      </c>
      <c r="K867" s="253"/>
      <c r="L867" s="253"/>
      <c r="M867" s="253"/>
      <c r="N867" s="253"/>
      <c r="O867" s="253"/>
      <c r="P867" s="253"/>
      <c r="Q867" s="253"/>
      <c r="R867" s="253"/>
      <c r="S867" s="253"/>
    </row>
    <row r="868" spans="1:19">
      <c r="A868" s="261" t="s">
        <v>913</v>
      </c>
      <c r="B868" s="261" t="s">
        <v>983</v>
      </c>
      <c r="C868" s="261" t="s">
        <v>267</v>
      </c>
      <c r="D868" s="261" t="s">
        <v>686</v>
      </c>
      <c r="E868" s="261"/>
      <c r="F868" s="261" t="s">
        <v>1243</v>
      </c>
      <c r="G868" s="261" t="s">
        <v>983</v>
      </c>
      <c r="H868" s="261" t="s">
        <v>267</v>
      </c>
      <c r="I868" s="261" t="s">
        <v>984</v>
      </c>
      <c r="J868" s="261" t="s">
        <v>1239</v>
      </c>
      <c r="K868" s="253"/>
      <c r="L868" s="253"/>
      <c r="M868" s="253"/>
      <c r="N868" s="253"/>
      <c r="O868" s="253"/>
      <c r="P868" s="253"/>
      <c r="Q868" s="253"/>
      <c r="R868" s="253"/>
      <c r="S868" s="253"/>
    </row>
    <row r="869" spans="1:19">
      <c r="A869" s="261" t="s">
        <v>913</v>
      </c>
      <c r="B869" s="261" t="s">
        <v>985</v>
      </c>
      <c r="C869" s="261" t="s">
        <v>267</v>
      </c>
      <c r="D869" s="261" t="s">
        <v>686</v>
      </c>
      <c r="E869" s="261"/>
      <c r="F869" s="261" t="s">
        <v>1243</v>
      </c>
      <c r="G869" s="261" t="s">
        <v>985</v>
      </c>
      <c r="H869" s="261" t="s">
        <v>267</v>
      </c>
      <c r="I869" s="261" t="s">
        <v>986</v>
      </c>
      <c r="J869" s="261" t="s">
        <v>1239</v>
      </c>
      <c r="K869" s="253"/>
      <c r="L869" s="253"/>
      <c r="M869" s="253"/>
      <c r="N869" s="253"/>
      <c r="O869" s="253"/>
      <c r="P869" s="253"/>
      <c r="Q869" s="253"/>
      <c r="R869" s="253"/>
      <c r="S869" s="253"/>
    </row>
    <row r="870" spans="1:19">
      <c r="A870" s="261" t="s">
        <v>913</v>
      </c>
      <c r="B870" s="261" t="s">
        <v>987</v>
      </c>
      <c r="C870" s="261" t="s">
        <v>267</v>
      </c>
      <c r="D870" s="261" t="s">
        <v>686</v>
      </c>
      <c r="E870" s="261"/>
      <c r="F870" s="261" t="s">
        <v>1243</v>
      </c>
      <c r="G870" s="261" t="s">
        <v>987</v>
      </c>
      <c r="H870" s="261" t="s">
        <v>267</v>
      </c>
      <c r="I870" s="261" t="s">
        <v>988</v>
      </c>
      <c r="J870" s="261" t="s">
        <v>1239</v>
      </c>
      <c r="K870" s="253"/>
      <c r="L870" s="253"/>
      <c r="M870" s="253"/>
      <c r="N870" s="253"/>
      <c r="O870" s="253"/>
      <c r="P870" s="253"/>
      <c r="Q870" s="253"/>
      <c r="R870" s="253"/>
      <c r="S870" s="253"/>
    </row>
    <row r="871" spans="1:19">
      <c r="A871" s="261" t="s">
        <v>913</v>
      </c>
      <c r="B871" s="261" t="s">
        <v>989</v>
      </c>
      <c r="C871" s="261" t="s">
        <v>267</v>
      </c>
      <c r="D871" s="261" t="s">
        <v>686</v>
      </c>
      <c r="E871" s="261"/>
      <c r="F871" s="261" t="s">
        <v>1243</v>
      </c>
      <c r="G871" s="261" t="s">
        <v>989</v>
      </c>
      <c r="H871" s="261" t="s">
        <v>267</v>
      </c>
      <c r="I871" s="261" t="s">
        <v>990</v>
      </c>
      <c r="J871" s="261" t="s">
        <v>1239</v>
      </c>
      <c r="K871" s="253"/>
      <c r="L871" s="253"/>
      <c r="M871" s="253"/>
      <c r="N871" s="253"/>
      <c r="O871" s="253"/>
      <c r="P871" s="253"/>
      <c r="Q871" s="253"/>
      <c r="R871" s="253"/>
      <c r="S871" s="253"/>
    </row>
    <row r="872" spans="1:19">
      <c r="A872" s="261" t="s">
        <v>913</v>
      </c>
      <c r="B872" s="261" t="s">
        <v>991</v>
      </c>
      <c r="C872" s="261" t="s">
        <v>267</v>
      </c>
      <c r="D872" s="261" t="s">
        <v>686</v>
      </c>
      <c r="E872" s="261"/>
      <c r="F872" s="261" t="s">
        <v>1243</v>
      </c>
      <c r="G872" s="261" t="s">
        <v>991</v>
      </c>
      <c r="H872" s="261" t="s">
        <v>267</v>
      </c>
      <c r="I872" s="261" t="s">
        <v>992</v>
      </c>
      <c r="J872" s="261" t="s">
        <v>1239</v>
      </c>
      <c r="K872" s="253"/>
      <c r="L872" s="253"/>
      <c r="M872" s="253"/>
      <c r="N872" s="253"/>
      <c r="O872" s="253"/>
      <c r="P872" s="253"/>
      <c r="Q872" s="253"/>
      <c r="R872" s="253"/>
      <c r="S872" s="253"/>
    </row>
    <row r="873" spans="1:19">
      <c r="A873" s="261" t="s">
        <v>913</v>
      </c>
      <c r="B873" s="261" t="s">
        <v>993</v>
      </c>
      <c r="C873" s="261" t="s">
        <v>267</v>
      </c>
      <c r="D873" s="261" t="s">
        <v>686</v>
      </c>
      <c r="E873" s="261"/>
      <c r="F873" s="261" t="s">
        <v>1243</v>
      </c>
      <c r="G873" s="261" t="s">
        <v>993</v>
      </c>
      <c r="H873" s="261" t="s">
        <v>267</v>
      </c>
      <c r="I873" s="261" t="s">
        <v>994</v>
      </c>
      <c r="J873" s="261" t="s">
        <v>1239</v>
      </c>
      <c r="K873" s="253"/>
      <c r="L873" s="253"/>
      <c r="M873" s="253"/>
      <c r="N873" s="253"/>
      <c r="O873" s="253"/>
      <c r="P873" s="253"/>
      <c r="Q873" s="253"/>
      <c r="R873" s="253"/>
      <c r="S873" s="253"/>
    </row>
    <row r="874" spans="1:19">
      <c r="A874" s="261" t="s">
        <v>913</v>
      </c>
      <c r="B874" s="261" t="s">
        <v>995</v>
      </c>
      <c r="C874" s="261" t="s">
        <v>267</v>
      </c>
      <c r="D874" s="261" t="s">
        <v>686</v>
      </c>
      <c r="E874" s="261"/>
      <c r="F874" s="261" t="s">
        <v>1243</v>
      </c>
      <c r="G874" s="261" t="s">
        <v>995</v>
      </c>
      <c r="H874" s="261" t="s">
        <v>267</v>
      </c>
      <c r="I874" s="261" t="s">
        <v>996</v>
      </c>
      <c r="J874" s="261" t="s">
        <v>1239</v>
      </c>
      <c r="K874" s="253"/>
      <c r="L874" s="253"/>
      <c r="M874" s="253"/>
      <c r="N874" s="253"/>
      <c r="O874" s="253"/>
      <c r="P874" s="253"/>
      <c r="Q874" s="253"/>
      <c r="R874" s="253"/>
      <c r="S874" s="253"/>
    </row>
    <row r="875" spans="1:19">
      <c r="A875" s="261" t="s">
        <v>913</v>
      </c>
      <c r="B875" s="261" t="s">
        <v>997</v>
      </c>
      <c r="C875" s="261" t="s">
        <v>267</v>
      </c>
      <c r="D875" s="261" t="s">
        <v>686</v>
      </c>
      <c r="E875" s="261"/>
      <c r="F875" s="261" t="s">
        <v>1243</v>
      </c>
      <c r="G875" s="261" t="s">
        <v>997</v>
      </c>
      <c r="H875" s="261" t="s">
        <v>267</v>
      </c>
      <c r="I875" s="261" t="s">
        <v>998</v>
      </c>
      <c r="J875" s="261" t="s">
        <v>1239</v>
      </c>
      <c r="K875" s="253"/>
      <c r="L875" s="253"/>
      <c r="M875" s="253"/>
      <c r="N875" s="253"/>
      <c r="O875" s="253"/>
      <c r="P875" s="253"/>
      <c r="Q875" s="253"/>
      <c r="R875" s="253"/>
      <c r="S875" s="253"/>
    </row>
    <row r="876" spans="1:19">
      <c r="A876" s="261" t="s">
        <v>913</v>
      </c>
      <c r="B876" s="261" t="s">
        <v>999</v>
      </c>
      <c r="C876" s="261" t="s">
        <v>267</v>
      </c>
      <c r="D876" s="261" t="s">
        <v>686</v>
      </c>
      <c r="E876" s="261"/>
      <c r="F876" s="261" t="s">
        <v>1243</v>
      </c>
      <c r="G876" s="261" t="s">
        <v>999</v>
      </c>
      <c r="H876" s="261" t="s">
        <v>267</v>
      </c>
      <c r="I876" s="261" t="s">
        <v>1000</v>
      </c>
      <c r="J876" s="261" t="s">
        <v>1239</v>
      </c>
      <c r="K876" s="253"/>
      <c r="L876" s="253"/>
      <c r="M876" s="253"/>
      <c r="N876" s="253"/>
      <c r="O876" s="253"/>
      <c r="P876" s="253"/>
      <c r="Q876" s="253"/>
      <c r="R876" s="253"/>
      <c r="S876" s="253"/>
    </row>
    <row r="877" spans="1:19">
      <c r="A877" s="261" t="s">
        <v>913</v>
      </c>
      <c r="B877" s="261" t="s">
        <v>1001</v>
      </c>
      <c r="C877" s="261" t="s">
        <v>267</v>
      </c>
      <c r="D877" s="261" t="s">
        <v>686</v>
      </c>
      <c r="E877" s="261"/>
      <c r="F877" s="261" t="s">
        <v>1243</v>
      </c>
      <c r="G877" s="261" t="s">
        <v>1001</v>
      </c>
      <c r="H877" s="261" t="s">
        <v>267</v>
      </c>
      <c r="I877" s="261" t="s">
        <v>1002</v>
      </c>
      <c r="J877" s="261" t="s">
        <v>1239</v>
      </c>
      <c r="K877" s="253"/>
      <c r="L877" s="253"/>
      <c r="M877" s="253"/>
      <c r="N877" s="253"/>
      <c r="O877" s="253"/>
      <c r="P877" s="253"/>
      <c r="Q877" s="253"/>
      <c r="R877" s="253"/>
      <c r="S877" s="253"/>
    </row>
    <row r="878" spans="1:19">
      <c r="A878" s="261" t="s">
        <v>913</v>
      </c>
      <c r="B878" s="261" t="s">
        <v>1003</v>
      </c>
      <c r="C878" s="261" t="s">
        <v>267</v>
      </c>
      <c r="D878" s="261" t="s">
        <v>686</v>
      </c>
      <c r="E878" s="261"/>
      <c r="F878" s="261" t="s">
        <v>1243</v>
      </c>
      <c r="G878" s="261" t="s">
        <v>1003</v>
      </c>
      <c r="H878" s="261" t="s">
        <v>267</v>
      </c>
      <c r="I878" s="261" t="s">
        <v>1004</v>
      </c>
      <c r="J878" s="261" t="s">
        <v>1239</v>
      </c>
      <c r="K878" s="253"/>
      <c r="L878" s="253"/>
      <c r="M878" s="253"/>
      <c r="N878" s="253"/>
      <c r="O878" s="253"/>
      <c r="P878" s="253"/>
      <c r="Q878" s="253"/>
      <c r="R878" s="253"/>
      <c r="S878" s="253"/>
    </row>
    <row r="879" spans="1:19">
      <c r="A879" s="261" t="s">
        <v>913</v>
      </c>
      <c r="B879" s="261" t="s">
        <v>1005</v>
      </c>
      <c r="C879" s="261" t="s">
        <v>267</v>
      </c>
      <c r="D879" s="261" t="s">
        <v>686</v>
      </c>
      <c r="E879" s="261"/>
      <c r="F879" s="261" t="s">
        <v>1243</v>
      </c>
      <c r="G879" s="261" t="s">
        <v>1005</v>
      </c>
      <c r="H879" s="261" t="s">
        <v>267</v>
      </c>
      <c r="I879" s="261" t="s">
        <v>1006</v>
      </c>
      <c r="J879" s="261" t="s">
        <v>1239</v>
      </c>
      <c r="K879" s="253"/>
      <c r="L879" s="253"/>
      <c r="M879" s="253"/>
      <c r="N879" s="253"/>
      <c r="O879" s="253"/>
      <c r="P879" s="253"/>
      <c r="Q879" s="253"/>
      <c r="R879" s="253"/>
      <c r="S879" s="253"/>
    </row>
    <row r="880" spans="1:19">
      <c r="A880" s="261" t="s">
        <v>913</v>
      </c>
      <c r="B880" s="261" t="s">
        <v>1007</v>
      </c>
      <c r="C880" s="261" t="s">
        <v>267</v>
      </c>
      <c r="D880" s="261" t="s">
        <v>686</v>
      </c>
      <c r="E880" s="261"/>
      <c r="F880" s="261" t="s">
        <v>1243</v>
      </c>
      <c r="G880" s="261" t="s">
        <v>1007</v>
      </c>
      <c r="H880" s="261" t="s">
        <v>267</v>
      </c>
      <c r="I880" s="261" t="s">
        <v>1008</v>
      </c>
      <c r="J880" s="261" t="s">
        <v>1239</v>
      </c>
      <c r="K880" s="253"/>
      <c r="L880" s="253"/>
      <c r="M880" s="253"/>
      <c r="N880" s="253"/>
      <c r="O880" s="253"/>
      <c r="P880" s="253"/>
      <c r="Q880" s="253"/>
      <c r="R880" s="253"/>
      <c r="S880" s="253"/>
    </row>
    <row r="881" spans="1:19">
      <c r="A881" s="261" t="s">
        <v>913</v>
      </c>
      <c r="B881" s="261" t="s">
        <v>1009</v>
      </c>
      <c r="C881" s="261" t="s">
        <v>267</v>
      </c>
      <c r="D881" s="261" t="s">
        <v>686</v>
      </c>
      <c r="E881" s="261"/>
      <c r="F881" s="261" t="s">
        <v>1243</v>
      </c>
      <c r="G881" s="261" t="s">
        <v>1009</v>
      </c>
      <c r="H881" s="261" t="s">
        <v>267</v>
      </c>
      <c r="I881" s="261" t="s">
        <v>1010</v>
      </c>
      <c r="J881" s="261" t="s">
        <v>1239</v>
      </c>
      <c r="K881" s="253"/>
      <c r="L881" s="253"/>
      <c r="M881" s="253"/>
      <c r="N881" s="253"/>
      <c r="O881" s="253"/>
      <c r="P881" s="253"/>
      <c r="Q881" s="253"/>
      <c r="R881" s="253"/>
      <c r="S881" s="253"/>
    </row>
    <row r="882" spans="1:19">
      <c r="A882" s="261" t="s">
        <v>913</v>
      </c>
      <c r="B882" s="261" t="s">
        <v>1011</v>
      </c>
      <c r="C882" s="261" t="s">
        <v>267</v>
      </c>
      <c r="D882" s="261" t="s">
        <v>686</v>
      </c>
      <c r="E882" s="261"/>
      <c r="F882" s="261" t="s">
        <v>1243</v>
      </c>
      <c r="G882" s="261" t="s">
        <v>1011</v>
      </c>
      <c r="H882" s="261" t="s">
        <v>267</v>
      </c>
      <c r="I882" s="261" t="s">
        <v>1012</v>
      </c>
      <c r="J882" s="261" t="s">
        <v>1239</v>
      </c>
      <c r="K882" s="253"/>
      <c r="L882" s="253"/>
      <c r="M882" s="253"/>
      <c r="N882" s="253"/>
      <c r="O882" s="253"/>
      <c r="P882" s="253"/>
      <c r="Q882" s="253"/>
      <c r="R882" s="253"/>
      <c r="S882" s="253"/>
    </row>
    <row r="883" spans="1:19">
      <c r="A883" s="261" t="s">
        <v>913</v>
      </c>
      <c r="B883" s="261" t="s">
        <v>1013</v>
      </c>
      <c r="C883" s="261" t="s">
        <v>267</v>
      </c>
      <c r="D883" s="261" t="s">
        <v>686</v>
      </c>
      <c r="E883" s="261"/>
      <c r="F883" s="261" t="s">
        <v>1243</v>
      </c>
      <c r="G883" s="261" t="s">
        <v>1013</v>
      </c>
      <c r="H883" s="261" t="s">
        <v>267</v>
      </c>
      <c r="I883" s="261" t="s">
        <v>1014</v>
      </c>
      <c r="J883" s="261" t="s">
        <v>1239</v>
      </c>
      <c r="K883" s="253"/>
      <c r="L883" s="253"/>
      <c r="M883" s="253"/>
      <c r="N883" s="253"/>
      <c r="O883" s="253"/>
      <c r="P883" s="253"/>
      <c r="Q883" s="253"/>
      <c r="R883" s="253"/>
      <c r="S883" s="253"/>
    </row>
    <row r="884" spans="1:19">
      <c r="A884" s="261" t="s">
        <v>913</v>
      </c>
      <c r="B884" s="261" t="s">
        <v>1015</v>
      </c>
      <c r="C884" s="261" t="s">
        <v>267</v>
      </c>
      <c r="D884" s="261" t="s">
        <v>686</v>
      </c>
      <c r="E884" s="261"/>
      <c r="F884" s="261" t="s">
        <v>1243</v>
      </c>
      <c r="G884" s="261" t="s">
        <v>1015</v>
      </c>
      <c r="H884" s="261" t="s">
        <v>267</v>
      </c>
      <c r="I884" s="261" t="s">
        <v>1016</v>
      </c>
      <c r="J884" s="261" t="s">
        <v>1239</v>
      </c>
      <c r="K884" s="253"/>
      <c r="L884" s="253"/>
      <c r="M884" s="253"/>
      <c r="N884" s="253"/>
      <c r="O884" s="253"/>
      <c r="P884" s="253"/>
      <c r="Q884" s="253"/>
      <c r="R884" s="253"/>
      <c r="S884" s="253"/>
    </row>
    <row r="885" spans="1:19">
      <c r="A885" s="261" t="s">
        <v>913</v>
      </c>
      <c r="B885" s="261" t="s">
        <v>1017</v>
      </c>
      <c r="C885" s="261" t="s">
        <v>267</v>
      </c>
      <c r="D885" s="261" t="s">
        <v>686</v>
      </c>
      <c r="E885" s="261"/>
      <c r="F885" s="261" t="s">
        <v>1243</v>
      </c>
      <c r="G885" s="261" t="s">
        <v>1017</v>
      </c>
      <c r="H885" s="261" t="s">
        <v>267</v>
      </c>
      <c r="I885" s="261" t="s">
        <v>1018</v>
      </c>
      <c r="J885" s="261" t="s">
        <v>1239</v>
      </c>
      <c r="K885" s="253"/>
      <c r="L885" s="253"/>
      <c r="M885" s="253"/>
      <c r="N885" s="253"/>
      <c r="O885" s="253"/>
      <c r="P885" s="253"/>
      <c r="Q885" s="253"/>
      <c r="R885" s="253"/>
      <c r="S885" s="253"/>
    </row>
    <row r="886" spans="1:19">
      <c r="A886" s="261" t="s">
        <v>913</v>
      </c>
      <c r="B886" s="261" t="s">
        <v>1019</v>
      </c>
      <c r="C886" s="261" t="s">
        <v>267</v>
      </c>
      <c r="D886" s="261" t="s">
        <v>686</v>
      </c>
      <c r="E886" s="261"/>
      <c r="F886" s="261" t="s">
        <v>1243</v>
      </c>
      <c r="G886" s="261" t="s">
        <v>1019</v>
      </c>
      <c r="H886" s="261" t="s">
        <v>267</v>
      </c>
      <c r="I886" s="261" t="s">
        <v>1020</v>
      </c>
      <c r="J886" s="261" t="s">
        <v>1239</v>
      </c>
      <c r="K886" s="253"/>
      <c r="L886" s="253"/>
      <c r="M886" s="253"/>
      <c r="N886" s="253"/>
      <c r="O886" s="253"/>
      <c r="P886" s="253"/>
      <c r="Q886" s="253"/>
      <c r="R886" s="253"/>
      <c r="S886" s="253"/>
    </row>
    <row r="887" spans="1:19">
      <c r="A887" s="261" t="s">
        <v>913</v>
      </c>
      <c r="B887" s="261" t="s">
        <v>1021</v>
      </c>
      <c r="C887" s="261" t="s">
        <v>267</v>
      </c>
      <c r="D887" s="261" t="s">
        <v>686</v>
      </c>
      <c r="E887" s="261"/>
      <c r="F887" s="261" t="s">
        <v>1243</v>
      </c>
      <c r="G887" s="261" t="s">
        <v>1021</v>
      </c>
      <c r="H887" s="261" t="s">
        <v>267</v>
      </c>
      <c r="I887" s="261" t="s">
        <v>1022</v>
      </c>
      <c r="J887" s="261" t="s">
        <v>1239</v>
      </c>
      <c r="K887" s="253"/>
      <c r="L887" s="253"/>
      <c r="M887" s="253"/>
      <c r="N887" s="253"/>
      <c r="O887" s="253"/>
      <c r="P887" s="253"/>
      <c r="Q887" s="253"/>
      <c r="R887" s="253"/>
      <c r="S887" s="253"/>
    </row>
    <row r="888" spans="1:19">
      <c r="A888" s="261" t="s">
        <v>913</v>
      </c>
      <c r="B888" s="261" t="s">
        <v>1023</v>
      </c>
      <c r="C888" s="261" t="s">
        <v>267</v>
      </c>
      <c r="D888" s="261" t="s">
        <v>686</v>
      </c>
      <c r="E888" s="261"/>
      <c r="F888" s="261" t="s">
        <v>1243</v>
      </c>
      <c r="G888" s="261" t="s">
        <v>1023</v>
      </c>
      <c r="H888" s="261" t="s">
        <v>267</v>
      </c>
      <c r="I888" s="261" t="s">
        <v>1024</v>
      </c>
      <c r="J888" s="261" t="s">
        <v>1239</v>
      </c>
      <c r="K888" s="253"/>
      <c r="L888" s="253"/>
      <c r="M888" s="253"/>
      <c r="N888" s="253"/>
      <c r="O888" s="253"/>
      <c r="P888" s="253"/>
      <c r="Q888" s="253"/>
      <c r="R888" s="253"/>
      <c r="S888" s="253"/>
    </row>
    <row r="889" spans="1:19">
      <c r="A889" s="261" t="s">
        <v>913</v>
      </c>
      <c r="B889" s="261" t="s">
        <v>1025</v>
      </c>
      <c r="C889" s="261" t="s">
        <v>267</v>
      </c>
      <c r="D889" s="261" t="s">
        <v>686</v>
      </c>
      <c r="E889" s="261"/>
      <c r="F889" s="261" t="s">
        <v>1243</v>
      </c>
      <c r="G889" s="261" t="s">
        <v>1025</v>
      </c>
      <c r="H889" s="261" t="s">
        <v>267</v>
      </c>
      <c r="I889" s="261" t="s">
        <v>1026</v>
      </c>
      <c r="J889" s="261" t="s">
        <v>1239</v>
      </c>
      <c r="K889" s="253"/>
      <c r="L889" s="253"/>
      <c r="M889" s="253"/>
      <c r="N889" s="253"/>
      <c r="O889" s="253"/>
      <c r="P889" s="253"/>
      <c r="Q889" s="253"/>
      <c r="R889" s="253"/>
      <c r="S889" s="253"/>
    </row>
    <row r="890" spans="1:19">
      <c r="A890" s="261" t="s">
        <v>913</v>
      </c>
      <c r="B890" s="261" t="s">
        <v>1027</v>
      </c>
      <c r="C890" s="261" t="s">
        <v>267</v>
      </c>
      <c r="D890" s="261" t="s">
        <v>686</v>
      </c>
      <c r="E890" s="261"/>
      <c r="F890" s="261" t="s">
        <v>1243</v>
      </c>
      <c r="G890" s="261" t="s">
        <v>1027</v>
      </c>
      <c r="H890" s="261" t="s">
        <v>267</v>
      </c>
      <c r="I890" s="261" t="s">
        <v>1028</v>
      </c>
      <c r="J890" s="261" t="s">
        <v>1239</v>
      </c>
      <c r="K890" s="253"/>
      <c r="L890" s="253"/>
      <c r="M890" s="253"/>
      <c r="N890" s="253"/>
      <c r="O890" s="253"/>
      <c r="P890" s="253"/>
      <c r="Q890" s="253"/>
      <c r="R890" s="253"/>
      <c r="S890" s="253"/>
    </row>
    <row r="891" spans="1:19">
      <c r="A891" s="261" t="s">
        <v>913</v>
      </c>
      <c r="B891" s="261" t="s">
        <v>1029</v>
      </c>
      <c r="C891" s="261" t="s">
        <v>267</v>
      </c>
      <c r="D891" s="261" t="s">
        <v>686</v>
      </c>
      <c r="E891" s="261"/>
      <c r="F891" s="261" t="s">
        <v>1243</v>
      </c>
      <c r="G891" s="261" t="s">
        <v>1029</v>
      </c>
      <c r="H891" s="261" t="s">
        <v>267</v>
      </c>
      <c r="I891" s="261" t="s">
        <v>1030</v>
      </c>
      <c r="J891" s="261" t="s">
        <v>1239</v>
      </c>
      <c r="K891" s="253"/>
      <c r="L891" s="253"/>
      <c r="M891" s="253"/>
      <c r="N891" s="253"/>
      <c r="O891" s="253"/>
      <c r="P891" s="253"/>
      <c r="Q891" s="253"/>
      <c r="R891" s="253"/>
      <c r="S891" s="253"/>
    </row>
    <row r="892" spans="1:19">
      <c r="A892" s="261" t="s">
        <v>913</v>
      </c>
      <c r="B892" s="261" t="s">
        <v>1031</v>
      </c>
      <c r="C892" s="261" t="s">
        <v>267</v>
      </c>
      <c r="D892" s="261" t="s">
        <v>686</v>
      </c>
      <c r="E892" s="261"/>
      <c r="F892" s="261" t="s">
        <v>1243</v>
      </c>
      <c r="G892" s="261" t="s">
        <v>1031</v>
      </c>
      <c r="H892" s="261" t="s">
        <v>267</v>
      </c>
      <c r="I892" s="261" t="s">
        <v>1032</v>
      </c>
      <c r="J892" s="261" t="s">
        <v>1239</v>
      </c>
      <c r="K892" s="253"/>
      <c r="L892" s="253"/>
      <c r="M892" s="253"/>
      <c r="N892" s="253"/>
      <c r="O892" s="253"/>
      <c r="P892" s="253"/>
      <c r="Q892" s="253"/>
      <c r="R892" s="253"/>
      <c r="S892" s="253"/>
    </row>
    <row r="893" spans="1:19">
      <c r="A893" s="261" t="s">
        <v>913</v>
      </c>
      <c r="B893" s="261" t="s">
        <v>1033</v>
      </c>
      <c r="C893" s="261" t="s">
        <v>267</v>
      </c>
      <c r="D893" s="261" t="s">
        <v>686</v>
      </c>
      <c r="E893" s="261"/>
      <c r="F893" s="261" t="s">
        <v>1243</v>
      </c>
      <c r="G893" s="261" t="s">
        <v>1033</v>
      </c>
      <c r="H893" s="261" t="s">
        <v>267</v>
      </c>
      <c r="I893" s="261" t="s">
        <v>1034</v>
      </c>
      <c r="J893" s="261" t="s">
        <v>1239</v>
      </c>
      <c r="K893" s="253"/>
      <c r="L893" s="253"/>
      <c r="M893" s="253"/>
      <c r="N893" s="253"/>
      <c r="O893" s="253"/>
      <c r="P893" s="253"/>
      <c r="Q893" s="253"/>
      <c r="R893" s="253"/>
      <c r="S893" s="253"/>
    </row>
    <row r="894" spans="1:19">
      <c r="A894" s="261" t="s">
        <v>913</v>
      </c>
      <c r="B894" s="261" t="s">
        <v>1035</v>
      </c>
      <c r="C894" s="261" t="s">
        <v>267</v>
      </c>
      <c r="D894" s="261" t="s">
        <v>686</v>
      </c>
      <c r="E894" s="261"/>
      <c r="F894" s="261" t="s">
        <v>1243</v>
      </c>
      <c r="G894" s="261" t="s">
        <v>1035</v>
      </c>
      <c r="H894" s="261" t="s">
        <v>267</v>
      </c>
      <c r="I894" s="261" t="s">
        <v>1036</v>
      </c>
      <c r="J894" s="261" t="s">
        <v>1239</v>
      </c>
      <c r="K894" s="253"/>
      <c r="L894" s="253"/>
      <c r="M894" s="253"/>
      <c r="N894" s="253"/>
      <c r="O894" s="253"/>
      <c r="P894" s="253"/>
      <c r="Q894" s="253"/>
      <c r="R894" s="253"/>
      <c r="S894" s="253"/>
    </row>
    <row r="895" spans="1:19">
      <c r="A895" s="261" t="s">
        <v>913</v>
      </c>
      <c r="B895" s="261" t="s">
        <v>1037</v>
      </c>
      <c r="C895" s="261" t="s">
        <v>267</v>
      </c>
      <c r="D895" s="261" t="s">
        <v>686</v>
      </c>
      <c r="E895" s="261"/>
      <c r="F895" s="261" t="s">
        <v>1243</v>
      </c>
      <c r="G895" s="261" t="s">
        <v>1037</v>
      </c>
      <c r="H895" s="261" t="s">
        <v>267</v>
      </c>
      <c r="I895" s="261" t="s">
        <v>1038</v>
      </c>
      <c r="J895" s="261" t="s">
        <v>1239</v>
      </c>
      <c r="K895" s="253"/>
      <c r="L895" s="253"/>
      <c r="M895" s="253"/>
      <c r="N895" s="253"/>
      <c r="O895" s="253"/>
      <c r="P895" s="253"/>
      <c r="Q895" s="253"/>
      <c r="R895" s="253"/>
      <c r="S895" s="253"/>
    </row>
    <row r="896" spans="1:19">
      <c r="A896" s="261" t="s">
        <v>913</v>
      </c>
      <c r="B896" s="261" t="s">
        <v>1039</v>
      </c>
      <c r="C896" s="261" t="s">
        <v>267</v>
      </c>
      <c r="D896" s="261" t="s">
        <v>686</v>
      </c>
      <c r="E896" s="261"/>
      <c r="F896" s="261" t="s">
        <v>1243</v>
      </c>
      <c r="G896" s="261" t="s">
        <v>1039</v>
      </c>
      <c r="H896" s="261" t="s">
        <v>267</v>
      </c>
      <c r="I896" s="261" t="s">
        <v>1040</v>
      </c>
      <c r="J896" s="261" t="s">
        <v>1239</v>
      </c>
      <c r="K896" s="253"/>
      <c r="L896" s="253"/>
      <c r="M896" s="253"/>
      <c r="N896" s="253"/>
      <c r="O896" s="253"/>
      <c r="P896" s="253"/>
      <c r="Q896" s="253"/>
      <c r="R896" s="253"/>
      <c r="S896" s="253"/>
    </row>
    <row r="897" spans="1:19">
      <c r="A897" s="261" t="s">
        <v>913</v>
      </c>
      <c r="B897" s="261" t="s">
        <v>1041</v>
      </c>
      <c r="C897" s="261" t="s">
        <v>267</v>
      </c>
      <c r="D897" s="261" t="s">
        <v>686</v>
      </c>
      <c r="E897" s="261"/>
      <c r="F897" s="261" t="s">
        <v>1243</v>
      </c>
      <c r="G897" s="261" t="s">
        <v>1041</v>
      </c>
      <c r="H897" s="261" t="s">
        <v>267</v>
      </c>
      <c r="I897" s="261" t="s">
        <v>1042</v>
      </c>
      <c r="J897" s="261" t="s">
        <v>1239</v>
      </c>
      <c r="K897" s="253"/>
      <c r="L897" s="253"/>
      <c r="M897" s="253"/>
      <c r="N897" s="253"/>
      <c r="O897" s="253"/>
      <c r="P897" s="253"/>
      <c r="Q897" s="253"/>
      <c r="R897" s="253"/>
      <c r="S897" s="253"/>
    </row>
    <row r="898" spans="1:19">
      <c r="A898" s="261" t="s">
        <v>913</v>
      </c>
      <c r="B898" s="261" t="s">
        <v>1043</v>
      </c>
      <c r="C898" s="261" t="s">
        <v>267</v>
      </c>
      <c r="D898" s="261" t="s">
        <v>686</v>
      </c>
      <c r="E898" s="261"/>
      <c r="F898" s="261" t="s">
        <v>1243</v>
      </c>
      <c r="G898" s="261" t="s">
        <v>1043</v>
      </c>
      <c r="H898" s="261" t="s">
        <v>267</v>
      </c>
      <c r="I898" s="261" t="s">
        <v>1044</v>
      </c>
      <c r="J898" s="261" t="s">
        <v>1239</v>
      </c>
      <c r="K898" s="253"/>
      <c r="L898" s="253"/>
      <c r="M898" s="253"/>
      <c r="N898" s="253"/>
      <c r="O898" s="253"/>
      <c r="P898" s="253"/>
      <c r="Q898" s="253"/>
      <c r="R898" s="253"/>
      <c r="S898" s="253"/>
    </row>
    <row r="899" spans="1:19">
      <c r="A899" s="261" t="s">
        <v>913</v>
      </c>
      <c r="B899" s="261" t="s">
        <v>1045</v>
      </c>
      <c r="C899" s="261" t="s">
        <v>267</v>
      </c>
      <c r="D899" s="261" t="s">
        <v>686</v>
      </c>
      <c r="E899" s="261"/>
      <c r="F899" s="261" t="s">
        <v>1243</v>
      </c>
      <c r="G899" s="261" t="s">
        <v>1045</v>
      </c>
      <c r="H899" s="261" t="s">
        <v>267</v>
      </c>
      <c r="I899" s="261" t="s">
        <v>1046</v>
      </c>
      <c r="J899" s="261" t="s">
        <v>1239</v>
      </c>
      <c r="K899" s="253"/>
      <c r="L899" s="253"/>
      <c r="M899" s="253"/>
      <c r="N899" s="253"/>
      <c r="O899" s="253"/>
      <c r="P899" s="253"/>
      <c r="Q899" s="253"/>
      <c r="R899" s="253"/>
      <c r="S899" s="253"/>
    </row>
    <row r="900" spans="1:19">
      <c r="A900" s="261" t="s">
        <v>913</v>
      </c>
      <c r="B900" s="261" t="s">
        <v>1047</v>
      </c>
      <c r="C900" s="261" t="s">
        <v>267</v>
      </c>
      <c r="D900" s="261" t="s">
        <v>686</v>
      </c>
      <c r="E900" s="261"/>
      <c r="F900" s="261" t="s">
        <v>1243</v>
      </c>
      <c r="G900" s="261" t="s">
        <v>1047</v>
      </c>
      <c r="H900" s="261" t="s">
        <v>267</v>
      </c>
      <c r="I900" s="261" t="s">
        <v>1048</v>
      </c>
      <c r="J900" s="261" t="s">
        <v>1239</v>
      </c>
      <c r="K900" s="253"/>
      <c r="L900" s="253"/>
      <c r="M900" s="253"/>
      <c r="N900" s="253"/>
      <c r="O900" s="253"/>
      <c r="P900" s="253"/>
      <c r="Q900" s="253"/>
      <c r="R900" s="253"/>
      <c r="S900" s="253"/>
    </row>
    <row r="901" spans="1:19">
      <c r="A901" s="261" t="s">
        <v>913</v>
      </c>
      <c r="B901" s="261" t="s">
        <v>1049</v>
      </c>
      <c r="C901" s="261" t="s">
        <v>267</v>
      </c>
      <c r="D901" s="261" t="s">
        <v>686</v>
      </c>
      <c r="E901" s="261"/>
      <c r="F901" s="261" t="s">
        <v>1243</v>
      </c>
      <c r="G901" s="261" t="s">
        <v>1049</v>
      </c>
      <c r="H901" s="261" t="s">
        <v>267</v>
      </c>
      <c r="I901" s="261" t="s">
        <v>1050</v>
      </c>
      <c r="J901" s="261" t="s">
        <v>1239</v>
      </c>
      <c r="K901" s="253"/>
      <c r="L901" s="253"/>
      <c r="M901" s="253"/>
      <c r="N901" s="253"/>
      <c r="O901" s="253"/>
      <c r="P901" s="253"/>
      <c r="Q901" s="253"/>
      <c r="R901" s="253"/>
      <c r="S901" s="253"/>
    </row>
    <row r="902" spans="1:19">
      <c r="A902" s="261" t="s">
        <v>913</v>
      </c>
      <c r="B902" s="261" t="s">
        <v>1051</v>
      </c>
      <c r="C902" s="261" t="s">
        <v>267</v>
      </c>
      <c r="D902" s="261" t="s">
        <v>686</v>
      </c>
      <c r="E902" s="261"/>
      <c r="F902" s="261" t="s">
        <v>1243</v>
      </c>
      <c r="G902" s="261" t="s">
        <v>1051</v>
      </c>
      <c r="H902" s="261" t="s">
        <v>267</v>
      </c>
      <c r="I902" s="261" t="s">
        <v>1052</v>
      </c>
      <c r="J902" s="261" t="s">
        <v>1239</v>
      </c>
      <c r="K902" s="253"/>
      <c r="L902" s="253"/>
      <c r="M902" s="253"/>
      <c r="N902" s="253"/>
      <c r="O902" s="253"/>
      <c r="P902" s="253"/>
      <c r="Q902" s="253"/>
      <c r="R902" s="253"/>
      <c r="S902" s="253"/>
    </row>
    <row r="903" spans="1:19">
      <c r="A903" s="261" t="s">
        <v>913</v>
      </c>
      <c r="B903" s="261" t="s">
        <v>1053</v>
      </c>
      <c r="C903" s="261" t="s">
        <v>267</v>
      </c>
      <c r="D903" s="261" t="s">
        <v>686</v>
      </c>
      <c r="E903" s="261"/>
      <c r="F903" s="261" t="s">
        <v>1243</v>
      </c>
      <c r="G903" s="261" t="s">
        <v>1053</v>
      </c>
      <c r="H903" s="261" t="s">
        <v>267</v>
      </c>
      <c r="I903" s="261" t="s">
        <v>1054</v>
      </c>
      <c r="J903" s="261" t="s">
        <v>1239</v>
      </c>
      <c r="K903" s="253"/>
      <c r="L903" s="253"/>
      <c r="M903" s="253"/>
      <c r="N903" s="253"/>
      <c r="O903" s="253"/>
      <c r="P903" s="253"/>
      <c r="Q903" s="253"/>
      <c r="R903" s="253"/>
      <c r="S903" s="253"/>
    </row>
    <row r="904" spans="1:19">
      <c r="A904" s="261" t="s">
        <v>913</v>
      </c>
      <c r="B904" s="261" t="s">
        <v>1055</v>
      </c>
      <c r="C904" s="261" t="s">
        <v>267</v>
      </c>
      <c r="D904" s="261" t="s">
        <v>686</v>
      </c>
      <c r="E904" s="261"/>
      <c r="F904" s="261" t="s">
        <v>1243</v>
      </c>
      <c r="G904" s="261" t="s">
        <v>1055</v>
      </c>
      <c r="H904" s="261" t="s">
        <v>267</v>
      </c>
      <c r="I904" s="261" t="s">
        <v>1056</v>
      </c>
      <c r="J904" s="261" t="s">
        <v>1239</v>
      </c>
      <c r="K904" s="253"/>
      <c r="L904" s="253"/>
      <c r="M904" s="253"/>
      <c r="N904" s="253"/>
      <c r="O904" s="253"/>
      <c r="P904" s="253"/>
      <c r="Q904" s="253"/>
      <c r="R904" s="253"/>
      <c r="S904" s="253"/>
    </row>
    <row r="905" spans="1:19">
      <c r="A905" s="261" t="s">
        <v>913</v>
      </c>
      <c r="B905" s="261" t="s">
        <v>1057</v>
      </c>
      <c r="C905" s="261" t="s">
        <v>267</v>
      </c>
      <c r="D905" s="261" t="s">
        <v>686</v>
      </c>
      <c r="E905" s="261"/>
      <c r="F905" s="261" t="s">
        <v>1243</v>
      </c>
      <c r="G905" s="261" t="s">
        <v>1057</v>
      </c>
      <c r="H905" s="261" t="s">
        <v>267</v>
      </c>
      <c r="I905" s="261" t="s">
        <v>1058</v>
      </c>
      <c r="J905" s="261" t="s">
        <v>1239</v>
      </c>
      <c r="K905" s="253"/>
      <c r="L905" s="253"/>
      <c r="M905" s="253"/>
      <c r="N905" s="253"/>
      <c r="O905" s="253"/>
      <c r="P905" s="253"/>
      <c r="Q905" s="253"/>
      <c r="R905" s="253"/>
      <c r="S905" s="253"/>
    </row>
    <row r="906" spans="1:19">
      <c r="A906" s="261" t="s">
        <v>913</v>
      </c>
      <c r="B906" s="261" t="s">
        <v>1059</v>
      </c>
      <c r="C906" s="261" t="s">
        <v>267</v>
      </c>
      <c r="D906" s="261" t="s">
        <v>686</v>
      </c>
      <c r="E906" s="261"/>
      <c r="F906" s="261" t="s">
        <v>1243</v>
      </c>
      <c r="G906" s="261" t="s">
        <v>1059</v>
      </c>
      <c r="H906" s="261" t="s">
        <v>267</v>
      </c>
      <c r="I906" s="261" t="s">
        <v>1060</v>
      </c>
      <c r="J906" s="261" t="s">
        <v>1239</v>
      </c>
      <c r="K906" s="253"/>
      <c r="L906" s="253"/>
      <c r="M906" s="253"/>
      <c r="N906" s="253"/>
      <c r="O906" s="253"/>
      <c r="P906" s="253"/>
      <c r="Q906" s="253"/>
      <c r="R906" s="253"/>
      <c r="S906" s="253"/>
    </row>
    <row r="907" spans="1:19">
      <c r="A907" s="261" t="s">
        <v>913</v>
      </c>
      <c r="B907" s="261" t="s">
        <v>1061</v>
      </c>
      <c r="C907" s="261" t="s">
        <v>267</v>
      </c>
      <c r="D907" s="261" t="s">
        <v>686</v>
      </c>
      <c r="E907" s="261"/>
      <c r="F907" s="261" t="s">
        <v>1243</v>
      </c>
      <c r="G907" s="261" t="s">
        <v>1061</v>
      </c>
      <c r="H907" s="261" t="s">
        <v>267</v>
      </c>
      <c r="I907" s="261" t="s">
        <v>1062</v>
      </c>
      <c r="J907" s="261" t="s">
        <v>1239</v>
      </c>
      <c r="K907" s="253"/>
      <c r="L907" s="253"/>
      <c r="M907" s="253"/>
      <c r="N907" s="253"/>
      <c r="O907" s="253"/>
      <c r="P907" s="253"/>
      <c r="Q907" s="253"/>
      <c r="R907" s="253"/>
      <c r="S907" s="253"/>
    </row>
    <row r="908" spans="1:19">
      <c r="A908" s="261" t="s">
        <v>913</v>
      </c>
      <c r="B908" s="261" t="s">
        <v>1063</v>
      </c>
      <c r="C908" s="261" t="s">
        <v>267</v>
      </c>
      <c r="D908" s="261" t="s">
        <v>686</v>
      </c>
      <c r="E908" s="261"/>
      <c r="F908" s="261" t="s">
        <v>1243</v>
      </c>
      <c r="G908" s="261" t="s">
        <v>1063</v>
      </c>
      <c r="H908" s="261" t="s">
        <v>267</v>
      </c>
      <c r="I908" s="261" t="s">
        <v>1064</v>
      </c>
      <c r="J908" s="261" t="s">
        <v>1239</v>
      </c>
      <c r="K908" s="253"/>
      <c r="L908" s="253"/>
      <c r="M908" s="253"/>
      <c r="N908" s="253"/>
      <c r="O908" s="253"/>
      <c r="P908" s="253"/>
      <c r="Q908" s="253"/>
      <c r="R908" s="253"/>
      <c r="S908" s="253"/>
    </row>
    <row r="909" spans="1:19">
      <c r="A909" s="261" t="s">
        <v>913</v>
      </c>
      <c r="B909" s="261" t="s">
        <v>1065</v>
      </c>
      <c r="C909" s="261" t="s">
        <v>267</v>
      </c>
      <c r="D909" s="261" t="s">
        <v>686</v>
      </c>
      <c r="E909" s="261"/>
      <c r="F909" s="261" t="s">
        <v>1243</v>
      </c>
      <c r="G909" s="261" t="s">
        <v>1065</v>
      </c>
      <c r="H909" s="261" t="s">
        <v>267</v>
      </c>
      <c r="I909" s="261" t="s">
        <v>1066</v>
      </c>
      <c r="J909" s="261" t="s">
        <v>1239</v>
      </c>
      <c r="K909" s="253"/>
      <c r="L909" s="253"/>
      <c r="M909" s="253"/>
      <c r="N909" s="253"/>
      <c r="O909" s="253"/>
      <c r="P909" s="253"/>
      <c r="Q909" s="253"/>
      <c r="R909" s="253"/>
      <c r="S909" s="253"/>
    </row>
    <row r="910" spans="1:19">
      <c r="A910" s="261" t="s">
        <v>913</v>
      </c>
      <c r="B910" s="261" t="s">
        <v>1067</v>
      </c>
      <c r="C910" s="261" t="s">
        <v>267</v>
      </c>
      <c r="D910" s="261" t="s">
        <v>686</v>
      </c>
      <c r="E910" s="261"/>
      <c r="F910" s="261" t="s">
        <v>1243</v>
      </c>
      <c r="G910" s="261" t="s">
        <v>1067</v>
      </c>
      <c r="H910" s="261" t="s">
        <v>267</v>
      </c>
      <c r="I910" s="261" t="s">
        <v>1068</v>
      </c>
      <c r="J910" s="261" t="s">
        <v>1239</v>
      </c>
      <c r="K910" s="253"/>
      <c r="L910" s="253"/>
      <c r="M910" s="253"/>
      <c r="N910" s="253"/>
      <c r="O910" s="253"/>
      <c r="P910" s="253"/>
      <c r="Q910" s="253"/>
      <c r="R910" s="253"/>
      <c r="S910" s="253"/>
    </row>
    <row r="911" spans="1:19">
      <c r="A911" s="261" t="s">
        <v>913</v>
      </c>
      <c r="B911" s="261" t="s">
        <v>1069</v>
      </c>
      <c r="C911" s="261" t="s">
        <v>267</v>
      </c>
      <c r="D911" s="261" t="s">
        <v>686</v>
      </c>
      <c r="E911" s="261"/>
      <c r="F911" s="261" t="s">
        <v>1243</v>
      </c>
      <c r="G911" s="261" t="s">
        <v>1069</v>
      </c>
      <c r="H911" s="261" t="s">
        <v>267</v>
      </c>
      <c r="I911" s="261" t="s">
        <v>1070</v>
      </c>
      <c r="J911" s="261" t="s">
        <v>1239</v>
      </c>
      <c r="K911" s="253"/>
      <c r="L911" s="253"/>
      <c r="M911" s="253"/>
      <c r="N911" s="253"/>
      <c r="O911" s="253"/>
      <c r="P911" s="253"/>
      <c r="Q911" s="253"/>
      <c r="R911" s="253"/>
      <c r="S911" s="253"/>
    </row>
    <row r="912" spans="1:19">
      <c r="A912" s="261" t="s">
        <v>913</v>
      </c>
      <c r="B912" s="261" t="s">
        <v>1071</v>
      </c>
      <c r="C912" s="261" t="s">
        <v>267</v>
      </c>
      <c r="D912" s="261" t="s">
        <v>686</v>
      </c>
      <c r="E912" s="261"/>
      <c r="F912" s="261" t="s">
        <v>1243</v>
      </c>
      <c r="G912" s="261" t="s">
        <v>1071</v>
      </c>
      <c r="H912" s="261" t="s">
        <v>267</v>
      </c>
      <c r="I912" s="261" t="s">
        <v>1072</v>
      </c>
      <c r="J912" s="261" t="s">
        <v>1239</v>
      </c>
      <c r="K912" s="253"/>
      <c r="L912" s="253"/>
      <c r="M912" s="253"/>
      <c r="N912" s="253"/>
      <c r="O912" s="253"/>
      <c r="P912" s="253"/>
      <c r="Q912" s="253"/>
      <c r="R912" s="253"/>
      <c r="S912" s="253"/>
    </row>
    <row r="913" spans="1:19">
      <c r="A913" s="261" t="s">
        <v>913</v>
      </c>
      <c r="B913" s="261" t="s">
        <v>1073</v>
      </c>
      <c r="C913" s="261" t="s">
        <v>267</v>
      </c>
      <c r="D913" s="261" t="s">
        <v>686</v>
      </c>
      <c r="E913" s="261"/>
      <c r="F913" s="261" t="s">
        <v>1243</v>
      </c>
      <c r="G913" s="261" t="s">
        <v>1073</v>
      </c>
      <c r="H913" s="261" t="s">
        <v>267</v>
      </c>
      <c r="I913" s="261" t="s">
        <v>1074</v>
      </c>
      <c r="J913" s="261" t="s">
        <v>1239</v>
      </c>
      <c r="K913" s="253"/>
      <c r="L913" s="253"/>
      <c r="M913" s="253"/>
      <c r="N913" s="253"/>
      <c r="O913" s="253"/>
      <c r="P913" s="253"/>
      <c r="Q913" s="253"/>
      <c r="R913" s="253"/>
      <c r="S913" s="253"/>
    </row>
    <row r="914" spans="1:19">
      <c r="A914" s="261" t="s">
        <v>913</v>
      </c>
      <c r="B914" s="261" t="s">
        <v>1075</v>
      </c>
      <c r="C914" s="261" t="s">
        <v>267</v>
      </c>
      <c r="D914" s="261" t="s">
        <v>686</v>
      </c>
      <c r="E914" s="261"/>
      <c r="F914" s="261" t="s">
        <v>1243</v>
      </c>
      <c r="G914" s="261" t="s">
        <v>1075</v>
      </c>
      <c r="H914" s="261" t="s">
        <v>267</v>
      </c>
      <c r="I914" s="261" t="s">
        <v>1076</v>
      </c>
      <c r="J914" s="261" t="s">
        <v>1239</v>
      </c>
      <c r="K914" s="253"/>
      <c r="L914" s="253"/>
      <c r="M914" s="253"/>
      <c r="N914" s="253"/>
      <c r="O914" s="253"/>
      <c r="P914" s="253"/>
      <c r="Q914" s="253"/>
      <c r="R914" s="253"/>
      <c r="S914" s="253"/>
    </row>
    <row r="915" spans="1:19">
      <c r="A915" s="261" t="s">
        <v>913</v>
      </c>
      <c r="B915" s="261" t="s">
        <v>1077</v>
      </c>
      <c r="C915" s="261" t="s">
        <v>267</v>
      </c>
      <c r="D915" s="261" t="s">
        <v>686</v>
      </c>
      <c r="E915" s="261"/>
      <c r="F915" s="261" t="s">
        <v>1243</v>
      </c>
      <c r="G915" s="261" t="s">
        <v>1077</v>
      </c>
      <c r="H915" s="261" t="s">
        <v>267</v>
      </c>
      <c r="I915" s="261" t="s">
        <v>1078</v>
      </c>
      <c r="J915" s="261" t="s">
        <v>1239</v>
      </c>
      <c r="K915" s="253"/>
      <c r="L915" s="253"/>
      <c r="M915" s="253"/>
      <c r="N915" s="253"/>
      <c r="O915" s="253"/>
      <c r="P915" s="253"/>
      <c r="Q915" s="253"/>
      <c r="R915" s="253"/>
      <c r="S915" s="253"/>
    </row>
    <row r="916" spans="1:19">
      <c r="A916" s="261" t="s">
        <v>913</v>
      </c>
      <c r="B916" s="261" t="s">
        <v>1079</v>
      </c>
      <c r="C916" s="261" t="s">
        <v>267</v>
      </c>
      <c r="D916" s="261" t="s">
        <v>686</v>
      </c>
      <c r="E916" s="261"/>
      <c r="F916" s="261" t="s">
        <v>1243</v>
      </c>
      <c r="G916" s="261" t="s">
        <v>1079</v>
      </c>
      <c r="H916" s="261" t="s">
        <v>267</v>
      </c>
      <c r="I916" s="261" t="s">
        <v>1080</v>
      </c>
      <c r="J916" s="261" t="s">
        <v>1239</v>
      </c>
      <c r="K916" s="253"/>
      <c r="L916" s="253"/>
      <c r="M916" s="253"/>
      <c r="N916" s="253"/>
      <c r="O916" s="253"/>
      <c r="P916" s="253"/>
      <c r="Q916" s="253"/>
      <c r="R916" s="253"/>
      <c r="S916" s="253"/>
    </row>
    <row r="917" spans="1:19">
      <c r="A917" s="261" t="s">
        <v>913</v>
      </c>
      <c r="B917" s="261" t="s">
        <v>1081</v>
      </c>
      <c r="C917" s="261" t="s">
        <v>267</v>
      </c>
      <c r="D917" s="261" t="s">
        <v>686</v>
      </c>
      <c r="E917" s="261"/>
      <c r="F917" s="261" t="s">
        <v>1243</v>
      </c>
      <c r="G917" s="261" t="s">
        <v>1081</v>
      </c>
      <c r="H917" s="261" t="s">
        <v>267</v>
      </c>
      <c r="I917" s="261" t="s">
        <v>1082</v>
      </c>
      <c r="J917" s="261" t="s">
        <v>1239</v>
      </c>
      <c r="K917" s="253"/>
      <c r="L917" s="253"/>
      <c r="M917" s="253"/>
      <c r="N917" s="253"/>
      <c r="O917" s="253"/>
      <c r="P917" s="253"/>
      <c r="Q917" s="253"/>
      <c r="R917" s="253"/>
      <c r="S917" s="253"/>
    </row>
    <row r="918" spans="1:19">
      <c r="A918" s="261" t="s">
        <v>913</v>
      </c>
      <c r="B918" s="261" t="s">
        <v>1083</v>
      </c>
      <c r="C918" s="261" t="s">
        <v>267</v>
      </c>
      <c r="D918" s="261" t="s">
        <v>686</v>
      </c>
      <c r="E918" s="261"/>
      <c r="F918" s="261" t="s">
        <v>1243</v>
      </c>
      <c r="G918" s="261" t="s">
        <v>1083</v>
      </c>
      <c r="H918" s="261" t="s">
        <v>267</v>
      </c>
      <c r="I918" s="261" t="s">
        <v>1084</v>
      </c>
      <c r="J918" s="261" t="s">
        <v>1239</v>
      </c>
      <c r="K918" s="253"/>
      <c r="L918" s="253"/>
      <c r="M918" s="253"/>
      <c r="N918" s="253"/>
      <c r="O918" s="253"/>
      <c r="P918" s="253"/>
      <c r="Q918" s="253"/>
      <c r="R918" s="253"/>
      <c r="S918" s="253"/>
    </row>
    <row r="919" spans="1:19">
      <c r="A919" s="261" t="s">
        <v>913</v>
      </c>
      <c r="B919" s="261" t="s">
        <v>1085</v>
      </c>
      <c r="C919" s="261" t="s">
        <v>267</v>
      </c>
      <c r="D919" s="261" t="s">
        <v>686</v>
      </c>
      <c r="E919" s="261"/>
      <c r="F919" s="261" t="s">
        <v>1243</v>
      </c>
      <c r="G919" s="261" t="s">
        <v>1085</v>
      </c>
      <c r="H919" s="261" t="s">
        <v>267</v>
      </c>
      <c r="I919" s="261" t="s">
        <v>1086</v>
      </c>
      <c r="J919" s="261" t="s">
        <v>1239</v>
      </c>
      <c r="K919" s="253"/>
      <c r="L919" s="253"/>
      <c r="M919" s="253"/>
      <c r="N919" s="253"/>
      <c r="O919" s="253"/>
      <c r="P919" s="253"/>
      <c r="Q919" s="253"/>
      <c r="R919" s="253"/>
      <c r="S919" s="253"/>
    </row>
    <row r="920" spans="1:19">
      <c r="A920" s="261" t="s">
        <v>913</v>
      </c>
      <c r="B920" s="261" t="s">
        <v>1094</v>
      </c>
      <c r="C920" s="261" t="s">
        <v>267</v>
      </c>
      <c r="D920" s="261" t="s">
        <v>686</v>
      </c>
      <c r="E920" s="261"/>
      <c r="F920" s="261" t="s">
        <v>1243</v>
      </c>
      <c r="G920" s="261" t="s">
        <v>1094</v>
      </c>
      <c r="H920" s="261" t="s">
        <v>267</v>
      </c>
      <c r="I920" s="261" t="s">
        <v>1095</v>
      </c>
      <c r="J920" s="261" t="s">
        <v>1239</v>
      </c>
      <c r="K920" s="253"/>
      <c r="L920" s="253"/>
      <c r="M920" s="253"/>
      <c r="N920" s="253"/>
      <c r="O920" s="253"/>
      <c r="P920" s="253"/>
      <c r="Q920" s="253"/>
      <c r="R920" s="253"/>
      <c r="S920" s="253"/>
    </row>
    <row r="921" spans="1:19">
      <c r="A921" s="261" t="s">
        <v>913</v>
      </c>
      <c r="B921" s="261" t="s">
        <v>1096</v>
      </c>
      <c r="C921" s="261" t="s">
        <v>267</v>
      </c>
      <c r="D921" s="261" t="s">
        <v>686</v>
      </c>
      <c r="E921" s="261"/>
      <c r="F921" s="261" t="s">
        <v>1243</v>
      </c>
      <c r="G921" s="261" t="s">
        <v>1096</v>
      </c>
      <c r="H921" s="261" t="s">
        <v>267</v>
      </c>
      <c r="I921" s="261" t="s">
        <v>1097</v>
      </c>
      <c r="J921" s="261" t="s">
        <v>1239</v>
      </c>
      <c r="K921" s="253"/>
      <c r="L921" s="253"/>
      <c r="M921" s="253"/>
      <c r="N921" s="253"/>
      <c r="O921" s="253"/>
      <c r="P921" s="253"/>
      <c r="Q921" s="253"/>
      <c r="R921" s="253"/>
      <c r="S921" s="253"/>
    </row>
    <row r="922" spans="1:19">
      <c r="A922" s="261" t="s">
        <v>913</v>
      </c>
      <c r="B922" s="261" t="s">
        <v>1098</v>
      </c>
      <c r="C922" s="261" t="s">
        <v>267</v>
      </c>
      <c r="D922" s="261" t="s">
        <v>686</v>
      </c>
      <c r="E922" s="261"/>
      <c r="F922" s="261" t="s">
        <v>1243</v>
      </c>
      <c r="G922" s="261" t="s">
        <v>1098</v>
      </c>
      <c r="H922" s="261" t="s">
        <v>267</v>
      </c>
      <c r="I922" s="261" t="s">
        <v>1099</v>
      </c>
      <c r="J922" s="261" t="s">
        <v>1239</v>
      </c>
      <c r="K922" s="253"/>
      <c r="L922" s="253"/>
      <c r="M922" s="253"/>
      <c r="N922" s="253"/>
      <c r="O922" s="253"/>
      <c r="P922" s="253"/>
      <c r="Q922" s="253"/>
      <c r="R922" s="253"/>
      <c r="S922" s="253"/>
    </row>
    <row r="923" spans="1:19">
      <c r="A923" s="261" t="s">
        <v>913</v>
      </c>
      <c r="B923" s="261" t="s">
        <v>1100</v>
      </c>
      <c r="C923" s="261" t="s">
        <v>267</v>
      </c>
      <c r="D923" s="261" t="s">
        <v>686</v>
      </c>
      <c r="E923" s="261"/>
      <c r="F923" s="261" t="s">
        <v>1243</v>
      </c>
      <c r="G923" s="261" t="s">
        <v>1100</v>
      </c>
      <c r="H923" s="261" t="s">
        <v>267</v>
      </c>
      <c r="I923" s="261" t="s">
        <v>1101</v>
      </c>
      <c r="J923" s="261" t="s">
        <v>1239</v>
      </c>
      <c r="K923" s="253"/>
      <c r="L923" s="253"/>
      <c r="M923" s="253"/>
      <c r="N923" s="253"/>
      <c r="O923" s="253"/>
      <c r="P923" s="253"/>
      <c r="Q923" s="253"/>
      <c r="R923" s="253"/>
      <c r="S923" s="253"/>
    </row>
    <row r="924" spans="1:19">
      <c r="A924" s="261" t="s">
        <v>913</v>
      </c>
      <c r="B924" s="261" t="s">
        <v>1102</v>
      </c>
      <c r="C924" s="261" t="s">
        <v>267</v>
      </c>
      <c r="D924" s="261" t="s">
        <v>686</v>
      </c>
      <c r="E924" s="261"/>
      <c r="F924" s="261" t="s">
        <v>1243</v>
      </c>
      <c r="G924" s="261" t="s">
        <v>1102</v>
      </c>
      <c r="H924" s="261" t="s">
        <v>267</v>
      </c>
      <c r="I924" s="261" t="s">
        <v>1103</v>
      </c>
      <c r="J924" s="261" t="s">
        <v>1239</v>
      </c>
      <c r="K924" s="253"/>
      <c r="L924" s="253"/>
      <c r="M924" s="253"/>
      <c r="N924" s="253"/>
      <c r="O924" s="253"/>
      <c r="P924" s="253"/>
      <c r="Q924" s="253"/>
      <c r="R924" s="253"/>
      <c r="S924" s="253"/>
    </row>
    <row r="925" spans="1:19">
      <c r="A925" s="261" t="s">
        <v>913</v>
      </c>
      <c r="B925" s="261" t="s">
        <v>1104</v>
      </c>
      <c r="C925" s="261" t="s">
        <v>267</v>
      </c>
      <c r="D925" s="261" t="s">
        <v>686</v>
      </c>
      <c r="E925" s="261"/>
      <c r="F925" s="261" t="s">
        <v>1243</v>
      </c>
      <c r="G925" s="261" t="s">
        <v>1104</v>
      </c>
      <c r="H925" s="261" t="s">
        <v>267</v>
      </c>
      <c r="I925" s="261" t="s">
        <v>1105</v>
      </c>
      <c r="J925" s="261" t="s">
        <v>1239</v>
      </c>
      <c r="K925" s="253"/>
      <c r="L925" s="253"/>
      <c r="M925" s="253"/>
      <c r="N925" s="253"/>
      <c r="O925" s="253"/>
      <c r="P925" s="253"/>
      <c r="Q925" s="253"/>
      <c r="R925" s="253"/>
      <c r="S925" s="253"/>
    </row>
    <row r="926" spans="1:19">
      <c r="A926" s="261" t="s">
        <v>913</v>
      </c>
      <c r="B926" s="261" t="s">
        <v>1106</v>
      </c>
      <c r="C926" s="261" t="s">
        <v>267</v>
      </c>
      <c r="D926" s="261" t="s">
        <v>686</v>
      </c>
      <c r="E926" s="261"/>
      <c r="F926" s="261" t="s">
        <v>1243</v>
      </c>
      <c r="G926" s="261" t="s">
        <v>1106</v>
      </c>
      <c r="H926" s="261" t="s">
        <v>267</v>
      </c>
      <c r="I926" s="261" t="s">
        <v>1107</v>
      </c>
      <c r="J926" s="261" t="s">
        <v>1239</v>
      </c>
      <c r="K926" s="253"/>
      <c r="L926" s="253"/>
      <c r="M926" s="253"/>
      <c r="N926" s="253"/>
      <c r="O926" s="253"/>
      <c r="P926" s="253"/>
      <c r="Q926" s="253"/>
      <c r="R926" s="253"/>
      <c r="S926" s="253"/>
    </row>
    <row r="927" spans="1:19">
      <c r="A927" s="261" t="s">
        <v>913</v>
      </c>
      <c r="B927" s="261" t="s">
        <v>1108</v>
      </c>
      <c r="C927" s="261" t="s">
        <v>267</v>
      </c>
      <c r="D927" s="261" t="s">
        <v>686</v>
      </c>
      <c r="E927" s="261"/>
      <c r="F927" s="261" t="s">
        <v>1243</v>
      </c>
      <c r="G927" s="261" t="s">
        <v>1108</v>
      </c>
      <c r="H927" s="261" t="s">
        <v>267</v>
      </c>
      <c r="I927" s="261" t="s">
        <v>1109</v>
      </c>
      <c r="J927" s="261" t="s">
        <v>1239</v>
      </c>
      <c r="K927" s="253"/>
      <c r="L927" s="253"/>
      <c r="M927" s="253"/>
      <c r="N927" s="253"/>
      <c r="O927" s="253"/>
      <c r="P927" s="253"/>
      <c r="Q927" s="253"/>
      <c r="R927" s="253"/>
      <c r="S927" s="253"/>
    </row>
    <row r="928" spans="1:19">
      <c r="A928" s="265" t="s">
        <v>1241</v>
      </c>
      <c r="B928" s="261" t="s">
        <v>310</v>
      </c>
      <c r="C928" s="261" t="s">
        <v>267</v>
      </c>
      <c r="D928" s="261" t="s">
        <v>686</v>
      </c>
      <c r="E928" s="261"/>
      <c r="F928" s="261" t="s">
        <v>1243</v>
      </c>
      <c r="G928" s="261" t="s">
        <v>310</v>
      </c>
      <c r="H928" s="261" t="s">
        <v>267</v>
      </c>
      <c r="I928" s="261" t="s">
        <v>1110</v>
      </c>
      <c r="J928" s="261" t="s">
        <v>1239</v>
      </c>
      <c r="K928" s="291"/>
      <c r="L928" s="291"/>
      <c r="M928" s="291"/>
      <c r="N928" s="291"/>
      <c r="O928" s="291"/>
      <c r="P928" s="291"/>
      <c r="Q928" s="291"/>
      <c r="R928" s="291"/>
      <c r="S928" s="291"/>
    </row>
    <row r="929" spans="1:19">
      <c r="A929" s="265" t="s">
        <v>1241</v>
      </c>
      <c r="B929" s="261" t="s">
        <v>312</v>
      </c>
      <c r="C929" s="261" t="s">
        <v>267</v>
      </c>
      <c r="D929" s="261" t="s">
        <v>686</v>
      </c>
      <c r="E929" s="261"/>
      <c r="F929" s="261" t="s">
        <v>1243</v>
      </c>
      <c r="G929" s="261" t="s">
        <v>312</v>
      </c>
      <c r="H929" s="261" t="s">
        <v>267</v>
      </c>
      <c r="I929" s="261" t="s">
        <v>1111</v>
      </c>
      <c r="J929" s="261" t="s">
        <v>1239</v>
      </c>
      <c r="K929" s="291"/>
      <c r="L929" s="291"/>
      <c r="M929" s="291"/>
      <c r="N929" s="291"/>
      <c r="O929" s="291"/>
      <c r="P929" s="291"/>
      <c r="Q929" s="291"/>
      <c r="R929" s="291"/>
      <c r="S929" s="291"/>
    </row>
    <row r="930" spans="1:19">
      <c r="A930" s="261" t="s">
        <v>913</v>
      </c>
      <c r="B930" s="261" t="s">
        <v>270</v>
      </c>
      <c r="C930" s="261" t="s">
        <v>267</v>
      </c>
      <c r="D930" s="261" t="s">
        <v>686</v>
      </c>
      <c r="E930" s="261"/>
      <c r="F930" s="261" t="s">
        <v>1243</v>
      </c>
      <c r="G930" s="261" t="s">
        <v>270</v>
      </c>
      <c r="H930" s="261" t="s">
        <v>267</v>
      </c>
      <c r="I930" s="261" t="s">
        <v>1112</v>
      </c>
      <c r="J930" s="261" t="s">
        <v>1239</v>
      </c>
      <c r="K930" s="253"/>
      <c r="L930" s="253"/>
      <c r="M930" s="253"/>
      <c r="N930" s="253"/>
      <c r="O930" s="253"/>
      <c r="P930" s="253"/>
      <c r="Q930" s="253"/>
      <c r="R930" s="253"/>
      <c r="S930" s="253"/>
    </row>
    <row r="931" spans="1:19">
      <c r="A931" s="261" t="s">
        <v>913</v>
      </c>
      <c r="B931" s="261" t="s">
        <v>271</v>
      </c>
      <c r="C931" s="261" t="s">
        <v>267</v>
      </c>
      <c r="D931" s="261" t="s">
        <v>686</v>
      </c>
      <c r="E931" s="261"/>
      <c r="F931" s="261" t="s">
        <v>1243</v>
      </c>
      <c r="G931" s="261" t="s">
        <v>271</v>
      </c>
      <c r="H931" s="261" t="s">
        <v>267</v>
      </c>
      <c r="I931" s="261" t="s">
        <v>1116</v>
      </c>
      <c r="J931" s="261" t="s">
        <v>1239</v>
      </c>
      <c r="K931" s="253"/>
      <c r="L931" s="253"/>
      <c r="M931" s="253"/>
      <c r="N931" s="253"/>
      <c r="O931" s="253"/>
      <c r="P931" s="253"/>
      <c r="Q931" s="253"/>
      <c r="R931" s="253"/>
      <c r="S931" s="253"/>
    </row>
    <row r="932" spans="1:19">
      <c r="A932" s="261" t="s">
        <v>913</v>
      </c>
      <c r="B932" s="261" t="s">
        <v>1117</v>
      </c>
      <c r="C932" s="261" t="s">
        <v>267</v>
      </c>
      <c r="D932" s="261" t="s">
        <v>686</v>
      </c>
      <c r="E932" s="261"/>
      <c r="F932" s="261" t="s">
        <v>1243</v>
      </c>
      <c r="G932" s="261" t="s">
        <v>1117</v>
      </c>
      <c r="H932" s="261" t="s">
        <v>267</v>
      </c>
      <c r="I932" s="261" t="s">
        <v>391</v>
      </c>
      <c r="J932" s="261" t="s">
        <v>1239</v>
      </c>
      <c r="K932" s="253"/>
      <c r="L932" s="253"/>
      <c r="M932" s="253"/>
      <c r="N932" s="253"/>
      <c r="O932" s="253"/>
      <c r="P932" s="253"/>
      <c r="Q932" s="253"/>
      <c r="R932" s="253"/>
      <c r="S932" s="253"/>
    </row>
    <row r="933" spans="1:19">
      <c r="A933" s="263" t="s">
        <v>1118</v>
      </c>
      <c r="B933" s="261" t="s">
        <v>1120</v>
      </c>
      <c r="C933" s="261" t="s">
        <v>274</v>
      </c>
      <c r="D933" s="261" t="s">
        <v>686</v>
      </c>
      <c r="E933" s="261"/>
      <c r="F933" s="261" t="s">
        <v>1243</v>
      </c>
      <c r="G933" s="261" t="s">
        <v>1120</v>
      </c>
      <c r="H933" s="261" t="s">
        <v>274</v>
      </c>
      <c r="I933" s="261" t="s">
        <v>1121</v>
      </c>
      <c r="J933" s="261" t="s">
        <v>1239</v>
      </c>
      <c r="K933" s="253"/>
      <c r="L933" s="253"/>
      <c r="M933" s="253"/>
      <c r="N933" s="253"/>
      <c r="O933" s="253"/>
      <c r="P933" s="253"/>
      <c r="Q933" s="253"/>
      <c r="R933" s="253"/>
      <c r="S933" s="253"/>
    </row>
    <row r="934" spans="1:19">
      <c r="A934" s="263" t="s">
        <v>1118</v>
      </c>
      <c r="B934" s="261" t="s">
        <v>1123</v>
      </c>
      <c r="C934" s="261" t="s">
        <v>267</v>
      </c>
      <c r="D934" s="261" t="s">
        <v>686</v>
      </c>
      <c r="E934" s="261"/>
      <c r="F934" s="261" t="s">
        <v>1243</v>
      </c>
      <c r="G934" s="261" t="s">
        <v>1123</v>
      </c>
      <c r="H934" s="261" t="s">
        <v>267</v>
      </c>
      <c r="I934" s="261" t="s">
        <v>1124</v>
      </c>
      <c r="J934" s="261" t="s">
        <v>1239</v>
      </c>
      <c r="K934" s="253"/>
      <c r="L934" s="253"/>
      <c r="M934" s="253"/>
      <c r="N934" s="253"/>
      <c r="O934" s="253"/>
      <c r="P934" s="253"/>
      <c r="Q934" s="253"/>
      <c r="R934" s="253"/>
      <c r="S934" s="253"/>
    </row>
    <row r="935" spans="1:19">
      <c r="A935" s="261" t="s">
        <v>913</v>
      </c>
      <c r="B935" s="264" t="s">
        <v>186</v>
      </c>
      <c r="C935" s="261" t="s">
        <v>267</v>
      </c>
      <c r="D935" s="261" t="s">
        <v>686</v>
      </c>
      <c r="E935" s="261"/>
      <c r="F935" s="261" t="s">
        <v>1243</v>
      </c>
      <c r="G935" s="264" t="s">
        <v>186</v>
      </c>
      <c r="H935" s="261" t="s">
        <v>267</v>
      </c>
      <c r="I935" s="261" t="s">
        <v>1125</v>
      </c>
      <c r="J935" s="261" t="s">
        <v>1239</v>
      </c>
      <c r="K935" s="253"/>
      <c r="L935" s="253"/>
      <c r="M935" s="253"/>
      <c r="N935" s="253"/>
      <c r="O935" s="253"/>
      <c r="P935" s="253"/>
      <c r="Q935" s="253"/>
      <c r="R935" s="253"/>
      <c r="S935" s="253"/>
    </row>
    <row r="936" spans="1:19">
      <c r="A936" s="261" t="s">
        <v>913</v>
      </c>
      <c r="B936" s="264" t="s">
        <v>187</v>
      </c>
      <c r="C936" s="261" t="s">
        <v>267</v>
      </c>
      <c r="D936" s="261" t="s">
        <v>686</v>
      </c>
      <c r="E936" s="261"/>
      <c r="F936" s="261" t="s">
        <v>1243</v>
      </c>
      <c r="G936" s="264" t="s">
        <v>187</v>
      </c>
      <c r="H936" s="261" t="s">
        <v>267</v>
      </c>
      <c r="I936" s="261" t="s">
        <v>1126</v>
      </c>
      <c r="J936" s="261" t="s">
        <v>1239</v>
      </c>
      <c r="K936" s="253"/>
      <c r="L936" s="253"/>
      <c r="M936" s="253"/>
      <c r="N936" s="253"/>
      <c r="O936" s="253"/>
      <c r="P936" s="253"/>
      <c r="Q936" s="253"/>
      <c r="R936" s="253"/>
      <c r="S936" s="253"/>
    </row>
    <row r="937" spans="1:19">
      <c r="A937" s="261" t="s">
        <v>913</v>
      </c>
      <c r="B937" s="264" t="s">
        <v>188</v>
      </c>
      <c r="C937" s="261" t="s">
        <v>267</v>
      </c>
      <c r="D937" s="261" t="s">
        <v>686</v>
      </c>
      <c r="E937" s="261"/>
      <c r="F937" s="261" t="s">
        <v>1243</v>
      </c>
      <c r="G937" s="264" t="s">
        <v>188</v>
      </c>
      <c r="H937" s="261" t="s">
        <v>267</v>
      </c>
      <c r="I937" s="261" t="s">
        <v>1127</v>
      </c>
      <c r="J937" s="261" t="s">
        <v>1239</v>
      </c>
      <c r="K937" s="253"/>
      <c r="L937" s="253"/>
      <c r="M937" s="253"/>
      <c r="N937" s="253"/>
      <c r="O937" s="253"/>
      <c r="P937" s="253"/>
      <c r="Q937" s="253"/>
      <c r="R937" s="253"/>
      <c r="S937" s="253"/>
    </row>
    <row r="938" spans="1:19">
      <c r="A938" s="261" t="s">
        <v>913</v>
      </c>
      <c r="B938" s="264" t="s">
        <v>193</v>
      </c>
      <c r="C938" s="261" t="s">
        <v>267</v>
      </c>
      <c r="D938" s="261" t="s">
        <v>686</v>
      </c>
      <c r="E938" s="261"/>
      <c r="F938" s="261" t="s">
        <v>1243</v>
      </c>
      <c r="G938" s="264" t="s">
        <v>193</v>
      </c>
      <c r="H938" s="261" t="s">
        <v>267</v>
      </c>
      <c r="I938" s="261" t="s">
        <v>1128</v>
      </c>
      <c r="J938" s="261" t="s">
        <v>1239</v>
      </c>
      <c r="K938" s="253"/>
      <c r="L938" s="253"/>
      <c r="M938" s="253"/>
      <c r="N938" s="253"/>
      <c r="O938" s="253"/>
      <c r="P938" s="253"/>
      <c r="Q938" s="253"/>
      <c r="R938" s="253"/>
      <c r="S938" s="253"/>
    </row>
    <row r="939" spans="1:19">
      <c r="A939" s="261" t="s">
        <v>913</v>
      </c>
      <c r="B939" s="264" t="s">
        <v>194</v>
      </c>
      <c r="C939" s="261" t="s">
        <v>267</v>
      </c>
      <c r="D939" s="261" t="s">
        <v>686</v>
      </c>
      <c r="E939" s="261"/>
      <c r="F939" s="261" t="s">
        <v>1243</v>
      </c>
      <c r="G939" s="264" t="s">
        <v>194</v>
      </c>
      <c r="H939" s="261" t="s">
        <v>267</v>
      </c>
      <c r="I939" s="261" t="s">
        <v>1129</v>
      </c>
      <c r="J939" s="261" t="s">
        <v>1239</v>
      </c>
      <c r="K939" s="253"/>
      <c r="L939" s="253"/>
      <c r="M939" s="253"/>
      <c r="N939" s="253"/>
      <c r="O939" s="253"/>
      <c r="P939" s="253"/>
      <c r="Q939" s="253"/>
      <c r="R939" s="253"/>
      <c r="S939" s="253"/>
    </row>
    <row r="940" spans="1:19">
      <c r="A940" s="261" t="s">
        <v>913</v>
      </c>
      <c r="B940" s="264" t="s">
        <v>195</v>
      </c>
      <c r="C940" s="261" t="s">
        <v>267</v>
      </c>
      <c r="D940" s="261" t="s">
        <v>686</v>
      </c>
      <c r="E940" s="261"/>
      <c r="F940" s="261" t="s">
        <v>1243</v>
      </c>
      <c r="G940" s="264" t="s">
        <v>195</v>
      </c>
      <c r="H940" s="261" t="s">
        <v>267</v>
      </c>
      <c r="I940" s="261" t="s">
        <v>1130</v>
      </c>
      <c r="J940" s="261" t="s">
        <v>1239</v>
      </c>
      <c r="K940" s="253"/>
      <c r="L940" s="253"/>
      <c r="M940" s="253"/>
      <c r="N940" s="253"/>
      <c r="O940" s="253"/>
      <c r="P940" s="253"/>
      <c r="Q940" s="253"/>
      <c r="R940" s="253"/>
      <c r="S940" s="253"/>
    </row>
    <row r="941" spans="1:19">
      <c r="A941" s="261" t="s">
        <v>913</v>
      </c>
      <c r="B941" s="261" t="s">
        <v>1131</v>
      </c>
      <c r="C941" s="261" t="s">
        <v>267</v>
      </c>
      <c r="D941" s="261" t="s">
        <v>686</v>
      </c>
      <c r="E941" s="261"/>
      <c r="F941" s="261" t="s">
        <v>1243</v>
      </c>
      <c r="G941" s="261" t="s">
        <v>1131</v>
      </c>
      <c r="H941" s="261" t="s">
        <v>267</v>
      </c>
      <c r="I941" s="261" t="s">
        <v>1132</v>
      </c>
      <c r="J941" s="261" t="s">
        <v>1239</v>
      </c>
      <c r="K941" s="253"/>
      <c r="L941" s="253"/>
      <c r="M941" s="253"/>
      <c r="N941" s="253"/>
      <c r="O941" s="253"/>
      <c r="P941" s="253"/>
      <c r="Q941" s="253"/>
      <c r="R941" s="253"/>
      <c r="S941" s="253"/>
    </row>
    <row r="942" spans="1:19">
      <c r="A942" s="261" t="s">
        <v>913</v>
      </c>
      <c r="B942" s="261" t="s">
        <v>1134</v>
      </c>
      <c r="C942" s="261" t="s">
        <v>267</v>
      </c>
      <c r="D942" s="261" t="s">
        <v>686</v>
      </c>
      <c r="E942" s="261"/>
      <c r="F942" s="261" t="s">
        <v>1243</v>
      </c>
      <c r="G942" s="261" t="s">
        <v>1134</v>
      </c>
      <c r="H942" s="261" t="s">
        <v>267</v>
      </c>
      <c r="I942" s="261" t="s">
        <v>1135</v>
      </c>
      <c r="J942" s="261" t="s">
        <v>1239</v>
      </c>
      <c r="K942" s="253"/>
      <c r="L942" s="253"/>
      <c r="M942" s="253"/>
      <c r="N942" s="253"/>
      <c r="O942" s="253"/>
      <c r="P942" s="253"/>
      <c r="Q942" s="253"/>
      <c r="R942" s="253"/>
      <c r="S942" s="253"/>
    </row>
    <row r="943" spans="1:19">
      <c r="A943" s="261" t="s">
        <v>1136</v>
      </c>
      <c r="B943" s="261" t="s">
        <v>443</v>
      </c>
      <c r="C943" s="261" t="s">
        <v>267</v>
      </c>
      <c r="D943" s="261" t="s">
        <v>686</v>
      </c>
      <c r="E943" s="261"/>
      <c r="F943" s="261" t="s">
        <v>1243</v>
      </c>
      <c r="G943" s="261" t="s">
        <v>443</v>
      </c>
      <c r="H943" s="261" t="s">
        <v>267</v>
      </c>
      <c r="I943" s="261" t="s">
        <v>1137</v>
      </c>
      <c r="J943" s="261" t="s">
        <v>1239</v>
      </c>
      <c r="K943" s="253"/>
      <c r="L943" s="253"/>
      <c r="M943" s="253"/>
      <c r="N943" s="253"/>
      <c r="O943" s="253"/>
      <c r="P943" s="253"/>
      <c r="Q943" s="253"/>
      <c r="R943" s="253"/>
      <c r="S943" s="253"/>
    </row>
    <row r="944" spans="1:19">
      <c r="A944" s="261" t="s">
        <v>1136</v>
      </c>
      <c r="B944" s="261" t="s">
        <v>403</v>
      </c>
      <c r="C944" s="261" t="s">
        <v>267</v>
      </c>
      <c r="D944" s="261" t="s">
        <v>686</v>
      </c>
      <c r="E944" s="261"/>
      <c r="F944" s="261" t="s">
        <v>1243</v>
      </c>
      <c r="G944" s="261" t="s">
        <v>403</v>
      </c>
      <c r="H944" s="261" t="s">
        <v>267</v>
      </c>
      <c r="I944" s="261" t="s">
        <v>1138</v>
      </c>
      <c r="J944" s="261" t="s">
        <v>1239</v>
      </c>
      <c r="K944" s="253"/>
      <c r="L944" s="253"/>
      <c r="M944" s="253"/>
      <c r="N944" s="253"/>
      <c r="O944" s="253"/>
      <c r="P944" s="253"/>
      <c r="Q944" s="253"/>
      <c r="R944" s="253"/>
      <c r="S944" s="253"/>
    </row>
    <row r="945" spans="1:19">
      <c r="A945" s="261" t="s">
        <v>913</v>
      </c>
      <c r="B945" s="261" t="s">
        <v>1140</v>
      </c>
      <c r="C945" s="261" t="s">
        <v>267</v>
      </c>
      <c r="D945" s="261" t="s">
        <v>686</v>
      </c>
      <c r="E945" s="261"/>
      <c r="F945" s="261" t="s">
        <v>1243</v>
      </c>
      <c r="G945" s="261" t="s">
        <v>1140</v>
      </c>
      <c r="H945" s="261" t="s">
        <v>267</v>
      </c>
      <c r="I945" s="261" t="s">
        <v>1141</v>
      </c>
      <c r="J945" s="261" t="s">
        <v>1239</v>
      </c>
      <c r="K945" s="253"/>
      <c r="L945" s="253"/>
      <c r="M945" s="253"/>
      <c r="N945" s="253"/>
      <c r="O945" s="253"/>
      <c r="P945" s="253"/>
      <c r="Q945" s="253"/>
      <c r="R945" s="253"/>
      <c r="S945" s="253"/>
    </row>
    <row r="946" spans="1:19">
      <c r="A946" s="261" t="s">
        <v>913</v>
      </c>
      <c r="B946" s="261" t="s">
        <v>170</v>
      </c>
      <c r="C946" s="261" t="s">
        <v>267</v>
      </c>
      <c r="D946" s="261" t="s">
        <v>686</v>
      </c>
      <c r="E946" s="261"/>
      <c r="F946" s="261" t="s">
        <v>1243</v>
      </c>
      <c r="G946" s="261" t="s">
        <v>170</v>
      </c>
      <c r="H946" s="261" t="s">
        <v>267</v>
      </c>
      <c r="I946" s="261" t="s">
        <v>1142</v>
      </c>
      <c r="J946" s="261" t="s">
        <v>1239</v>
      </c>
      <c r="K946" s="253"/>
      <c r="L946" s="253"/>
      <c r="M946" s="253"/>
      <c r="N946" s="253"/>
      <c r="O946" s="253"/>
      <c r="P946" s="253"/>
      <c r="Q946" s="253"/>
      <c r="R946" s="253"/>
      <c r="S946" s="253"/>
    </row>
    <row r="947" spans="1:19">
      <c r="A947" s="263" t="s">
        <v>1118</v>
      </c>
      <c r="B947" s="261" t="s">
        <v>1168</v>
      </c>
      <c r="C947" s="261" t="s">
        <v>267</v>
      </c>
      <c r="D947" s="261" t="s">
        <v>686</v>
      </c>
      <c r="E947" s="261"/>
      <c r="F947" s="261" t="s">
        <v>1243</v>
      </c>
      <c r="G947" s="261" t="s">
        <v>1168</v>
      </c>
      <c r="H947" s="261" t="s">
        <v>267</v>
      </c>
      <c r="I947" s="261" t="s">
        <v>1169</v>
      </c>
      <c r="J947" s="261" t="s">
        <v>1239</v>
      </c>
      <c r="K947" s="253"/>
      <c r="L947" s="253"/>
      <c r="M947" s="253"/>
      <c r="N947" s="253"/>
      <c r="O947" s="253"/>
      <c r="P947" s="253"/>
      <c r="Q947" s="253"/>
      <c r="R947" s="253"/>
      <c r="S947" s="253"/>
    </row>
    <row r="948" spans="1:19">
      <c r="A948" s="265" t="s">
        <v>1241</v>
      </c>
      <c r="B948" s="261" t="s">
        <v>1247</v>
      </c>
      <c r="C948" s="261" t="s">
        <v>267</v>
      </c>
      <c r="D948" s="261" t="s">
        <v>686</v>
      </c>
      <c r="E948" s="261"/>
      <c r="F948" s="261" t="s">
        <v>1243</v>
      </c>
      <c r="G948" s="261" t="s">
        <v>1247</v>
      </c>
      <c r="H948" s="261" t="s">
        <v>267</v>
      </c>
      <c r="I948" s="261" t="s">
        <v>1248</v>
      </c>
      <c r="J948" s="261" t="s">
        <v>1239</v>
      </c>
      <c r="K948" s="253"/>
      <c r="L948" s="253"/>
      <c r="M948" s="253"/>
      <c r="N948" s="253"/>
      <c r="O948" s="253"/>
      <c r="P948" s="253"/>
      <c r="Q948" s="253"/>
      <c r="R948" s="253"/>
      <c r="S948" s="253"/>
    </row>
    <row r="949" spans="1:19">
      <c r="A949" s="265" t="s">
        <v>1241</v>
      </c>
      <c r="B949" s="261" t="s">
        <v>1249</v>
      </c>
      <c r="C949" s="261" t="s">
        <v>267</v>
      </c>
      <c r="D949" s="261" t="s">
        <v>686</v>
      </c>
      <c r="E949" s="261"/>
      <c r="F949" s="261" t="s">
        <v>1243</v>
      </c>
      <c r="G949" s="261" t="s">
        <v>1249</v>
      </c>
      <c r="H949" s="261" t="s">
        <v>267</v>
      </c>
      <c r="I949" s="261" t="s">
        <v>1250</v>
      </c>
      <c r="J949" s="261" t="s">
        <v>1239</v>
      </c>
      <c r="K949" s="253"/>
      <c r="L949" s="253"/>
      <c r="M949" s="253"/>
      <c r="N949" s="253"/>
      <c r="O949" s="253"/>
      <c r="P949" s="253"/>
      <c r="Q949" s="253"/>
      <c r="R949" s="253"/>
      <c r="S949" s="253"/>
    </row>
    <row r="950" spans="1:19">
      <c r="A950" s="261" t="s">
        <v>913</v>
      </c>
      <c r="B950" s="261" t="s">
        <v>1165</v>
      </c>
      <c r="C950" s="261" t="s">
        <v>267</v>
      </c>
      <c r="D950" s="261" t="s">
        <v>686</v>
      </c>
      <c r="E950" s="261"/>
      <c r="F950" s="261" t="s">
        <v>1243</v>
      </c>
      <c r="G950" s="261" t="s">
        <v>1165</v>
      </c>
      <c r="H950" s="261" t="s">
        <v>267</v>
      </c>
      <c r="I950" s="261" t="s">
        <v>1166</v>
      </c>
      <c r="J950" s="261" t="s">
        <v>1239</v>
      </c>
      <c r="K950" s="253"/>
      <c r="L950" s="253"/>
      <c r="M950" s="253"/>
      <c r="N950" s="253"/>
      <c r="O950" s="253"/>
      <c r="P950" s="253"/>
      <c r="Q950" s="253"/>
      <c r="R950" s="253"/>
      <c r="S950" s="253"/>
    </row>
    <row r="951" spans="1:19">
      <c r="A951" s="261" t="s">
        <v>913</v>
      </c>
      <c r="B951" s="261" t="s">
        <v>1170</v>
      </c>
      <c r="C951" s="261" t="s">
        <v>267</v>
      </c>
      <c r="D951" s="261" t="s">
        <v>686</v>
      </c>
      <c r="E951" s="261"/>
      <c r="F951" s="261" t="s">
        <v>1243</v>
      </c>
      <c r="G951" s="261" t="s">
        <v>1171</v>
      </c>
      <c r="H951" s="261" t="s">
        <v>267</v>
      </c>
      <c r="I951" s="261" t="s">
        <v>1172</v>
      </c>
      <c r="J951" s="261" t="s">
        <v>1239</v>
      </c>
      <c r="K951" s="253"/>
      <c r="L951" s="253"/>
      <c r="M951" s="253"/>
      <c r="N951" s="253"/>
      <c r="O951" s="253"/>
      <c r="P951" s="253"/>
      <c r="Q951" s="253"/>
      <c r="R951" s="253"/>
      <c r="S951" s="253"/>
    </row>
    <row r="952" spans="1:19">
      <c r="A952" s="261" t="s">
        <v>913</v>
      </c>
      <c r="B952" s="261" t="s">
        <v>1173</v>
      </c>
      <c r="C952" s="261" t="s">
        <v>267</v>
      </c>
      <c r="D952" s="261" t="s">
        <v>922</v>
      </c>
      <c r="E952" s="261" t="s">
        <v>1251</v>
      </c>
      <c r="F952" s="261" t="s">
        <v>1243</v>
      </c>
      <c r="G952" s="261" t="s">
        <v>905</v>
      </c>
      <c r="H952" s="261" t="s">
        <v>267</v>
      </c>
      <c r="I952" s="261" t="s">
        <v>1175</v>
      </c>
      <c r="J952" s="261" t="s">
        <v>1239</v>
      </c>
      <c r="K952" s="253"/>
      <c r="L952" s="253"/>
      <c r="M952" s="253"/>
      <c r="N952" s="253"/>
      <c r="O952" s="253"/>
      <c r="P952" s="253"/>
      <c r="Q952" s="253"/>
      <c r="R952" s="253"/>
      <c r="S952" s="253"/>
    </row>
    <row r="953" spans="1:19">
      <c r="A953" s="261" t="s">
        <v>1136</v>
      </c>
      <c r="B953" s="261" t="s">
        <v>1178</v>
      </c>
      <c r="C953" s="261" t="s">
        <v>267</v>
      </c>
      <c r="D953" s="261" t="s">
        <v>686</v>
      </c>
      <c r="E953" s="261"/>
      <c r="F953" s="261" t="s">
        <v>1243</v>
      </c>
      <c r="G953" s="261" t="s">
        <v>1178</v>
      </c>
      <c r="H953" s="261" t="s">
        <v>267</v>
      </c>
      <c r="I953" s="261" t="s">
        <v>1179</v>
      </c>
      <c r="J953" s="261" t="s">
        <v>1239</v>
      </c>
      <c r="K953" s="253"/>
      <c r="L953" s="253"/>
      <c r="M953" s="253"/>
      <c r="N953" s="253"/>
      <c r="O953" s="253"/>
      <c r="P953" s="253"/>
      <c r="Q953" s="253"/>
      <c r="R953" s="253"/>
      <c r="S953" s="253"/>
    </row>
    <row r="954" spans="1:19">
      <c r="A954" s="265" t="s">
        <v>1241</v>
      </c>
      <c r="B954" s="261" t="s">
        <v>1252</v>
      </c>
      <c r="C954" s="261" t="s">
        <v>280</v>
      </c>
      <c r="D954" s="261" t="s">
        <v>686</v>
      </c>
      <c r="E954" s="261"/>
      <c r="F954" s="261" t="s">
        <v>1243</v>
      </c>
      <c r="G954" s="261" t="s">
        <v>1253</v>
      </c>
      <c r="H954" s="261" t="s">
        <v>280</v>
      </c>
      <c r="I954" s="261" t="s">
        <v>1254</v>
      </c>
      <c r="J954" s="261" t="s">
        <v>1239</v>
      </c>
      <c r="K954" s="253"/>
      <c r="L954" s="253"/>
      <c r="M954" s="253"/>
      <c r="N954" s="253"/>
      <c r="O954" s="253"/>
      <c r="P954" s="253"/>
      <c r="Q954" s="253"/>
      <c r="R954" s="253"/>
      <c r="S954" s="253"/>
    </row>
    <row r="955" spans="1:19">
      <c r="A955" s="265" t="s">
        <v>1241</v>
      </c>
      <c r="B955" s="261" t="s">
        <v>1228</v>
      </c>
      <c r="C955" s="261" t="s">
        <v>280</v>
      </c>
      <c r="D955" s="261" t="s">
        <v>686</v>
      </c>
      <c r="E955" s="261"/>
      <c r="F955" s="261" t="s">
        <v>1243</v>
      </c>
      <c r="G955" s="261" t="s">
        <v>1229</v>
      </c>
      <c r="H955" s="261" t="s">
        <v>280</v>
      </c>
      <c r="I955" s="261" t="s">
        <v>1230</v>
      </c>
      <c r="J955" s="261" t="s">
        <v>1239</v>
      </c>
      <c r="K955" s="253"/>
      <c r="L955" s="253"/>
      <c r="M955" s="253"/>
      <c r="N955" s="253"/>
      <c r="O955" s="253"/>
      <c r="P955" s="253"/>
      <c r="Q955" s="253"/>
      <c r="R955" s="253"/>
      <c r="S955" s="253"/>
    </row>
    <row r="956" spans="1:19" ht="26.5" customHeight="1">
      <c r="A956" s="404" t="s">
        <v>1255</v>
      </c>
      <c r="B956" s="261" t="s">
        <v>1256</v>
      </c>
      <c r="C956" s="261" t="s">
        <v>267</v>
      </c>
      <c r="D956" s="261" t="s">
        <v>686</v>
      </c>
      <c r="E956" s="261"/>
      <c r="F956" s="261" t="s">
        <v>1243</v>
      </c>
      <c r="G956" s="261" t="s">
        <v>1257</v>
      </c>
      <c r="H956" s="261" t="s">
        <v>267</v>
      </c>
      <c r="I956" s="261" t="s">
        <v>1257</v>
      </c>
      <c r="J956" s="261" t="s">
        <v>1239</v>
      </c>
      <c r="K956" s="291"/>
      <c r="L956" s="291"/>
      <c r="M956" s="291"/>
      <c r="N956" s="291"/>
      <c r="O956" s="291"/>
      <c r="P956" s="291"/>
      <c r="Q956" s="291"/>
      <c r="R956" s="291"/>
      <c r="S956" s="291"/>
    </row>
    <row r="957" spans="1:19" ht="26.5" customHeight="1">
      <c r="A957" s="261" t="s">
        <v>913</v>
      </c>
      <c r="B957" s="261" t="s">
        <v>100</v>
      </c>
      <c r="C957" s="261" t="s">
        <v>267</v>
      </c>
      <c r="D957" s="261" t="s">
        <v>686</v>
      </c>
      <c r="E957" s="261"/>
      <c r="F957" s="261" t="s">
        <v>1243</v>
      </c>
      <c r="G957" s="261" t="s">
        <v>100</v>
      </c>
      <c r="H957" s="261" t="s">
        <v>267</v>
      </c>
      <c r="I957" s="261"/>
      <c r="J957" s="261" t="s">
        <v>1239</v>
      </c>
      <c r="K957" s="291"/>
      <c r="L957" s="291"/>
      <c r="M957" s="291"/>
      <c r="N957" s="291"/>
      <c r="O957" s="291"/>
      <c r="P957" s="291"/>
      <c r="Q957" s="291"/>
      <c r="R957" s="291"/>
      <c r="S957" s="291"/>
    </row>
    <row r="958" spans="1:19" ht="62.5">
      <c r="A958" s="265" t="s">
        <v>1241</v>
      </c>
      <c r="B958" s="268" t="s">
        <v>312</v>
      </c>
      <c r="C958" s="268" t="s">
        <v>267</v>
      </c>
      <c r="D958" s="268" t="s">
        <v>922</v>
      </c>
      <c r="E958" s="268" t="s">
        <v>1258</v>
      </c>
      <c r="F958" s="261" t="s">
        <v>1243</v>
      </c>
      <c r="G958" s="261" t="s">
        <v>1259</v>
      </c>
      <c r="H958" s="261" t="s">
        <v>274</v>
      </c>
      <c r="I958" s="261"/>
      <c r="J958" s="261" t="s">
        <v>1239</v>
      </c>
      <c r="K958" s="253"/>
      <c r="L958" s="253"/>
      <c r="M958" s="253"/>
      <c r="N958" s="253"/>
      <c r="O958" s="253"/>
      <c r="P958" s="253"/>
      <c r="Q958" s="253"/>
      <c r="R958" s="253"/>
      <c r="S958" s="253"/>
    </row>
    <row r="959" spans="1:19" ht="75">
      <c r="A959" s="265" t="s">
        <v>1241</v>
      </c>
      <c r="B959" s="268" t="s">
        <v>1260</v>
      </c>
      <c r="C959" s="268" t="s">
        <v>267</v>
      </c>
      <c r="D959" s="268" t="s">
        <v>922</v>
      </c>
      <c r="E959" s="360" t="s">
        <v>1261</v>
      </c>
      <c r="F959" s="261" t="s">
        <v>1243</v>
      </c>
      <c r="G959" s="261" t="s">
        <v>1262</v>
      </c>
      <c r="H959" s="261" t="s">
        <v>274</v>
      </c>
      <c r="I959" s="261"/>
      <c r="J959" s="261" t="s">
        <v>1239</v>
      </c>
      <c r="K959" s="253"/>
      <c r="L959" s="253"/>
      <c r="M959" s="253"/>
      <c r="N959" s="253"/>
      <c r="O959" s="253"/>
      <c r="P959" s="253"/>
      <c r="Q959" s="253"/>
      <c r="R959" s="253"/>
      <c r="S959" s="253"/>
    </row>
    <row r="960" spans="1:19" ht="77.150000000000006" customHeight="1">
      <c r="A960" s="404" t="s">
        <v>1263</v>
      </c>
      <c r="B960" s="268"/>
      <c r="C960" s="268"/>
      <c r="D960" s="268" t="s">
        <v>922</v>
      </c>
      <c r="E960" s="360" t="s">
        <v>1264</v>
      </c>
      <c r="F960" s="261" t="s">
        <v>1243</v>
      </c>
      <c r="G960" s="261" t="s">
        <v>1265</v>
      </c>
      <c r="H960" s="261" t="s">
        <v>280</v>
      </c>
      <c r="I960" s="261"/>
      <c r="J960" s="261" t="s">
        <v>1239</v>
      </c>
      <c r="K960" s="291"/>
      <c r="L960" s="291"/>
      <c r="M960" s="291"/>
      <c r="N960" s="291"/>
      <c r="O960" s="291"/>
      <c r="P960" s="291"/>
      <c r="Q960" s="291"/>
      <c r="R960" s="291"/>
      <c r="S960" s="291"/>
    </row>
    <row r="961" spans="1:20">
      <c r="A961" s="452"/>
      <c r="B961" s="299"/>
      <c r="C961" s="299"/>
      <c r="D961" s="299"/>
      <c r="E961" s="453"/>
      <c r="F961" s="291"/>
      <c r="G961" s="291"/>
      <c r="H961" s="291"/>
      <c r="I961" s="291"/>
      <c r="J961" s="291"/>
      <c r="K961" s="253"/>
      <c r="L961" s="253"/>
      <c r="M961" s="253"/>
      <c r="N961" s="253"/>
      <c r="O961" s="253"/>
      <c r="P961" s="253"/>
      <c r="Q961" s="253"/>
      <c r="R961" s="253"/>
      <c r="S961" s="253"/>
    </row>
    <row r="962" spans="1:20">
      <c r="A962" s="452"/>
      <c r="B962" s="299"/>
      <c r="C962" s="299"/>
      <c r="D962" s="299"/>
      <c r="E962" s="453"/>
      <c r="F962" s="291"/>
      <c r="G962" s="291"/>
      <c r="H962" s="291"/>
      <c r="I962" s="291"/>
      <c r="J962" s="291"/>
      <c r="K962" s="253"/>
      <c r="L962" s="253"/>
      <c r="M962" s="253"/>
      <c r="N962" s="253"/>
      <c r="O962" s="253"/>
      <c r="P962" s="253"/>
      <c r="Q962" s="253"/>
      <c r="R962" s="253"/>
      <c r="S962" s="253"/>
    </row>
    <row r="963" spans="1:20" ht="14">
      <c r="A963" s="529" t="s">
        <v>1266</v>
      </c>
      <c r="B963" s="529"/>
      <c r="C963" s="529"/>
      <c r="D963" s="529" t="s">
        <v>906</v>
      </c>
      <c r="E963" s="529"/>
      <c r="F963" s="529"/>
      <c r="G963" s="529"/>
      <c r="H963" s="529"/>
      <c r="I963" s="529"/>
      <c r="J963" s="529"/>
      <c r="K963" s="253"/>
      <c r="L963" s="253"/>
      <c r="M963" s="253"/>
      <c r="N963" s="253"/>
      <c r="O963" s="253"/>
      <c r="P963" s="253"/>
      <c r="Q963" s="253"/>
      <c r="R963" s="253"/>
      <c r="S963" s="253"/>
    </row>
    <row r="964" spans="1:20">
      <c r="A964" s="253"/>
      <c r="B964" s="253"/>
      <c r="C964" s="253"/>
      <c r="D964" s="253"/>
      <c r="E964" s="253"/>
      <c r="F964" s="253"/>
      <c r="G964" s="253"/>
      <c r="H964" s="253"/>
      <c r="I964" s="253"/>
      <c r="J964" s="253"/>
      <c r="K964" s="253"/>
      <c r="L964" s="253"/>
      <c r="M964" s="253"/>
      <c r="N964" s="253"/>
      <c r="O964" s="253"/>
      <c r="P964" s="253"/>
      <c r="Q964" s="253"/>
      <c r="R964" s="253"/>
      <c r="S964" s="253"/>
    </row>
    <row r="965" spans="1:20">
      <c r="A965" s="253"/>
      <c r="B965" s="253"/>
      <c r="C965" s="253"/>
      <c r="D965" s="253"/>
      <c r="E965" s="253"/>
      <c r="F965" s="253"/>
      <c r="G965" s="253"/>
      <c r="H965" s="253"/>
      <c r="I965" s="253"/>
      <c r="J965" s="253"/>
      <c r="K965" s="253"/>
      <c r="L965" s="253"/>
      <c r="M965" s="253"/>
      <c r="N965" s="253"/>
      <c r="O965" s="253"/>
      <c r="P965" s="253"/>
      <c r="Q965" s="253"/>
      <c r="R965" s="253"/>
      <c r="S965" s="253"/>
    </row>
    <row r="966" spans="1:20" ht="253.5" customHeight="1">
      <c r="A966" s="531" t="s">
        <v>1267</v>
      </c>
      <c r="B966" s="531"/>
      <c r="C966" s="531"/>
      <c r="D966" s="253"/>
      <c r="E966" s="253"/>
      <c r="F966" s="253"/>
      <c r="G966" s="253"/>
      <c r="H966" s="253"/>
      <c r="I966" s="253"/>
      <c r="J966" s="253"/>
      <c r="K966" s="253"/>
      <c r="L966" s="253"/>
      <c r="M966" s="253"/>
      <c r="N966" s="253"/>
      <c r="O966" s="253"/>
      <c r="P966" s="253"/>
      <c r="Q966" s="253"/>
      <c r="R966" s="253"/>
      <c r="S966" s="271"/>
      <c r="T966"/>
    </row>
    <row r="967" spans="1:20" ht="13">
      <c r="A967" s="259" t="s">
        <v>73</v>
      </c>
      <c r="B967" s="254" t="s">
        <v>74</v>
      </c>
      <c r="C967" s="255" t="s">
        <v>75</v>
      </c>
      <c r="D967" s="255" t="s">
        <v>76</v>
      </c>
      <c r="E967" s="256" t="s">
        <v>77</v>
      </c>
      <c r="F967" s="255" t="s">
        <v>78</v>
      </c>
      <c r="G967" s="255" t="s">
        <v>79</v>
      </c>
      <c r="H967" s="257" t="s">
        <v>80</v>
      </c>
      <c r="I967" s="260" t="s">
        <v>683</v>
      </c>
      <c r="J967" s="255" t="s">
        <v>261</v>
      </c>
      <c r="K967" s="253"/>
      <c r="L967" s="253"/>
      <c r="M967" s="253"/>
      <c r="N967" s="253"/>
      <c r="O967" s="253"/>
      <c r="P967" s="253"/>
      <c r="Q967" s="253"/>
      <c r="R967" s="253"/>
      <c r="S967" s="253"/>
      <c r="T967" s="248"/>
    </row>
    <row r="968" spans="1:20" ht="14.5">
      <c r="A968" s="261" t="s">
        <v>1268</v>
      </c>
      <c r="B968" s="261" t="s">
        <v>1242</v>
      </c>
      <c r="C968" s="261" t="s">
        <v>274</v>
      </c>
      <c r="D968" s="261" t="s">
        <v>922</v>
      </c>
      <c r="E968" s="261" t="s">
        <v>909</v>
      </c>
      <c r="F968" s="261" t="s">
        <v>1269</v>
      </c>
      <c r="G968" s="261" t="s">
        <v>911</v>
      </c>
      <c r="H968" s="261" t="s">
        <v>262</v>
      </c>
      <c r="I968" s="261" t="s">
        <v>912</v>
      </c>
      <c r="J968" s="261" t="s">
        <v>1266</v>
      </c>
      <c r="K968" s="253"/>
      <c r="L968" s="253"/>
      <c r="M968" s="253"/>
      <c r="N968" s="253"/>
      <c r="O968" s="253"/>
      <c r="P968" s="253"/>
      <c r="Q968" s="253"/>
      <c r="R968" s="253"/>
      <c r="S968" s="253"/>
      <c r="T968"/>
    </row>
    <row r="969" spans="1:20" ht="31.5">
      <c r="A969" s="261" t="s">
        <v>1268</v>
      </c>
      <c r="B969" s="261" t="s">
        <v>92</v>
      </c>
      <c r="C969" s="261" t="s">
        <v>267</v>
      </c>
      <c r="D969" s="261" t="s">
        <v>922</v>
      </c>
      <c r="E969" s="348" t="s">
        <v>1244</v>
      </c>
      <c r="F969" s="261" t="s">
        <v>1269</v>
      </c>
      <c r="G969" s="261" t="s">
        <v>914</v>
      </c>
      <c r="H969" s="261" t="s">
        <v>267</v>
      </c>
      <c r="I969" s="261" t="s">
        <v>915</v>
      </c>
      <c r="J969" s="261" t="s">
        <v>1266</v>
      </c>
      <c r="K969" s="253"/>
      <c r="L969" s="253"/>
      <c r="M969" s="253"/>
      <c r="N969" s="253"/>
      <c r="O969" s="253"/>
      <c r="P969" s="253"/>
      <c r="Q969" s="253"/>
      <c r="R969" s="253"/>
      <c r="S969" s="253"/>
      <c r="T969"/>
    </row>
    <row r="970" spans="1:20" ht="14.5">
      <c r="A970" s="261" t="s">
        <v>1268</v>
      </c>
      <c r="B970" s="261" t="s">
        <v>92</v>
      </c>
      <c r="C970" s="261" t="s">
        <v>267</v>
      </c>
      <c r="D970" s="261" t="s">
        <v>922</v>
      </c>
      <c r="E970" s="348" t="s">
        <v>1245</v>
      </c>
      <c r="F970" s="261" t="s">
        <v>1269</v>
      </c>
      <c r="G970" s="261" t="s">
        <v>916</v>
      </c>
      <c r="H970" s="261" t="s">
        <v>267</v>
      </c>
      <c r="I970" s="261" t="s">
        <v>917</v>
      </c>
      <c r="J970" s="261" t="s">
        <v>1266</v>
      </c>
      <c r="K970" s="253"/>
      <c r="L970" s="253"/>
      <c r="M970" s="253"/>
      <c r="N970" s="253"/>
      <c r="O970" s="253"/>
      <c r="P970" s="253"/>
      <c r="Q970" s="253"/>
      <c r="R970" s="253"/>
      <c r="S970" s="253"/>
      <c r="T970"/>
    </row>
    <row r="971" spans="1:20" ht="21">
      <c r="A971" s="261" t="s">
        <v>1268</v>
      </c>
      <c r="B971" s="261" t="s">
        <v>92</v>
      </c>
      <c r="C971" s="261" t="s">
        <v>267</v>
      </c>
      <c r="D971" s="261" t="s">
        <v>922</v>
      </c>
      <c r="E971" s="348" t="s">
        <v>1246</v>
      </c>
      <c r="F971" s="261" t="s">
        <v>1269</v>
      </c>
      <c r="G971" s="261" t="s">
        <v>918</v>
      </c>
      <c r="H971" s="261" t="s">
        <v>267</v>
      </c>
      <c r="I971" s="261" t="s">
        <v>919</v>
      </c>
      <c r="J971" s="261" t="s">
        <v>1266</v>
      </c>
      <c r="K971" s="253"/>
      <c r="L971" s="253"/>
      <c r="M971" s="253"/>
      <c r="N971" s="253"/>
      <c r="O971" s="253"/>
      <c r="P971" s="253"/>
      <c r="Q971" s="253"/>
      <c r="R971" s="253"/>
      <c r="S971" s="253"/>
      <c r="T971"/>
    </row>
    <row r="972" spans="1:20" ht="14.5">
      <c r="A972" s="261" t="s">
        <v>1268</v>
      </c>
      <c r="B972" s="261" t="s">
        <v>92</v>
      </c>
      <c r="C972" s="261" t="s">
        <v>267</v>
      </c>
      <c r="D972" s="261" t="s">
        <v>922</v>
      </c>
      <c r="E972" s="348" t="s">
        <v>1245</v>
      </c>
      <c r="F972" s="261" t="s">
        <v>1269</v>
      </c>
      <c r="G972" s="261" t="s">
        <v>920</v>
      </c>
      <c r="H972" s="261" t="s">
        <v>267</v>
      </c>
      <c r="I972" s="261" t="s">
        <v>921</v>
      </c>
      <c r="J972" s="261" t="s">
        <v>1266</v>
      </c>
      <c r="K972" s="253"/>
      <c r="L972" s="253"/>
      <c r="M972" s="253"/>
      <c r="N972" s="253"/>
      <c r="O972" s="253"/>
      <c r="P972" s="253"/>
      <c r="Q972" s="253"/>
      <c r="R972" s="253"/>
      <c r="S972" s="253"/>
      <c r="T972"/>
    </row>
    <row r="973" spans="1:20" ht="25">
      <c r="A973" s="261" t="s">
        <v>1268</v>
      </c>
      <c r="B973" s="261" t="s">
        <v>312</v>
      </c>
      <c r="C973" s="261" t="s">
        <v>267</v>
      </c>
      <c r="D973" s="261" t="s">
        <v>922</v>
      </c>
      <c r="E973" s="158" t="s">
        <v>923</v>
      </c>
      <c r="F973" s="261" t="s">
        <v>1269</v>
      </c>
      <c r="G973" s="261" t="s">
        <v>924</v>
      </c>
      <c r="H973" s="261" t="s">
        <v>267</v>
      </c>
      <c r="I973" s="261" t="s">
        <v>925</v>
      </c>
      <c r="J973" s="261" t="s">
        <v>1266</v>
      </c>
      <c r="K973" s="253"/>
      <c r="L973" s="253"/>
      <c r="M973" s="253"/>
      <c r="N973" s="253"/>
      <c r="O973" s="253"/>
      <c r="P973" s="253"/>
      <c r="Q973" s="253"/>
      <c r="R973" s="253"/>
      <c r="S973" s="253"/>
      <c r="T973"/>
    </row>
    <row r="974" spans="1:20" ht="14.5">
      <c r="A974" s="261" t="s">
        <v>1268</v>
      </c>
      <c r="B974" s="261" t="s">
        <v>312</v>
      </c>
      <c r="C974" s="261" t="s">
        <v>267</v>
      </c>
      <c r="D974" s="261" t="s">
        <v>922</v>
      </c>
      <c r="E974" s="158" t="s">
        <v>926</v>
      </c>
      <c r="F974" s="261" t="s">
        <v>1269</v>
      </c>
      <c r="G974" s="261" t="s">
        <v>927</v>
      </c>
      <c r="H974" s="261" t="s">
        <v>267</v>
      </c>
      <c r="I974" s="261" t="s">
        <v>928</v>
      </c>
      <c r="J974" s="261" t="s">
        <v>1266</v>
      </c>
      <c r="K974" s="253"/>
      <c r="L974" s="253"/>
      <c r="M974" s="253"/>
      <c r="N974" s="253"/>
      <c r="O974" s="253"/>
      <c r="P974" s="253"/>
      <c r="Q974" s="253"/>
      <c r="R974" s="253"/>
      <c r="S974" s="253"/>
      <c r="T974"/>
    </row>
    <row r="975" spans="1:20" ht="14.5">
      <c r="A975" s="261" t="s">
        <v>1270</v>
      </c>
      <c r="B975" s="261" t="s">
        <v>929</v>
      </c>
      <c r="C975" s="261" t="s">
        <v>267</v>
      </c>
      <c r="D975" s="261" t="s">
        <v>686</v>
      </c>
      <c r="E975" s="261"/>
      <c r="F975" s="261" t="s">
        <v>1269</v>
      </c>
      <c r="G975" s="261" t="s">
        <v>929</v>
      </c>
      <c r="H975" s="261" t="s">
        <v>267</v>
      </c>
      <c r="I975" s="261" t="s">
        <v>930</v>
      </c>
      <c r="J975" s="261" t="s">
        <v>1266</v>
      </c>
      <c r="K975" s="253"/>
      <c r="L975" s="253"/>
      <c r="M975" s="253"/>
      <c r="N975" s="253"/>
      <c r="O975" s="253"/>
      <c r="P975" s="253"/>
      <c r="Q975" s="253"/>
      <c r="R975" s="253"/>
      <c r="S975" s="253"/>
      <c r="T975"/>
    </row>
    <row r="976" spans="1:20" ht="14.5">
      <c r="A976" s="261" t="s">
        <v>1270</v>
      </c>
      <c r="B976" s="261" t="s">
        <v>931</v>
      </c>
      <c r="C976" s="261" t="s">
        <v>267</v>
      </c>
      <c r="D976" s="261" t="s">
        <v>686</v>
      </c>
      <c r="E976" s="261"/>
      <c r="F976" s="261" t="s">
        <v>1269</v>
      </c>
      <c r="G976" s="261" t="s">
        <v>931</v>
      </c>
      <c r="H976" s="261" t="s">
        <v>267</v>
      </c>
      <c r="I976" s="261" t="s">
        <v>932</v>
      </c>
      <c r="J976" s="261" t="s">
        <v>1266</v>
      </c>
      <c r="K976" s="253"/>
      <c r="L976" s="253"/>
      <c r="M976" s="253"/>
      <c r="N976" s="253"/>
      <c r="O976" s="253"/>
      <c r="P976" s="253"/>
      <c r="Q976" s="253"/>
      <c r="R976" s="253"/>
      <c r="S976" s="253"/>
      <c r="T976"/>
    </row>
    <row r="977" spans="1:20" ht="14.5">
      <c r="A977" s="261" t="s">
        <v>1270</v>
      </c>
      <c r="B977" s="261" t="s">
        <v>933</v>
      </c>
      <c r="C977" s="261" t="s">
        <v>267</v>
      </c>
      <c r="D977" s="261" t="s">
        <v>686</v>
      </c>
      <c r="E977" s="261"/>
      <c r="F977" s="261" t="s">
        <v>1269</v>
      </c>
      <c r="G977" s="261" t="s">
        <v>933</v>
      </c>
      <c r="H977" s="261" t="s">
        <v>267</v>
      </c>
      <c r="I977" s="261" t="s">
        <v>934</v>
      </c>
      <c r="J977" s="261" t="s">
        <v>1266</v>
      </c>
      <c r="K977" s="253"/>
      <c r="L977" s="253"/>
      <c r="M977" s="253"/>
      <c r="N977" s="253"/>
      <c r="O977" s="253"/>
      <c r="P977" s="253"/>
      <c r="Q977" s="253"/>
      <c r="R977" s="253"/>
      <c r="S977" s="253"/>
      <c r="T977"/>
    </row>
    <row r="978" spans="1:20" ht="14.5">
      <c r="A978" s="261" t="s">
        <v>1270</v>
      </c>
      <c r="B978" s="261" t="s">
        <v>935</v>
      </c>
      <c r="C978" s="261" t="s">
        <v>267</v>
      </c>
      <c r="D978" s="261" t="s">
        <v>686</v>
      </c>
      <c r="E978" s="261"/>
      <c r="F978" s="261" t="s">
        <v>1269</v>
      </c>
      <c r="G978" s="261" t="s">
        <v>935</v>
      </c>
      <c r="H978" s="261" t="s">
        <v>267</v>
      </c>
      <c r="I978" s="261" t="s">
        <v>936</v>
      </c>
      <c r="J978" s="261" t="s">
        <v>1266</v>
      </c>
      <c r="K978" s="253"/>
      <c r="L978" s="253"/>
      <c r="M978" s="253"/>
      <c r="N978" s="253"/>
      <c r="O978" s="253"/>
      <c r="P978" s="253"/>
      <c r="Q978" s="253"/>
      <c r="R978" s="253"/>
      <c r="S978" s="253"/>
      <c r="T978"/>
    </row>
    <row r="979" spans="1:20" ht="14.5">
      <c r="A979" s="261" t="s">
        <v>1270</v>
      </c>
      <c r="B979" s="261" t="s">
        <v>937</v>
      </c>
      <c r="C979" s="261" t="s">
        <v>267</v>
      </c>
      <c r="D979" s="261" t="s">
        <v>686</v>
      </c>
      <c r="E979" s="261"/>
      <c r="F979" s="261" t="s">
        <v>1269</v>
      </c>
      <c r="G979" s="261" t="s">
        <v>937</v>
      </c>
      <c r="H979" s="261" t="s">
        <v>267</v>
      </c>
      <c r="I979" s="261" t="s">
        <v>938</v>
      </c>
      <c r="J979" s="261" t="s">
        <v>1266</v>
      </c>
      <c r="K979" s="253"/>
      <c r="L979" s="253"/>
      <c r="M979" s="253"/>
      <c r="N979" s="253"/>
      <c r="O979" s="253"/>
      <c r="P979" s="253"/>
      <c r="Q979" s="253"/>
      <c r="R979" s="253"/>
      <c r="S979" s="253"/>
      <c r="T979"/>
    </row>
    <row r="980" spans="1:20" ht="14.5">
      <c r="A980" s="261" t="s">
        <v>1270</v>
      </c>
      <c r="B980" s="261" t="s">
        <v>939</v>
      </c>
      <c r="C980" s="261" t="s">
        <v>267</v>
      </c>
      <c r="D980" s="261" t="s">
        <v>686</v>
      </c>
      <c r="E980" s="261"/>
      <c r="F980" s="261" t="s">
        <v>1269</v>
      </c>
      <c r="G980" s="261" t="s">
        <v>939</v>
      </c>
      <c r="H980" s="261" t="s">
        <v>267</v>
      </c>
      <c r="I980" s="261" t="s">
        <v>940</v>
      </c>
      <c r="J980" s="261" t="s">
        <v>1266</v>
      </c>
      <c r="K980" s="253"/>
      <c r="L980" s="253"/>
      <c r="M980" s="253"/>
      <c r="N980" s="253"/>
      <c r="O980" s="253"/>
      <c r="P980" s="253"/>
      <c r="Q980" s="253"/>
      <c r="R980" s="253"/>
      <c r="S980" s="253"/>
      <c r="T980"/>
    </row>
    <row r="981" spans="1:20" ht="14.5">
      <c r="A981" s="261" t="s">
        <v>1270</v>
      </c>
      <c r="B981" s="261" t="s">
        <v>941</v>
      </c>
      <c r="C981" s="261" t="s">
        <v>267</v>
      </c>
      <c r="D981" s="261" t="s">
        <v>686</v>
      </c>
      <c r="E981" s="261"/>
      <c r="F981" s="261" t="s">
        <v>1269</v>
      </c>
      <c r="G981" s="261" t="s">
        <v>941</v>
      </c>
      <c r="H981" s="261" t="s">
        <v>267</v>
      </c>
      <c r="I981" s="261" t="s">
        <v>942</v>
      </c>
      <c r="J981" s="261" t="s">
        <v>1266</v>
      </c>
      <c r="K981" s="253"/>
      <c r="L981" s="253"/>
      <c r="M981" s="253"/>
      <c r="N981" s="253"/>
      <c r="O981" s="253"/>
      <c r="P981" s="253"/>
      <c r="Q981" s="253"/>
      <c r="R981" s="253"/>
      <c r="S981" s="253"/>
      <c r="T981"/>
    </row>
    <row r="982" spans="1:20" ht="14.5">
      <c r="A982" s="261" t="s">
        <v>1270</v>
      </c>
      <c r="B982" s="261" t="s">
        <v>943</v>
      </c>
      <c r="C982" s="261" t="s">
        <v>267</v>
      </c>
      <c r="D982" s="261" t="s">
        <v>686</v>
      </c>
      <c r="E982" s="261"/>
      <c r="F982" s="261" t="s">
        <v>1269</v>
      </c>
      <c r="G982" s="261" t="s">
        <v>943</v>
      </c>
      <c r="H982" s="261" t="s">
        <v>267</v>
      </c>
      <c r="I982" s="261" t="s">
        <v>944</v>
      </c>
      <c r="J982" s="261" t="s">
        <v>1266</v>
      </c>
      <c r="K982" s="253"/>
      <c r="L982" s="253"/>
      <c r="M982" s="253"/>
      <c r="N982" s="253"/>
      <c r="O982" s="253"/>
      <c r="P982" s="253"/>
      <c r="Q982" s="253"/>
      <c r="R982" s="253"/>
      <c r="S982" s="253"/>
      <c r="T982"/>
    </row>
    <row r="983" spans="1:20" ht="14.5">
      <c r="A983" s="261" t="s">
        <v>1270</v>
      </c>
      <c r="B983" s="261" t="s">
        <v>945</v>
      </c>
      <c r="C983" s="261" t="s">
        <v>267</v>
      </c>
      <c r="D983" s="261" t="s">
        <v>686</v>
      </c>
      <c r="E983" s="261"/>
      <c r="F983" s="261" t="s">
        <v>1269</v>
      </c>
      <c r="G983" s="261" t="s">
        <v>945</v>
      </c>
      <c r="H983" s="261" t="s">
        <v>267</v>
      </c>
      <c r="I983" s="261" t="s">
        <v>946</v>
      </c>
      <c r="J983" s="261" t="s">
        <v>1266</v>
      </c>
      <c r="K983" s="253"/>
      <c r="L983" s="253"/>
      <c r="M983" s="253"/>
      <c r="N983" s="253"/>
      <c r="O983" s="253"/>
      <c r="P983" s="253"/>
      <c r="Q983" s="253"/>
      <c r="R983" s="253"/>
      <c r="S983" s="253"/>
      <c r="T983"/>
    </row>
    <row r="984" spans="1:20" ht="14.5">
      <c r="A984" s="261" t="s">
        <v>1270</v>
      </c>
      <c r="B984" s="261" t="s">
        <v>947</v>
      </c>
      <c r="C984" s="261" t="s">
        <v>267</v>
      </c>
      <c r="D984" s="261" t="s">
        <v>686</v>
      </c>
      <c r="E984" s="261"/>
      <c r="F984" s="261" t="s">
        <v>1269</v>
      </c>
      <c r="G984" s="261" t="s">
        <v>947</v>
      </c>
      <c r="H984" s="261" t="s">
        <v>267</v>
      </c>
      <c r="I984" s="261" t="s">
        <v>948</v>
      </c>
      <c r="J984" s="261" t="s">
        <v>1266</v>
      </c>
      <c r="K984" s="253"/>
      <c r="L984" s="253"/>
      <c r="M984" s="253"/>
      <c r="N984" s="253"/>
      <c r="O984" s="253"/>
      <c r="P984" s="253"/>
      <c r="Q984" s="253"/>
      <c r="R984" s="253"/>
      <c r="S984" s="253"/>
      <c r="T984"/>
    </row>
    <row r="985" spans="1:20" ht="14.5">
      <c r="A985" s="261" t="s">
        <v>1270</v>
      </c>
      <c r="B985" s="261" t="s">
        <v>949</v>
      </c>
      <c r="C985" s="261" t="s">
        <v>267</v>
      </c>
      <c r="D985" s="261" t="s">
        <v>686</v>
      </c>
      <c r="E985" s="261"/>
      <c r="F985" s="261" t="s">
        <v>1269</v>
      </c>
      <c r="G985" s="261" t="s">
        <v>949</v>
      </c>
      <c r="H985" s="261" t="s">
        <v>267</v>
      </c>
      <c r="I985" s="261" t="s">
        <v>950</v>
      </c>
      <c r="J985" s="261" t="s">
        <v>1266</v>
      </c>
      <c r="K985" s="253"/>
      <c r="L985" s="253"/>
      <c r="M985" s="253"/>
      <c r="N985" s="253"/>
      <c r="O985" s="253"/>
      <c r="P985" s="253"/>
      <c r="Q985" s="253"/>
      <c r="R985" s="253"/>
      <c r="S985" s="253"/>
      <c r="T985"/>
    </row>
    <row r="986" spans="1:20" ht="14.5">
      <c r="A986" s="261" t="s">
        <v>1270</v>
      </c>
      <c r="B986" s="261" t="s">
        <v>951</v>
      </c>
      <c r="C986" s="261" t="s">
        <v>267</v>
      </c>
      <c r="D986" s="261" t="s">
        <v>686</v>
      </c>
      <c r="E986" s="261"/>
      <c r="F986" s="261" t="s">
        <v>1269</v>
      </c>
      <c r="G986" s="261" t="s">
        <v>951</v>
      </c>
      <c r="H986" s="261" t="s">
        <v>267</v>
      </c>
      <c r="I986" s="261" t="s">
        <v>952</v>
      </c>
      <c r="J986" s="261" t="s">
        <v>1266</v>
      </c>
      <c r="K986" s="253"/>
      <c r="L986" s="253"/>
      <c r="M986" s="253"/>
      <c r="N986" s="253"/>
      <c r="O986" s="253"/>
      <c r="P986" s="253"/>
      <c r="Q986" s="253"/>
      <c r="R986" s="253"/>
      <c r="S986" s="253"/>
      <c r="T986"/>
    </row>
    <row r="987" spans="1:20" ht="14.5">
      <c r="A987" s="261" t="s">
        <v>1270</v>
      </c>
      <c r="B987" s="261" t="s">
        <v>953</v>
      </c>
      <c r="C987" s="261" t="s">
        <v>267</v>
      </c>
      <c r="D987" s="261" t="s">
        <v>686</v>
      </c>
      <c r="E987" s="261"/>
      <c r="F987" s="261" t="s">
        <v>1269</v>
      </c>
      <c r="G987" s="261" t="s">
        <v>953</v>
      </c>
      <c r="H987" s="261" t="s">
        <v>267</v>
      </c>
      <c r="I987" s="261" t="s">
        <v>954</v>
      </c>
      <c r="J987" s="261" t="s">
        <v>1266</v>
      </c>
      <c r="K987" s="253"/>
      <c r="L987" s="253"/>
      <c r="M987" s="253"/>
      <c r="N987" s="253"/>
      <c r="O987" s="253"/>
      <c r="P987" s="253"/>
      <c r="Q987" s="253"/>
      <c r="R987" s="253"/>
      <c r="S987" s="253"/>
      <c r="T987"/>
    </row>
    <row r="988" spans="1:20" ht="14.5">
      <c r="A988" s="261" t="s">
        <v>1270</v>
      </c>
      <c r="B988" s="261" t="s">
        <v>955</v>
      </c>
      <c r="C988" s="261" t="s">
        <v>267</v>
      </c>
      <c r="D988" s="261" t="s">
        <v>686</v>
      </c>
      <c r="E988" s="261"/>
      <c r="F988" s="261" t="s">
        <v>1269</v>
      </c>
      <c r="G988" s="261" t="s">
        <v>955</v>
      </c>
      <c r="H988" s="261" t="s">
        <v>267</v>
      </c>
      <c r="I988" s="261" t="s">
        <v>956</v>
      </c>
      <c r="J988" s="261" t="s">
        <v>1266</v>
      </c>
      <c r="K988" s="253"/>
      <c r="L988" s="253"/>
      <c r="M988" s="253"/>
      <c r="N988" s="253"/>
      <c r="O988" s="253"/>
      <c r="P988" s="253"/>
      <c r="Q988" s="253"/>
      <c r="R988" s="253"/>
      <c r="S988" s="253"/>
      <c r="T988"/>
    </row>
    <row r="989" spans="1:20" ht="14.5">
      <c r="A989" s="261" t="s">
        <v>1270</v>
      </c>
      <c r="B989" s="261" t="s">
        <v>957</v>
      </c>
      <c r="C989" s="261" t="s">
        <v>267</v>
      </c>
      <c r="D989" s="261" t="s">
        <v>686</v>
      </c>
      <c r="E989" s="261"/>
      <c r="F989" s="261" t="s">
        <v>1269</v>
      </c>
      <c r="G989" s="261" t="s">
        <v>957</v>
      </c>
      <c r="H989" s="261" t="s">
        <v>267</v>
      </c>
      <c r="I989" s="261" t="s">
        <v>958</v>
      </c>
      <c r="J989" s="261" t="s">
        <v>1266</v>
      </c>
      <c r="K989" s="253"/>
      <c r="L989" s="253"/>
      <c r="M989" s="253"/>
      <c r="N989" s="253"/>
      <c r="O989" s="253"/>
      <c r="P989" s="253"/>
      <c r="Q989" s="253"/>
      <c r="R989" s="253"/>
      <c r="S989" s="253"/>
      <c r="T989"/>
    </row>
    <row r="990" spans="1:20" ht="14.5">
      <c r="A990" s="261" t="s">
        <v>1270</v>
      </c>
      <c r="B990" s="261" t="s">
        <v>959</v>
      </c>
      <c r="C990" s="261" t="s">
        <v>267</v>
      </c>
      <c r="D990" s="261" t="s">
        <v>686</v>
      </c>
      <c r="E990" s="261"/>
      <c r="F990" s="261" t="s">
        <v>1269</v>
      </c>
      <c r="G990" s="261" t="s">
        <v>959</v>
      </c>
      <c r="H990" s="261" t="s">
        <v>267</v>
      </c>
      <c r="I990" s="261" t="s">
        <v>960</v>
      </c>
      <c r="J990" s="261" t="s">
        <v>1266</v>
      </c>
      <c r="K990" s="253"/>
      <c r="L990" s="253"/>
      <c r="M990" s="253"/>
      <c r="N990" s="253"/>
      <c r="O990" s="253"/>
      <c r="P990" s="253"/>
      <c r="Q990" s="253"/>
      <c r="R990" s="253"/>
      <c r="S990" s="253"/>
      <c r="T990"/>
    </row>
    <row r="991" spans="1:20" ht="14.5">
      <c r="A991" s="261" t="s">
        <v>1270</v>
      </c>
      <c r="B991" s="261" t="s">
        <v>961</v>
      </c>
      <c r="C991" s="261" t="s">
        <v>267</v>
      </c>
      <c r="D991" s="261" t="s">
        <v>686</v>
      </c>
      <c r="E991" s="261"/>
      <c r="F991" s="261" t="s">
        <v>1269</v>
      </c>
      <c r="G991" s="261" t="s">
        <v>961</v>
      </c>
      <c r="H991" s="261" t="s">
        <v>267</v>
      </c>
      <c r="I991" s="261" t="s">
        <v>962</v>
      </c>
      <c r="J991" s="261" t="s">
        <v>1266</v>
      </c>
      <c r="K991" s="253"/>
      <c r="L991" s="253"/>
      <c r="M991" s="253"/>
      <c r="N991" s="253"/>
      <c r="O991" s="253"/>
      <c r="P991" s="253"/>
      <c r="Q991" s="253"/>
      <c r="R991" s="253"/>
      <c r="S991" s="253"/>
      <c r="T991"/>
    </row>
    <row r="992" spans="1:20" ht="14.5">
      <c r="A992" s="261" t="s">
        <v>1270</v>
      </c>
      <c r="B992" s="261" t="s">
        <v>963</v>
      </c>
      <c r="C992" s="261" t="s">
        <v>267</v>
      </c>
      <c r="D992" s="261" t="s">
        <v>686</v>
      </c>
      <c r="E992" s="261"/>
      <c r="F992" s="261" t="s">
        <v>1269</v>
      </c>
      <c r="G992" s="261" t="s">
        <v>963</v>
      </c>
      <c r="H992" s="261" t="s">
        <v>267</v>
      </c>
      <c r="I992" s="261" t="s">
        <v>964</v>
      </c>
      <c r="J992" s="261" t="s">
        <v>1266</v>
      </c>
      <c r="K992" s="253"/>
      <c r="L992" s="253"/>
      <c r="M992" s="253"/>
      <c r="N992" s="253"/>
      <c r="O992" s="253"/>
      <c r="P992" s="253"/>
      <c r="Q992" s="253"/>
      <c r="R992" s="253"/>
      <c r="S992" s="253"/>
      <c r="T992"/>
    </row>
    <row r="993" spans="1:20" ht="14.5">
      <c r="A993" s="261" t="s">
        <v>1270</v>
      </c>
      <c r="B993" s="261" t="s">
        <v>965</v>
      </c>
      <c r="C993" s="261" t="s">
        <v>267</v>
      </c>
      <c r="D993" s="261" t="s">
        <v>686</v>
      </c>
      <c r="E993" s="261"/>
      <c r="F993" s="261" t="s">
        <v>1269</v>
      </c>
      <c r="G993" s="261" t="s">
        <v>965</v>
      </c>
      <c r="H993" s="261" t="s">
        <v>267</v>
      </c>
      <c r="I993" s="261" t="s">
        <v>966</v>
      </c>
      <c r="J993" s="261" t="s">
        <v>1266</v>
      </c>
      <c r="K993" s="253"/>
      <c r="L993" s="253"/>
      <c r="M993" s="253"/>
      <c r="N993" s="253"/>
      <c r="O993" s="253"/>
      <c r="P993" s="253"/>
      <c r="Q993" s="253"/>
      <c r="R993" s="253"/>
      <c r="S993" s="253"/>
      <c r="T993"/>
    </row>
    <row r="994" spans="1:20" ht="14.5">
      <c r="A994" s="261" t="s">
        <v>1270</v>
      </c>
      <c r="B994" s="261" t="s">
        <v>967</v>
      </c>
      <c r="C994" s="261" t="s">
        <v>267</v>
      </c>
      <c r="D994" s="261" t="s">
        <v>686</v>
      </c>
      <c r="E994" s="261"/>
      <c r="F994" s="261" t="s">
        <v>1269</v>
      </c>
      <c r="G994" s="261" t="s">
        <v>967</v>
      </c>
      <c r="H994" s="261" t="s">
        <v>267</v>
      </c>
      <c r="I994" s="261" t="s">
        <v>968</v>
      </c>
      <c r="J994" s="261" t="s">
        <v>1266</v>
      </c>
      <c r="K994" s="253"/>
      <c r="L994" s="253"/>
      <c r="M994" s="253"/>
      <c r="N994" s="253"/>
      <c r="O994" s="253"/>
      <c r="P994" s="253"/>
      <c r="Q994" s="253"/>
      <c r="R994" s="253"/>
      <c r="S994" s="253"/>
      <c r="T994"/>
    </row>
    <row r="995" spans="1:20" ht="14.5">
      <c r="A995" s="261" t="s">
        <v>1270</v>
      </c>
      <c r="B995" s="261" t="s">
        <v>969</v>
      </c>
      <c r="C995" s="261" t="s">
        <v>267</v>
      </c>
      <c r="D995" s="261" t="s">
        <v>686</v>
      </c>
      <c r="E995" s="261"/>
      <c r="F995" s="261" t="s">
        <v>1269</v>
      </c>
      <c r="G995" s="261" t="s">
        <v>969</v>
      </c>
      <c r="H995" s="261" t="s">
        <v>267</v>
      </c>
      <c r="I995" s="261" t="s">
        <v>970</v>
      </c>
      <c r="J995" s="261" t="s">
        <v>1266</v>
      </c>
      <c r="K995" s="253"/>
      <c r="L995" s="253"/>
      <c r="M995" s="253"/>
      <c r="N995" s="253"/>
      <c r="O995" s="253"/>
      <c r="P995" s="253"/>
      <c r="Q995" s="253"/>
      <c r="R995" s="253"/>
      <c r="S995" s="253"/>
      <c r="T995"/>
    </row>
    <row r="996" spans="1:20" ht="14.5">
      <c r="A996" s="261" t="s">
        <v>1270</v>
      </c>
      <c r="B996" s="261" t="s">
        <v>971</v>
      </c>
      <c r="C996" s="261" t="s">
        <v>267</v>
      </c>
      <c r="D996" s="261" t="s">
        <v>686</v>
      </c>
      <c r="E996" s="261"/>
      <c r="F996" s="261" t="s">
        <v>1269</v>
      </c>
      <c r="G996" s="261" t="s">
        <v>971</v>
      </c>
      <c r="H996" s="261" t="s">
        <v>267</v>
      </c>
      <c r="I996" s="261" t="s">
        <v>972</v>
      </c>
      <c r="J996" s="261" t="s">
        <v>1266</v>
      </c>
      <c r="K996" s="253"/>
      <c r="L996" s="253"/>
      <c r="M996" s="253"/>
      <c r="N996" s="253"/>
      <c r="O996" s="253"/>
      <c r="P996" s="253"/>
      <c r="Q996" s="253"/>
      <c r="R996" s="253"/>
      <c r="S996" s="253"/>
      <c r="T996"/>
    </row>
    <row r="997" spans="1:20" ht="14.5">
      <c r="A997" s="261" t="s">
        <v>1270</v>
      </c>
      <c r="B997" s="261" t="s">
        <v>973</v>
      </c>
      <c r="C997" s="261" t="s">
        <v>267</v>
      </c>
      <c r="D997" s="261" t="s">
        <v>686</v>
      </c>
      <c r="E997" s="261"/>
      <c r="F997" s="261" t="s">
        <v>1269</v>
      </c>
      <c r="G997" s="261" t="s">
        <v>973</v>
      </c>
      <c r="H997" s="261" t="s">
        <v>267</v>
      </c>
      <c r="I997" s="261" t="s">
        <v>974</v>
      </c>
      <c r="J997" s="261" t="s">
        <v>1266</v>
      </c>
      <c r="K997" s="253"/>
      <c r="L997" s="253"/>
      <c r="M997" s="253"/>
      <c r="N997" s="253"/>
      <c r="O997" s="253"/>
      <c r="P997" s="253"/>
      <c r="Q997" s="253"/>
      <c r="R997" s="253"/>
      <c r="S997" s="253"/>
      <c r="T997"/>
    </row>
    <row r="998" spans="1:20" ht="14.5">
      <c r="A998" s="261" t="s">
        <v>1270</v>
      </c>
      <c r="B998" s="261" t="s">
        <v>975</v>
      </c>
      <c r="C998" s="261" t="s">
        <v>267</v>
      </c>
      <c r="D998" s="261" t="s">
        <v>686</v>
      </c>
      <c r="E998" s="261"/>
      <c r="F998" s="261" t="s">
        <v>1269</v>
      </c>
      <c r="G998" s="261" t="s">
        <v>975</v>
      </c>
      <c r="H998" s="261" t="s">
        <v>267</v>
      </c>
      <c r="I998" s="261" t="s">
        <v>976</v>
      </c>
      <c r="J998" s="261" t="s">
        <v>1266</v>
      </c>
      <c r="K998" s="253"/>
      <c r="L998" s="253"/>
      <c r="M998" s="253"/>
      <c r="N998" s="253"/>
      <c r="O998" s="253"/>
      <c r="P998" s="253"/>
      <c r="Q998" s="253"/>
      <c r="R998" s="253"/>
      <c r="S998" s="253"/>
      <c r="T998"/>
    </row>
    <row r="999" spans="1:20" ht="14.5">
      <c r="A999" s="261" t="s">
        <v>1270</v>
      </c>
      <c r="B999" s="261" t="s">
        <v>977</v>
      </c>
      <c r="C999" s="261" t="s">
        <v>267</v>
      </c>
      <c r="D999" s="261" t="s">
        <v>686</v>
      </c>
      <c r="E999" s="261"/>
      <c r="F999" s="261" t="s">
        <v>1269</v>
      </c>
      <c r="G999" s="261" t="s">
        <v>977</v>
      </c>
      <c r="H999" s="261" t="s">
        <v>267</v>
      </c>
      <c r="I999" s="261" t="s">
        <v>978</v>
      </c>
      <c r="J999" s="261" t="s">
        <v>1266</v>
      </c>
      <c r="K999" s="253"/>
      <c r="L999" s="253"/>
      <c r="M999" s="253"/>
      <c r="N999" s="253"/>
      <c r="O999" s="253"/>
      <c r="P999" s="253"/>
      <c r="Q999" s="253"/>
      <c r="R999" s="253"/>
      <c r="S999" s="253"/>
      <c r="T999"/>
    </row>
    <row r="1000" spans="1:20" ht="14.5">
      <c r="A1000" s="261" t="s">
        <v>1270</v>
      </c>
      <c r="B1000" s="261" t="s">
        <v>979</v>
      </c>
      <c r="C1000" s="261" t="s">
        <v>267</v>
      </c>
      <c r="D1000" s="261" t="s">
        <v>686</v>
      </c>
      <c r="E1000" s="261"/>
      <c r="F1000" s="261" t="s">
        <v>1269</v>
      </c>
      <c r="G1000" s="261" t="s">
        <v>979</v>
      </c>
      <c r="H1000" s="261" t="s">
        <v>267</v>
      </c>
      <c r="I1000" s="261" t="s">
        <v>980</v>
      </c>
      <c r="J1000" s="261" t="s">
        <v>1266</v>
      </c>
      <c r="K1000" s="253"/>
      <c r="L1000" s="253"/>
      <c r="M1000" s="253"/>
      <c r="N1000" s="253"/>
      <c r="O1000" s="253"/>
      <c r="P1000" s="253"/>
      <c r="Q1000" s="253"/>
      <c r="R1000" s="253"/>
      <c r="S1000" s="253"/>
      <c r="T1000"/>
    </row>
    <row r="1001" spans="1:20" ht="14.5">
      <c r="A1001" s="261" t="s">
        <v>1270</v>
      </c>
      <c r="B1001" s="261" t="s">
        <v>981</v>
      </c>
      <c r="C1001" s="261" t="s">
        <v>267</v>
      </c>
      <c r="D1001" s="261" t="s">
        <v>686</v>
      </c>
      <c r="E1001" s="261"/>
      <c r="F1001" s="261" t="s">
        <v>1269</v>
      </c>
      <c r="G1001" s="261" t="s">
        <v>981</v>
      </c>
      <c r="H1001" s="261" t="s">
        <v>267</v>
      </c>
      <c r="I1001" s="261" t="s">
        <v>982</v>
      </c>
      <c r="J1001" s="261" t="s">
        <v>1266</v>
      </c>
      <c r="K1001" s="253"/>
      <c r="L1001" s="253"/>
      <c r="M1001" s="253"/>
      <c r="N1001" s="253"/>
      <c r="O1001" s="253"/>
      <c r="P1001" s="253"/>
      <c r="Q1001" s="253"/>
      <c r="R1001" s="253"/>
      <c r="S1001" s="253"/>
      <c r="T1001"/>
    </row>
    <row r="1002" spans="1:20" ht="14.5">
      <c r="A1002" s="261" t="s">
        <v>1270</v>
      </c>
      <c r="B1002" s="261" t="s">
        <v>983</v>
      </c>
      <c r="C1002" s="261" t="s">
        <v>267</v>
      </c>
      <c r="D1002" s="261" t="s">
        <v>686</v>
      </c>
      <c r="E1002" s="261"/>
      <c r="F1002" s="261" t="s">
        <v>1269</v>
      </c>
      <c r="G1002" s="261" t="s">
        <v>983</v>
      </c>
      <c r="H1002" s="261" t="s">
        <v>267</v>
      </c>
      <c r="I1002" s="261" t="s">
        <v>984</v>
      </c>
      <c r="J1002" s="261" t="s">
        <v>1266</v>
      </c>
      <c r="K1002" s="253"/>
      <c r="L1002" s="253"/>
      <c r="M1002" s="253"/>
      <c r="N1002" s="253"/>
      <c r="O1002" s="253"/>
      <c r="P1002" s="253"/>
      <c r="Q1002" s="253"/>
      <c r="R1002" s="253"/>
      <c r="S1002" s="253"/>
      <c r="T1002"/>
    </row>
    <row r="1003" spans="1:20" ht="14.5">
      <c r="A1003" s="261" t="s">
        <v>1270</v>
      </c>
      <c r="B1003" s="261" t="s">
        <v>985</v>
      </c>
      <c r="C1003" s="261" t="s">
        <v>267</v>
      </c>
      <c r="D1003" s="261" t="s">
        <v>686</v>
      </c>
      <c r="E1003" s="261"/>
      <c r="F1003" s="261" t="s">
        <v>1269</v>
      </c>
      <c r="G1003" s="261" t="s">
        <v>985</v>
      </c>
      <c r="H1003" s="261" t="s">
        <v>267</v>
      </c>
      <c r="I1003" s="261" t="s">
        <v>986</v>
      </c>
      <c r="J1003" s="261" t="s">
        <v>1266</v>
      </c>
      <c r="K1003" s="253"/>
      <c r="L1003" s="253"/>
      <c r="M1003" s="253"/>
      <c r="N1003" s="253"/>
      <c r="O1003" s="253"/>
      <c r="P1003" s="253"/>
      <c r="Q1003" s="253"/>
      <c r="R1003" s="253"/>
      <c r="S1003" s="253"/>
      <c r="T1003"/>
    </row>
    <row r="1004" spans="1:20" ht="14.5">
      <c r="A1004" s="261" t="s">
        <v>1270</v>
      </c>
      <c r="B1004" s="261" t="s">
        <v>987</v>
      </c>
      <c r="C1004" s="261" t="s">
        <v>267</v>
      </c>
      <c r="D1004" s="261" t="s">
        <v>686</v>
      </c>
      <c r="E1004" s="261"/>
      <c r="F1004" s="261" t="s">
        <v>1269</v>
      </c>
      <c r="G1004" s="261" t="s">
        <v>987</v>
      </c>
      <c r="H1004" s="261" t="s">
        <v>267</v>
      </c>
      <c r="I1004" s="261" t="s">
        <v>988</v>
      </c>
      <c r="J1004" s="261" t="s">
        <v>1266</v>
      </c>
      <c r="K1004" s="253"/>
      <c r="L1004" s="253"/>
      <c r="M1004" s="253"/>
      <c r="N1004" s="253"/>
      <c r="O1004" s="253"/>
      <c r="P1004" s="253"/>
      <c r="Q1004" s="253"/>
      <c r="R1004" s="253"/>
      <c r="S1004" s="253"/>
      <c r="T1004"/>
    </row>
    <row r="1005" spans="1:20" ht="14.5">
      <c r="A1005" s="261" t="s">
        <v>1270</v>
      </c>
      <c r="B1005" s="261" t="s">
        <v>989</v>
      </c>
      <c r="C1005" s="261" t="s">
        <v>267</v>
      </c>
      <c r="D1005" s="261" t="s">
        <v>686</v>
      </c>
      <c r="E1005" s="261"/>
      <c r="F1005" s="261" t="s">
        <v>1269</v>
      </c>
      <c r="G1005" s="261" t="s">
        <v>989</v>
      </c>
      <c r="H1005" s="261" t="s">
        <v>267</v>
      </c>
      <c r="I1005" s="261" t="s">
        <v>990</v>
      </c>
      <c r="J1005" s="261" t="s">
        <v>1266</v>
      </c>
      <c r="K1005" s="253"/>
      <c r="L1005" s="253"/>
      <c r="M1005" s="253"/>
      <c r="N1005" s="253"/>
      <c r="O1005" s="253"/>
      <c r="P1005" s="253"/>
      <c r="Q1005" s="253"/>
      <c r="R1005" s="253"/>
      <c r="S1005" s="253"/>
      <c r="T1005"/>
    </row>
    <row r="1006" spans="1:20" ht="14.5">
      <c r="A1006" s="261" t="s">
        <v>1270</v>
      </c>
      <c r="B1006" s="261" t="s">
        <v>991</v>
      </c>
      <c r="C1006" s="261" t="s">
        <v>267</v>
      </c>
      <c r="D1006" s="261" t="s">
        <v>686</v>
      </c>
      <c r="E1006" s="261"/>
      <c r="F1006" s="261" t="s">
        <v>1269</v>
      </c>
      <c r="G1006" s="261" t="s">
        <v>991</v>
      </c>
      <c r="H1006" s="261" t="s">
        <v>267</v>
      </c>
      <c r="I1006" s="261" t="s">
        <v>992</v>
      </c>
      <c r="J1006" s="261" t="s">
        <v>1266</v>
      </c>
      <c r="K1006" s="253"/>
      <c r="L1006" s="253"/>
      <c r="M1006" s="253"/>
      <c r="N1006" s="253"/>
      <c r="O1006" s="253"/>
      <c r="P1006" s="253"/>
      <c r="Q1006" s="253"/>
      <c r="R1006" s="253"/>
      <c r="S1006" s="253"/>
      <c r="T1006"/>
    </row>
    <row r="1007" spans="1:20" ht="14.5">
      <c r="A1007" s="261" t="s">
        <v>1270</v>
      </c>
      <c r="B1007" s="261" t="s">
        <v>993</v>
      </c>
      <c r="C1007" s="261" t="s">
        <v>267</v>
      </c>
      <c r="D1007" s="261" t="s">
        <v>686</v>
      </c>
      <c r="E1007" s="261"/>
      <c r="F1007" s="261" t="s">
        <v>1269</v>
      </c>
      <c r="G1007" s="261" t="s">
        <v>993</v>
      </c>
      <c r="H1007" s="261" t="s">
        <v>267</v>
      </c>
      <c r="I1007" s="261" t="s">
        <v>994</v>
      </c>
      <c r="J1007" s="261" t="s">
        <v>1266</v>
      </c>
      <c r="K1007" s="253"/>
      <c r="L1007" s="253"/>
      <c r="M1007" s="253"/>
      <c r="N1007" s="253"/>
      <c r="O1007" s="253"/>
      <c r="P1007" s="253"/>
      <c r="Q1007" s="253"/>
      <c r="R1007" s="253"/>
      <c r="S1007" s="253"/>
      <c r="T1007"/>
    </row>
    <row r="1008" spans="1:20" ht="14.5">
      <c r="A1008" s="261" t="s">
        <v>1270</v>
      </c>
      <c r="B1008" s="261" t="s">
        <v>995</v>
      </c>
      <c r="C1008" s="261" t="s">
        <v>267</v>
      </c>
      <c r="D1008" s="261" t="s">
        <v>686</v>
      </c>
      <c r="E1008" s="261"/>
      <c r="F1008" s="261" t="s">
        <v>1269</v>
      </c>
      <c r="G1008" s="261" t="s">
        <v>995</v>
      </c>
      <c r="H1008" s="261" t="s">
        <v>267</v>
      </c>
      <c r="I1008" s="261" t="s">
        <v>996</v>
      </c>
      <c r="J1008" s="261" t="s">
        <v>1266</v>
      </c>
      <c r="K1008" s="253"/>
      <c r="L1008" s="253"/>
      <c r="M1008" s="253"/>
      <c r="N1008" s="253"/>
      <c r="O1008" s="253"/>
      <c r="P1008" s="253"/>
      <c r="Q1008" s="253"/>
      <c r="R1008" s="253"/>
      <c r="S1008" s="253"/>
      <c r="T1008"/>
    </row>
    <row r="1009" spans="1:20" ht="14.5">
      <c r="A1009" s="261" t="s">
        <v>1270</v>
      </c>
      <c r="B1009" s="261" t="s">
        <v>997</v>
      </c>
      <c r="C1009" s="261" t="s">
        <v>267</v>
      </c>
      <c r="D1009" s="261" t="s">
        <v>686</v>
      </c>
      <c r="E1009" s="261"/>
      <c r="F1009" s="261" t="s">
        <v>1269</v>
      </c>
      <c r="G1009" s="261" t="s">
        <v>997</v>
      </c>
      <c r="H1009" s="261" t="s">
        <v>267</v>
      </c>
      <c r="I1009" s="261" t="s">
        <v>998</v>
      </c>
      <c r="J1009" s="261" t="s">
        <v>1266</v>
      </c>
      <c r="K1009" s="253"/>
      <c r="L1009" s="253"/>
      <c r="M1009" s="253"/>
      <c r="N1009" s="253"/>
      <c r="O1009" s="253"/>
      <c r="P1009" s="253"/>
      <c r="Q1009" s="253"/>
      <c r="R1009" s="253"/>
      <c r="S1009" s="253"/>
      <c r="T1009"/>
    </row>
    <row r="1010" spans="1:20" ht="14.5">
      <c r="A1010" s="261" t="s">
        <v>1270</v>
      </c>
      <c r="B1010" s="261" t="s">
        <v>999</v>
      </c>
      <c r="C1010" s="261" t="s">
        <v>267</v>
      </c>
      <c r="D1010" s="261" t="s">
        <v>686</v>
      </c>
      <c r="E1010" s="261"/>
      <c r="F1010" s="261" t="s">
        <v>1269</v>
      </c>
      <c r="G1010" s="261" t="s">
        <v>999</v>
      </c>
      <c r="H1010" s="261" t="s">
        <v>267</v>
      </c>
      <c r="I1010" s="261" t="s">
        <v>1000</v>
      </c>
      <c r="J1010" s="261" t="s">
        <v>1266</v>
      </c>
      <c r="K1010" s="253"/>
      <c r="L1010" s="253"/>
      <c r="M1010" s="253"/>
      <c r="N1010" s="253"/>
      <c r="O1010" s="253"/>
      <c r="P1010" s="253"/>
      <c r="Q1010" s="253"/>
      <c r="R1010" s="253"/>
      <c r="S1010" s="253"/>
      <c r="T1010"/>
    </row>
    <row r="1011" spans="1:20" ht="14.5">
      <c r="A1011" s="261" t="s">
        <v>1270</v>
      </c>
      <c r="B1011" s="261" t="s">
        <v>1001</v>
      </c>
      <c r="C1011" s="261" t="s">
        <v>267</v>
      </c>
      <c r="D1011" s="261" t="s">
        <v>686</v>
      </c>
      <c r="E1011" s="261"/>
      <c r="F1011" s="261" t="s">
        <v>1269</v>
      </c>
      <c r="G1011" s="261" t="s">
        <v>1001</v>
      </c>
      <c r="H1011" s="261" t="s">
        <v>267</v>
      </c>
      <c r="I1011" s="261" t="s">
        <v>1002</v>
      </c>
      <c r="J1011" s="261" t="s">
        <v>1266</v>
      </c>
      <c r="K1011" s="253"/>
      <c r="L1011" s="253"/>
      <c r="M1011" s="253"/>
      <c r="N1011" s="253"/>
      <c r="O1011" s="253"/>
      <c r="P1011" s="253"/>
      <c r="Q1011" s="253"/>
      <c r="R1011" s="253"/>
      <c r="S1011" s="253"/>
      <c r="T1011"/>
    </row>
    <row r="1012" spans="1:20" ht="14.5">
      <c r="A1012" s="261" t="s">
        <v>1270</v>
      </c>
      <c r="B1012" s="261" t="s">
        <v>1003</v>
      </c>
      <c r="C1012" s="261" t="s">
        <v>267</v>
      </c>
      <c r="D1012" s="261" t="s">
        <v>686</v>
      </c>
      <c r="E1012" s="261"/>
      <c r="F1012" s="261" t="s">
        <v>1269</v>
      </c>
      <c r="G1012" s="261" t="s">
        <v>1003</v>
      </c>
      <c r="H1012" s="261" t="s">
        <v>267</v>
      </c>
      <c r="I1012" s="261" t="s">
        <v>1004</v>
      </c>
      <c r="J1012" s="261" t="s">
        <v>1266</v>
      </c>
      <c r="K1012" s="253"/>
      <c r="L1012" s="253"/>
      <c r="M1012" s="253"/>
      <c r="N1012" s="253"/>
      <c r="O1012" s="253"/>
      <c r="P1012" s="253"/>
      <c r="Q1012" s="253"/>
      <c r="R1012" s="253"/>
      <c r="S1012" s="253"/>
      <c r="T1012"/>
    </row>
    <row r="1013" spans="1:20" ht="14.5">
      <c r="A1013" s="261" t="s">
        <v>1270</v>
      </c>
      <c r="B1013" s="261" t="s">
        <v>1005</v>
      </c>
      <c r="C1013" s="261" t="s">
        <v>267</v>
      </c>
      <c r="D1013" s="261" t="s">
        <v>686</v>
      </c>
      <c r="E1013" s="261"/>
      <c r="F1013" s="261" t="s">
        <v>1269</v>
      </c>
      <c r="G1013" s="261" t="s">
        <v>1005</v>
      </c>
      <c r="H1013" s="261" t="s">
        <v>267</v>
      </c>
      <c r="I1013" s="261" t="s">
        <v>1006</v>
      </c>
      <c r="J1013" s="261" t="s">
        <v>1266</v>
      </c>
      <c r="K1013" s="253"/>
      <c r="L1013" s="253"/>
      <c r="M1013" s="253"/>
      <c r="N1013" s="253"/>
      <c r="O1013" s="253"/>
      <c r="P1013" s="253"/>
      <c r="Q1013" s="253"/>
      <c r="R1013" s="253"/>
      <c r="S1013" s="253"/>
      <c r="T1013"/>
    </row>
    <row r="1014" spans="1:20" ht="14.5">
      <c r="A1014" s="261" t="s">
        <v>1270</v>
      </c>
      <c r="B1014" s="261" t="s">
        <v>1007</v>
      </c>
      <c r="C1014" s="261" t="s">
        <v>267</v>
      </c>
      <c r="D1014" s="261" t="s">
        <v>686</v>
      </c>
      <c r="E1014" s="261"/>
      <c r="F1014" s="261" t="s">
        <v>1269</v>
      </c>
      <c r="G1014" s="261" t="s">
        <v>1007</v>
      </c>
      <c r="H1014" s="261" t="s">
        <v>267</v>
      </c>
      <c r="I1014" s="261" t="s">
        <v>1008</v>
      </c>
      <c r="J1014" s="261" t="s">
        <v>1266</v>
      </c>
      <c r="K1014" s="253"/>
      <c r="L1014" s="253"/>
      <c r="M1014" s="253"/>
      <c r="N1014" s="253"/>
      <c r="O1014" s="253"/>
      <c r="P1014" s="253"/>
      <c r="Q1014" s="253"/>
      <c r="R1014" s="253"/>
      <c r="S1014" s="253"/>
      <c r="T1014"/>
    </row>
    <row r="1015" spans="1:20" ht="14.5">
      <c r="A1015" s="261" t="s">
        <v>1270</v>
      </c>
      <c r="B1015" s="261" t="s">
        <v>1009</v>
      </c>
      <c r="C1015" s="261" t="s">
        <v>267</v>
      </c>
      <c r="D1015" s="261" t="s">
        <v>686</v>
      </c>
      <c r="E1015" s="261"/>
      <c r="F1015" s="261" t="s">
        <v>1269</v>
      </c>
      <c r="G1015" s="261" t="s">
        <v>1009</v>
      </c>
      <c r="H1015" s="261" t="s">
        <v>267</v>
      </c>
      <c r="I1015" s="261" t="s">
        <v>1010</v>
      </c>
      <c r="J1015" s="261" t="s">
        <v>1266</v>
      </c>
      <c r="K1015" s="253"/>
      <c r="L1015" s="253"/>
      <c r="M1015" s="253"/>
      <c r="N1015" s="253"/>
      <c r="O1015" s="253"/>
      <c r="P1015" s="253"/>
      <c r="Q1015" s="253"/>
      <c r="R1015" s="253"/>
      <c r="S1015" s="253"/>
      <c r="T1015"/>
    </row>
    <row r="1016" spans="1:20" ht="14.5">
      <c r="A1016" s="261" t="s">
        <v>1270</v>
      </c>
      <c r="B1016" s="261" t="s">
        <v>1011</v>
      </c>
      <c r="C1016" s="261" t="s">
        <v>267</v>
      </c>
      <c r="D1016" s="261" t="s">
        <v>686</v>
      </c>
      <c r="E1016" s="261"/>
      <c r="F1016" s="261" t="s">
        <v>1269</v>
      </c>
      <c r="G1016" s="261" t="s">
        <v>1011</v>
      </c>
      <c r="H1016" s="261" t="s">
        <v>267</v>
      </c>
      <c r="I1016" s="261" t="s">
        <v>1012</v>
      </c>
      <c r="J1016" s="261" t="s">
        <v>1266</v>
      </c>
      <c r="K1016" s="253"/>
      <c r="L1016" s="253"/>
      <c r="M1016" s="253"/>
      <c r="N1016" s="253"/>
      <c r="O1016" s="253"/>
      <c r="P1016" s="253"/>
      <c r="Q1016" s="253"/>
      <c r="R1016" s="253"/>
      <c r="S1016" s="253"/>
      <c r="T1016"/>
    </row>
    <row r="1017" spans="1:20" ht="14.5">
      <c r="A1017" s="261" t="s">
        <v>1270</v>
      </c>
      <c r="B1017" s="261" t="s">
        <v>1013</v>
      </c>
      <c r="C1017" s="261" t="s">
        <v>267</v>
      </c>
      <c r="D1017" s="261" t="s">
        <v>686</v>
      </c>
      <c r="E1017" s="261"/>
      <c r="F1017" s="261" t="s">
        <v>1269</v>
      </c>
      <c r="G1017" s="261" t="s">
        <v>1013</v>
      </c>
      <c r="H1017" s="261" t="s">
        <v>267</v>
      </c>
      <c r="I1017" s="261" t="s">
        <v>1014</v>
      </c>
      <c r="J1017" s="261" t="s">
        <v>1266</v>
      </c>
      <c r="K1017" s="253"/>
      <c r="L1017" s="253"/>
      <c r="M1017" s="253"/>
      <c r="N1017" s="253"/>
      <c r="O1017" s="253"/>
      <c r="P1017" s="253"/>
      <c r="Q1017" s="253"/>
      <c r="R1017" s="253"/>
      <c r="S1017" s="253"/>
      <c r="T1017"/>
    </row>
    <row r="1018" spans="1:20" ht="14.5">
      <c r="A1018" s="261" t="s">
        <v>1270</v>
      </c>
      <c r="B1018" s="261" t="s">
        <v>1015</v>
      </c>
      <c r="C1018" s="261" t="s">
        <v>267</v>
      </c>
      <c r="D1018" s="261" t="s">
        <v>686</v>
      </c>
      <c r="E1018" s="261"/>
      <c r="F1018" s="261" t="s">
        <v>1269</v>
      </c>
      <c r="G1018" s="261" t="s">
        <v>1015</v>
      </c>
      <c r="H1018" s="261" t="s">
        <v>267</v>
      </c>
      <c r="I1018" s="261" t="s">
        <v>1016</v>
      </c>
      <c r="J1018" s="261" t="s">
        <v>1266</v>
      </c>
      <c r="K1018" s="253"/>
      <c r="L1018" s="253"/>
      <c r="M1018" s="253"/>
      <c r="N1018" s="253"/>
      <c r="O1018" s="253"/>
      <c r="P1018" s="253"/>
      <c r="Q1018" s="253"/>
      <c r="R1018" s="253"/>
      <c r="S1018" s="253"/>
      <c r="T1018"/>
    </row>
    <row r="1019" spans="1:20" ht="14.5">
      <c r="A1019" s="261" t="s">
        <v>1270</v>
      </c>
      <c r="B1019" s="261" t="s">
        <v>1017</v>
      </c>
      <c r="C1019" s="261" t="s">
        <v>267</v>
      </c>
      <c r="D1019" s="261" t="s">
        <v>686</v>
      </c>
      <c r="E1019" s="261"/>
      <c r="F1019" s="261" t="s">
        <v>1269</v>
      </c>
      <c r="G1019" s="261" t="s">
        <v>1017</v>
      </c>
      <c r="H1019" s="261" t="s">
        <v>267</v>
      </c>
      <c r="I1019" s="261" t="s">
        <v>1018</v>
      </c>
      <c r="J1019" s="261" t="s">
        <v>1266</v>
      </c>
      <c r="K1019" s="253"/>
      <c r="L1019" s="253"/>
      <c r="M1019" s="253"/>
      <c r="N1019" s="253"/>
      <c r="O1019" s="253"/>
      <c r="P1019" s="253"/>
      <c r="Q1019" s="253"/>
      <c r="R1019" s="253"/>
      <c r="S1019" s="253"/>
      <c r="T1019"/>
    </row>
    <row r="1020" spans="1:20" ht="14.5">
      <c r="A1020" s="261" t="s">
        <v>1270</v>
      </c>
      <c r="B1020" s="261" t="s">
        <v>1019</v>
      </c>
      <c r="C1020" s="261" t="s">
        <v>267</v>
      </c>
      <c r="D1020" s="261" t="s">
        <v>686</v>
      </c>
      <c r="E1020" s="261"/>
      <c r="F1020" s="261" t="s">
        <v>1269</v>
      </c>
      <c r="G1020" s="261" t="s">
        <v>1019</v>
      </c>
      <c r="H1020" s="261" t="s">
        <v>267</v>
      </c>
      <c r="I1020" s="261" t="s">
        <v>1020</v>
      </c>
      <c r="J1020" s="261" t="s">
        <v>1266</v>
      </c>
      <c r="K1020" s="253"/>
      <c r="L1020" s="253"/>
      <c r="M1020" s="253"/>
      <c r="N1020" s="253"/>
      <c r="O1020" s="253"/>
      <c r="P1020" s="253"/>
      <c r="Q1020" s="253"/>
      <c r="R1020" s="253"/>
      <c r="S1020" s="253"/>
      <c r="T1020"/>
    </row>
    <row r="1021" spans="1:20" ht="14.5">
      <c r="A1021" s="261" t="s">
        <v>1270</v>
      </c>
      <c r="B1021" s="261" t="s">
        <v>1021</v>
      </c>
      <c r="C1021" s="261" t="s">
        <v>267</v>
      </c>
      <c r="D1021" s="261" t="s">
        <v>686</v>
      </c>
      <c r="E1021" s="261"/>
      <c r="F1021" s="261" t="s">
        <v>1269</v>
      </c>
      <c r="G1021" s="261" t="s">
        <v>1021</v>
      </c>
      <c r="H1021" s="261" t="s">
        <v>267</v>
      </c>
      <c r="I1021" s="261" t="s">
        <v>1022</v>
      </c>
      <c r="J1021" s="261" t="s">
        <v>1266</v>
      </c>
      <c r="K1021" s="253"/>
      <c r="L1021" s="253"/>
      <c r="M1021" s="253"/>
      <c r="N1021" s="253"/>
      <c r="O1021" s="253"/>
      <c r="P1021" s="253"/>
      <c r="Q1021" s="253"/>
      <c r="R1021" s="253"/>
      <c r="S1021" s="253"/>
      <c r="T1021"/>
    </row>
    <row r="1022" spans="1:20" ht="14.5">
      <c r="A1022" s="261" t="s">
        <v>1270</v>
      </c>
      <c r="B1022" s="261" t="s">
        <v>1023</v>
      </c>
      <c r="C1022" s="261" t="s">
        <v>267</v>
      </c>
      <c r="D1022" s="261" t="s">
        <v>686</v>
      </c>
      <c r="E1022" s="261"/>
      <c r="F1022" s="261" t="s">
        <v>1269</v>
      </c>
      <c r="G1022" s="261" t="s">
        <v>1023</v>
      </c>
      <c r="H1022" s="261" t="s">
        <v>267</v>
      </c>
      <c r="I1022" s="261" t="s">
        <v>1024</v>
      </c>
      <c r="J1022" s="261" t="s">
        <v>1266</v>
      </c>
      <c r="K1022" s="253"/>
      <c r="L1022" s="253"/>
      <c r="M1022" s="253"/>
      <c r="N1022" s="253"/>
      <c r="O1022" s="253"/>
      <c r="P1022" s="253"/>
      <c r="Q1022" s="253"/>
      <c r="R1022" s="253"/>
      <c r="S1022" s="253"/>
      <c r="T1022"/>
    </row>
    <row r="1023" spans="1:20" ht="14.5">
      <c r="A1023" s="261" t="s">
        <v>1270</v>
      </c>
      <c r="B1023" s="261" t="s">
        <v>1025</v>
      </c>
      <c r="C1023" s="261" t="s">
        <v>267</v>
      </c>
      <c r="D1023" s="261" t="s">
        <v>686</v>
      </c>
      <c r="E1023" s="261"/>
      <c r="F1023" s="261" t="s">
        <v>1269</v>
      </c>
      <c r="G1023" s="261" t="s">
        <v>1025</v>
      </c>
      <c r="H1023" s="261" t="s">
        <v>267</v>
      </c>
      <c r="I1023" s="261" t="s">
        <v>1026</v>
      </c>
      <c r="J1023" s="261" t="s">
        <v>1266</v>
      </c>
      <c r="K1023" s="253"/>
      <c r="L1023" s="253"/>
      <c r="M1023" s="253"/>
      <c r="N1023" s="253"/>
      <c r="O1023" s="253"/>
      <c r="P1023" s="253"/>
      <c r="Q1023" s="253"/>
      <c r="R1023" s="253"/>
      <c r="S1023" s="253"/>
      <c r="T1023"/>
    </row>
    <row r="1024" spans="1:20" ht="14.5">
      <c r="A1024" s="261" t="s">
        <v>1270</v>
      </c>
      <c r="B1024" s="261" t="s">
        <v>1027</v>
      </c>
      <c r="C1024" s="261" t="s">
        <v>267</v>
      </c>
      <c r="D1024" s="261" t="s">
        <v>686</v>
      </c>
      <c r="E1024" s="261"/>
      <c r="F1024" s="261" t="s">
        <v>1269</v>
      </c>
      <c r="G1024" s="261" t="s">
        <v>1027</v>
      </c>
      <c r="H1024" s="261" t="s">
        <v>267</v>
      </c>
      <c r="I1024" s="261" t="s">
        <v>1028</v>
      </c>
      <c r="J1024" s="261" t="s">
        <v>1266</v>
      </c>
      <c r="K1024" s="253"/>
      <c r="L1024" s="253"/>
      <c r="M1024" s="253"/>
      <c r="N1024" s="253"/>
      <c r="O1024" s="253"/>
      <c r="P1024" s="253"/>
      <c r="Q1024" s="253"/>
      <c r="R1024" s="253"/>
      <c r="S1024" s="253"/>
      <c r="T1024"/>
    </row>
    <row r="1025" spans="1:20" ht="14.5">
      <c r="A1025" s="261" t="s">
        <v>1270</v>
      </c>
      <c r="B1025" s="261" t="s">
        <v>1029</v>
      </c>
      <c r="C1025" s="261" t="s">
        <v>267</v>
      </c>
      <c r="D1025" s="261" t="s">
        <v>686</v>
      </c>
      <c r="E1025" s="261"/>
      <c r="F1025" s="261" t="s">
        <v>1269</v>
      </c>
      <c r="G1025" s="261" t="s">
        <v>1029</v>
      </c>
      <c r="H1025" s="261" t="s">
        <v>267</v>
      </c>
      <c r="I1025" s="261" t="s">
        <v>1030</v>
      </c>
      <c r="J1025" s="261" t="s">
        <v>1266</v>
      </c>
      <c r="K1025" s="253"/>
      <c r="L1025" s="253"/>
      <c r="M1025" s="253"/>
      <c r="N1025" s="253"/>
      <c r="O1025" s="253"/>
      <c r="P1025" s="253"/>
      <c r="Q1025" s="253"/>
      <c r="R1025" s="253"/>
      <c r="S1025" s="253"/>
      <c r="T1025"/>
    </row>
    <row r="1026" spans="1:20" ht="14.5">
      <c r="A1026" s="261" t="s">
        <v>1270</v>
      </c>
      <c r="B1026" s="261" t="s">
        <v>1031</v>
      </c>
      <c r="C1026" s="261" t="s">
        <v>267</v>
      </c>
      <c r="D1026" s="261" t="s">
        <v>686</v>
      </c>
      <c r="E1026" s="261"/>
      <c r="F1026" s="261" t="s">
        <v>1269</v>
      </c>
      <c r="G1026" s="261" t="s">
        <v>1031</v>
      </c>
      <c r="H1026" s="261" t="s">
        <v>267</v>
      </c>
      <c r="I1026" s="261" t="s">
        <v>1032</v>
      </c>
      <c r="J1026" s="261" t="s">
        <v>1266</v>
      </c>
      <c r="K1026" s="253"/>
      <c r="L1026" s="253"/>
      <c r="M1026" s="253"/>
      <c r="N1026" s="253"/>
      <c r="O1026" s="253"/>
      <c r="P1026" s="253"/>
      <c r="Q1026" s="253"/>
      <c r="R1026" s="253"/>
      <c r="S1026" s="253"/>
      <c r="T1026"/>
    </row>
    <row r="1027" spans="1:20" ht="14.5">
      <c r="A1027" s="261" t="s">
        <v>1270</v>
      </c>
      <c r="B1027" s="261" t="s">
        <v>1033</v>
      </c>
      <c r="C1027" s="261" t="s">
        <v>267</v>
      </c>
      <c r="D1027" s="261" t="s">
        <v>686</v>
      </c>
      <c r="E1027" s="261"/>
      <c r="F1027" s="261" t="s">
        <v>1269</v>
      </c>
      <c r="G1027" s="261" t="s">
        <v>1033</v>
      </c>
      <c r="H1027" s="261" t="s">
        <v>267</v>
      </c>
      <c r="I1027" s="261" t="s">
        <v>1034</v>
      </c>
      <c r="J1027" s="261" t="s">
        <v>1266</v>
      </c>
      <c r="K1027" s="253"/>
      <c r="L1027" s="253"/>
      <c r="M1027" s="253"/>
      <c r="N1027" s="253"/>
      <c r="O1027" s="253"/>
      <c r="P1027" s="253"/>
      <c r="Q1027" s="253"/>
      <c r="R1027" s="253"/>
      <c r="S1027" s="253"/>
      <c r="T1027"/>
    </row>
    <row r="1028" spans="1:20" ht="14.5">
      <c r="A1028" s="261" t="s">
        <v>1270</v>
      </c>
      <c r="B1028" s="261" t="s">
        <v>1035</v>
      </c>
      <c r="C1028" s="261" t="s">
        <v>267</v>
      </c>
      <c r="D1028" s="261" t="s">
        <v>686</v>
      </c>
      <c r="E1028" s="261"/>
      <c r="F1028" s="261" t="s">
        <v>1269</v>
      </c>
      <c r="G1028" s="261" t="s">
        <v>1035</v>
      </c>
      <c r="H1028" s="261" t="s">
        <v>267</v>
      </c>
      <c r="I1028" s="261" t="s">
        <v>1036</v>
      </c>
      <c r="J1028" s="261" t="s">
        <v>1266</v>
      </c>
      <c r="K1028" s="253"/>
      <c r="L1028" s="253"/>
      <c r="M1028" s="253"/>
      <c r="N1028" s="253"/>
      <c r="O1028" s="253"/>
      <c r="P1028" s="253"/>
      <c r="Q1028" s="253"/>
      <c r="R1028" s="253"/>
      <c r="S1028" s="253"/>
      <c r="T1028"/>
    </row>
    <row r="1029" spans="1:20" ht="14.5">
      <c r="A1029" s="261" t="s">
        <v>1270</v>
      </c>
      <c r="B1029" s="261" t="s">
        <v>1037</v>
      </c>
      <c r="C1029" s="261" t="s">
        <v>267</v>
      </c>
      <c r="D1029" s="261" t="s">
        <v>686</v>
      </c>
      <c r="E1029" s="261"/>
      <c r="F1029" s="261" t="s">
        <v>1269</v>
      </c>
      <c r="G1029" s="261" t="s">
        <v>1037</v>
      </c>
      <c r="H1029" s="261" t="s">
        <v>267</v>
      </c>
      <c r="I1029" s="261" t="s">
        <v>1038</v>
      </c>
      <c r="J1029" s="261" t="s">
        <v>1266</v>
      </c>
      <c r="K1029" s="253"/>
      <c r="L1029" s="253"/>
      <c r="M1029" s="253"/>
      <c r="N1029" s="253"/>
      <c r="O1029" s="253"/>
      <c r="P1029" s="253"/>
      <c r="Q1029" s="253"/>
      <c r="R1029" s="253"/>
      <c r="S1029" s="253"/>
      <c r="T1029"/>
    </row>
    <row r="1030" spans="1:20" ht="14.5">
      <c r="A1030" s="261" t="s">
        <v>1270</v>
      </c>
      <c r="B1030" s="261" t="s">
        <v>1039</v>
      </c>
      <c r="C1030" s="261" t="s">
        <v>267</v>
      </c>
      <c r="D1030" s="261" t="s">
        <v>686</v>
      </c>
      <c r="E1030" s="261"/>
      <c r="F1030" s="261" t="s">
        <v>1269</v>
      </c>
      <c r="G1030" s="261" t="s">
        <v>1039</v>
      </c>
      <c r="H1030" s="261" t="s">
        <v>267</v>
      </c>
      <c r="I1030" s="261" t="s">
        <v>1040</v>
      </c>
      <c r="J1030" s="261" t="s">
        <v>1266</v>
      </c>
      <c r="K1030" s="253"/>
      <c r="L1030" s="253"/>
      <c r="M1030" s="253"/>
      <c r="N1030" s="253"/>
      <c r="O1030" s="253"/>
      <c r="P1030" s="253"/>
      <c r="Q1030" s="253"/>
      <c r="R1030" s="253"/>
      <c r="S1030" s="253"/>
      <c r="T1030"/>
    </row>
    <row r="1031" spans="1:20" ht="14.5">
      <c r="A1031" s="261" t="s">
        <v>1270</v>
      </c>
      <c r="B1031" s="261" t="s">
        <v>1041</v>
      </c>
      <c r="C1031" s="261" t="s">
        <v>267</v>
      </c>
      <c r="D1031" s="261" t="s">
        <v>686</v>
      </c>
      <c r="E1031" s="261"/>
      <c r="F1031" s="261" t="s">
        <v>1269</v>
      </c>
      <c r="G1031" s="261" t="s">
        <v>1041</v>
      </c>
      <c r="H1031" s="261" t="s">
        <v>267</v>
      </c>
      <c r="I1031" s="261" t="s">
        <v>1042</v>
      </c>
      <c r="J1031" s="261" t="s">
        <v>1266</v>
      </c>
      <c r="K1031" s="253"/>
      <c r="L1031" s="253"/>
      <c r="M1031" s="253"/>
      <c r="N1031" s="253"/>
      <c r="O1031" s="253"/>
      <c r="P1031" s="253"/>
      <c r="Q1031" s="253"/>
      <c r="R1031" s="253"/>
      <c r="S1031" s="253"/>
      <c r="T1031"/>
    </row>
    <row r="1032" spans="1:20" ht="14.5">
      <c r="A1032" s="261" t="s">
        <v>1270</v>
      </c>
      <c r="B1032" s="261" t="s">
        <v>1043</v>
      </c>
      <c r="C1032" s="261" t="s">
        <v>267</v>
      </c>
      <c r="D1032" s="261" t="s">
        <v>686</v>
      </c>
      <c r="E1032" s="261"/>
      <c r="F1032" s="261" t="s">
        <v>1269</v>
      </c>
      <c r="G1032" s="261" t="s">
        <v>1043</v>
      </c>
      <c r="H1032" s="261" t="s">
        <v>267</v>
      </c>
      <c r="I1032" s="261" t="s">
        <v>1044</v>
      </c>
      <c r="J1032" s="261" t="s">
        <v>1266</v>
      </c>
      <c r="K1032" s="253"/>
      <c r="L1032" s="253"/>
      <c r="M1032" s="253"/>
      <c r="N1032" s="253"/>
      <c r="O1032" s="253"/>
      <c r="P1032" s="253"/>
      <c r="Q1032" s="253"/>
      <c r="R1032" s="253"/>
      <c r="S1032" s="253"/>
      <c r="T1032"/>
    </row>
    <row r="1033" spans="1:20" ht="14.5">
      <c r="A1033" s="261" t="s">
        <v>1270</v>
      </c>
      <c r="B1033" s="261" t="s">
        <v>1045</v>
      </c>
      <c r="C1033" s="261" t="s">
        <v>267</v>
      </c>
      <c r="D1033" s="261" t="s">
        <v>686</v>
      </c>
      <c r="E1033" s="261"/>
      <c r="F1033" s="261" t="s">
        <v>1269</v>
      </c>
      <c r="G1033" s="261" t="s">
        <v>1045</v>
      </c>
      <c r="H1033" s="261" t="s">
        <v>267</v>
      </c>
      <c r="I1033" s="261" t="s">
        <v>1046</v>
      </c>
      <c r="J1033" s="261" t="s">
        <v>1266</v>
      </c>
      <c r="K1033" s="253"/>
      <c r="L1033" s="253"/>
      <c r="M1033" s="253"/>
      <c r="N1033" s="253"/>
      <c r="O1033" s="253"/>
      <c r="P1033" s="253"/>
      <c r="Q1033" s="253"/>
      <c r="R1033" s="253"/>
      <c r="S1033" s="253"/>
      <c r="T1033"/>
    </row>
    <row r="1034" spans="1:20" ht="14.5">
      <c r="A1034" s="261" t="s">
        <v>1270</v>
      </c>
      <c r="B1034" s="261" t="s">
        <v>1047</v>
      </c>
      <c r="C1034" s="261" t="s">
        <v>267</v>
      </c>
      <c r="D1034" s="261" t="s">
        <v>686</v>
      </c>
      <c r="E1034" s="261"/>
      <c r="F1034" s="261" t="s">
        <v>1269</v>
      </c>
      <c r="G1034" s="261" t="s">
        <v>1047</v>
      </c>
      <c r="H1034" s="261" t="s">
        <v>267</v>
      </c>
      <c r="I1034" s="261" t="s">
        <v>1048</v>
      </c>
      <c r="J1034" s="261" t="s">
        <v>1266</v>
      </c>
      <c r="K1034" s="253"/>
      <c r="L1034" s="253"/>
      <c r="M1034" s="253"/>
      <c r="N1034" s="253"/>
      <c r="O1034" s="253"/>
      <c r="P1034" s="253"/>
      <c r="Q1034" s="253"/>
      <c r="R1034" s="253"/>
      <c r="S1034" s="253"/>
      <c r="T1034"/>
    </row>
    <row r="1035" spans="1:20" ht="14.5">
      <c r="A1035" s="261" t="s">
        <v>1270</v>
      </c>
      <c r="B1035" s="261" t="s">
        <v>1049</v>
      </c>
      <c r="C1035" s="261" t="s">
        <v>267</v>
      </c>
      <c r="D1035" s="261" t="s">
        <v>686</v>
      </c>
      <c r="E1035" s="261"/>
      <c r="F1035" s="261" t="s">
        <v>1269</v>
      </c>
      <c r="G1035" s="261" t="s">
        <v>1049</v>
      </c>
      <c r="H1035" s="261" t="s">
        <v>267</v>
      </c>
      <c r="I1035" s="261" t="s">
        <v>1050</v>
      </c>
      <c r="J1035" s="261" t="s">
        <v>1266</v>
      </c>
      <c r="K1035" s="253"/>
      <c r="L1035" s="253"/>
      <c r="M1035" s="253"/>
      <c r="N1035" s="253"/>
      <c r="O1035" s="253"/>
      <c r="P1035" s="253"/>
      <c r="Q1035" s="253"/>
      <c r="R1035" s="253"/>
      <c r="S1035" s="253"/>
      <c r="T1035"/>
    </row>
    <row r="1036" spans="1:20" ht="14.5">
      <c r="A1036" s="261" t="s">
        <v>1270</v>
      </c>
      <c r="B1036" s="261" t="s">
        <v>1051</v>
      </c>
      <c r="C1036" s="261" t="s">
        <v>267</v>
      </c>
      <c r="D1036" s="261" t="s">
        <v>686</v>
      </c>
      <c r="E1036" s="261"/>
      <c r="F1036" s="261" t="s">
        <v>1269</v>
      </c>
      <c r="G1036" s="261" t="s">
        <v>1051</v>
      </c>
      <c r="H1036" s="261" t="s">
        <v>267</v>
      </c>
      <c r="I1036" s="261" t="s">
        <v>1052</v>
      </c>
      <c r="J1036" s="261" t="s">
        <v>1266</v>
      </c>
      <c r="K1036" s="253"/>
      <c r="L1036" s="253"/>
      <c r="M1036" s="253"/>
      <c r="N1036" s="253"/>
      <c r="O1036" s="253"/>
      <c r="P1036" s="253"/>
      <c r="Q1036" s="253"/>
      <c r="R1036" s="253"/>
      <c r="S1036" s="253"/>
      <c r="T1036"/>
    </row>
    <row r="1037" spans="1:20" ht="14.5">
      <c r="A1037" s="261" t="s">
        <v>1270</v>
      </c>
      <c r="B1037" s="261" t="s">
        <v>1053</v>
      </c>
      <c r="C1037" s="261" t="s">
        <v>267</v>
      </c>
      <c r="D1037" s="261" t="s">
        <v>686</v>
      </c>
      <c r="E1037" s="261"/>
      <c r="F1037" s="261" t="s">
        <v>1269</v>
      </c>
      <c r="G1037" s="261" t="s">
        <v>1053</v>
      </c>
      <c r="H1037" s="261" t="s">
        <v>267</v>
      </c>
      <c r="I1037" s="261" t="s">
        <v>1054</v>
      </c>
      <c r="J1037" s="261" t="s">
        <v>1266</v>
      </c>
      <c r="K1037" s="253"/>
      <c r="L1037" s="253"/>
      <c r="M1037" s="253"/>
      <c r="N1037" s="253"/>
      <c r="O1037" s="253"/>
      <c r="P1037" s="253"/>
      <c r="Q1037" s="253"/>
      <c r="R1037" s="253"/>
      <c r="S1037" s="253"/>
      <c r="T1037"/>
    </row>
    <row r="1038" spans="1:20" ht="14.5">
      <c r="A1038" s="261" t="s">
        <v>1270</v>
      </c>
      <c r="B1038" s="261" t="s">
        <v>1055</v>
      </c>
      <c r="C1038" s="261" t="s">
        <v>267</v>
      </c>
      <c r="D1038" s="261" t="s">
        <v>686</v>
      </c>
      <c r="E1038" s="261"/>
      <c r="F1038" s="261" t="s">
        <v>1269</v>
      </c>
      <c r="G1038" s="261" t="s">
        <v>1055</v>
      </c>
      <c r="H1038" s="261" t="s">
        <v>267</v>
      </c>
      <c r="I1038" s="261" t="s">
        <v>1056</v>
      </c>
      <c r="J1038" s="261" t="s">
        <v>1266</v>
      </c>
      <c r="K1038" s="253"/>
      <c r="L1038" s="253"/>
      <c r="M1038" s="253"/>
      <c r="N1038" s="253"/>
      <c r="O1038" s="253"/>
      <c r="P1038" s="253"/>
      <c r="Q1038" s="253"/>
      <c r="R1038" s="253"/>
      <c r="S1038" s="253"/>
      <c r="T1038"/>
    </row>
    <row r="1039" spans="1:20" ht="14.5">
      <c r="A1039" s="261" t="s">
        <v>1270</v>
      </c>
      <c r="B1039" s="261" t="s">
        <v>1057</v>
      </c>
      <c r="C1039" s="261" t="s">
        <v>267</v>
      </c>
      <c r="D1039" s="261" t="s">
        <v>686</v>
      </c>
      <c r="E1039" s="261"/>
      <c r="F1039" s="261" t="s">
        <v>1269</v>
      </c>
      <c r="G1039" s="261" t="s">
        <v>1057</v>
      </c>
      <c r="H1039" s="261" t="s">
        <v>267</v>
      </c>
      <c r="I1039" s="261" t="s">
        <v>1058</v>
      </c>
      <c r="J1039" s="261" t="s">
        <v>1266</v>
      </c>
      <c r="K1039" s="253"/>
      <c r="L1039" s="253"/>
      <c r="M1039" s="253"/>
      <c r="N1039" s="253"/>
      <c r="O1039" s="253"/>
      <c r="P1039" s="253"/>
      <c r="Q1039" s="253"/>
      <c r="R1039" s="253"/>
      <c r="S1039" s="253"/>
      <c r="T1039"/>
    </row>
    <row r="1040" spans="1:20" ht="14.5">
      <c r="A1040" s="261" t="s">
        <v>1270</v>
      </c>
      <c r="B1040" s="261" t="s">
        <v>1059</v>
      </c>
      <c r="C1040" s="261" t="s">
        <v>267</v>
      </c>
      <c r="D1040" s="261" t="s">
        <v>686</v>
      </c>
      <c r="E1040" s="261"/>
      <c r="F1040" s="261" t="s">
        <v>1269</v>
      </c>
      <c r="G1040" s="261" t="s">
        <v>1059</v>
      </c>
      <c r="H1040" s="261" t="s">
        <v>267</v>
      </c>
      <c r="I1040" s="261" t="s">
        <v>1060</v>
      </c>
      <c r="J1040" s="261" t="s">
        <v>1266</v>
      </c>
      <c r="K1040" s="253"/>
      <c r="L1040" s="253"/>
      <c r="M1040" s="253"/>
      <c r="N1040" s="253"/>
      <c r="O1040" s="253"/>
      <c r="P1040" s="253"/>
      <c r="Q1040" s="253"/>
      <c r="R1040" s="253"/>
      <c r="S1040" s="253"/>
      <c r="T1040"/>
    </row>
    <row r="1041" spans="1:20" ht="14.5">
      <c r="A1041" s="261" t="s">
        <v>1270</v>
      </c>
      <c r="B1041" s="261" t="s">
        <v>1061</v>
      </c>
      <c r="C1041" s="261" t="s">
        <v>267</v>
      </c>
      <c r="D1041" s="261" t="s">
        <v>686</v>
      </c>
      <c r="E1041" s="261"/>
      <c r="F1041" s="261" t="s">
        <v>1269</v>
      </c>
      <c r="G1041" s="261" t="s">
        <v>1061</v>
      </c>
      <c r="H1041" s="261" t="s">
        <v>267</v>
      </c>
      <c r="I1041" s="261" t="s">
        <v>1062</v>
      </c>
      <c r="J1041" s="261" t="s">
        <v>1266</v>
      </c>
      <c r="K1041" s="253"/>
      <c r="L1041" s="253"/>
      <c r="M1041" s="253"/>
      <c r="N1041" s="253"/>
      <c r="O1041" s="253"/>
      <c r="P1041" s="253"/>
      <c r="Q1041" s="253"/>
      <c r="R1041" s="253"/>
      <c r="S1041" s="253"/>
      <c r="T1041"/>
    </row>
    <row r="1042" spans="1:20" ht="14.5">
      <c r="A1042" s="261" t="s">
        <v>1270</v>
      </c>
      <c r="B1042" s="261" t="s">
        <v>1063</v>
      </c>
      <c r="C1042" s="261" t="s">
        <v>267</v>
      </c>
      <c r="D1042" s="261" t="s">
        <v>686</v>
      </c>
      <c r="E1042" s="261"/>
      <c r="F1042" s="261" t="s">
        <v>1269</v>
      </c>
      <c r="G1042" s="261" t="s">
        <v>1063</v>
      </c>
      <c r="H1042" s="261" t="s">
        <v>267</v>
      </c>
      <c r="I1042" s="261" t="s">
        <v>1064</v>
      </c>
      <c r="J1042" s="261" t="s">
        <v>1266</v>
      </c>
      <c r="K1042" s="253"/>
      <c r="L1042" s="253"/>
      <c r="M1042" s="253"/>
      <c r="N1042" s="253"/>
      <c r="O1042" s="253"/>
      <c r="P1042" s="253"/>
      <c r="Q1042" s="253"/>
      <c r="R1042" s="253"/>
      <c r="S1042" s="253"/>
      <c r="T1042"/>
    </row>
    <row r="1043" spans="1:20" ht="14.5">
      <c r="A1043" s="261" t="s">
        <v>1270</v>
      </c>
      <c r="B1043" s="261" t="s">
        <v>1065</v>
      </c>
      <c r="C1043" s="261" t="s">
        <v>267</v>
      </c>
      <c r="D1043" s="261" t="s">
        <v>686</v>
      </c>
      <c r="E1043" s="261"/>
      <c r="F1043" s="261" t="s">
        <v>1269</v>
      </c>
      <c r="G1043" s="261" t="s">
        <v>1065</v>
      </c>
      <c r="H1043" s="261" t="s">
        <v>267</v>
      </c>
      <c r="I1043" s="261" t="s">
        <v>1066</v>
      </c>
      <c r="J1043" s="261" t="s">
        <v>1266</v>
      </c>
      <c r="K1043" s="253"/>
      <c r="L1043" s="253"/>
      <c r="M1043" s="253"/>
      <c r="N1043" s="253"/>
      <c r="O1043" s="253"/>
      <c r="P1043" s="253"/>
      <c r="Q1043" s="253"/>
      <c r="R1043" s="253"/>
      <c r="S1043" s="253"/>
      <c r="T1043"/>
    </row>
    <row r="1044" spans="1:20" ht="14.5">
      <c r="A1044" s="261" t="s">
        <v>1270</v>
      </c>
      <c r="B1044" s="261" t="s">
        <v>1067</v>
      </c>
      <c r="C1044" s="261" t="s">
        <v>267</v>
      </c>
      <c r="D1044" s="261" t="s">
        <v>686</v>
      </c>
      <c r="E1044" s="261"/>
      <c r="F1044" s="261" t="s">
        <v>1269</v>
      </c>
      <c r="G1044" s="261" t="s">
        <v>1067</v>
      </c>
      <c r="H1044" s="261" t="s">
        <v>267</v>
      </c>
      <c r="I1044" s="261" t="s">
        <v>1068</v>
      </c>
      <c r="J1044" s="261" t="s">
        <v>1266</v>
      </c>
      <c r="K1044" s="253"/>
      <c r="L1044" s="253"/>
      <c r="M1044" s="253"/>
      <c r="N1044" s="253"/>
      <c r="O1044" s="253"/>
      <c r="P1044" s="253"/>
      <c r="Q1044" s="253"/>
      <c r="R1044" s="253"/>
      <c r="S1044" s="253"/>
      <c r="T1044"/>
    </row>
    <row r="1045" spans="1:20" ht="14.5">
      <c r="A1045" s="261" t="s">
        <v>1270</v>
      </c>
      <c r="B1045" s="261" t="s">
        <v>1069</v>
      </c>
      <c r="C1045" s="261" t="s">
        <v>267</v>
      </c>
      <c r="D1045" s="261" t="s">
        <v>686</v>
      </c>
      <c r="E1045" s="261"/>
      <c r="F1045" s="261" t="s">
        <v>1269</v>
      </c>
      <c r="G1045" s="261" t="s">
        <v>1069</v>
      </c>
      <c r="H1045" s="261" t="s">
        <v>267</v>
      </c>
      <c r="I1045" s="261" t="s">
        <v>1070</v>
      </c>
      <c r="J1045" s="261" t="s">
        <v>1266</v>
      </c>
      <c r="K1045" s="253"/>
      <c r="L1045" s="253"/>
      <c r="M1045" s="253"/>
      <c r="N1045" s="253"/>
      <c r="O1045" s="253"/>
      <c r="P1045" s="253"/>
      <c r="Q1045" s="253"/>
      <c r="R1045" s="253"/>
      <c r="S1045" s="253"/>
      <c r="T1045"/>
    </row>
    <row r="1046" spans="1:20" ht="14.5">
      <c r="A1046" s="261" t="s">
        <v>1270</v>
      </c>
      <c r="B1046" s="261" t="s">
        <v>1071</v>
      </c>
      <c r="C1046" s="261" t="s">
        <v>267</v>
      </c>
      <c r="D1046" s="261" t="s">
        <v>686</v>
      </c>
      <c r="E1046" s="261"/>
      <c r="F1046" s="261" t="s">
        <v>1269</v>
      </c>
      <c r="G1046" s="261" t="s">
        <v>1071</v>
      </c>
      <c r="H1046" s="261" t="s">
        <v>267</v>
      </c>
      <c r="I1046" s="261" t="s">
        <v>1072</v>
      </c>
      <c r="J1046" s="261" t="s">
        <v>1266</v>
      </c>
      <c r="K1046" s="253"/>
      <c r="L1046" s="253"/>
      <c r="M1046" s="253"/>
      <c r="N1046" s="253"/>
      <c r="O1046" s="253"/>
      <c r="P1046" s="253"/>
      <c r="Q1046" s="253"/>
      <c r="R1046" s="253"/>
      <c r="S1046" s="253"/>
      <c r="T1046"/>
    </row>
    <row r="1047" spans="1:20" ht="14.5">
      <c r="A1047" s="261" t="s">
        <v>1270</v>
      </c>
      <c r="B1047" s="261" t="s">
        <v>1073</v>
      </c>
      <c r="C1047" s="261" t="s">
        <v>267</v>
      </c>
      <c r="D1047" s="261" t="s">
        <v>686</v>
      </c>
      <c r="E1047" s="261"/>
      <c r="F1047" s="261" t="s">
        <v>1269</v>
      </c>
      <c r="G1047" s="261" t="s">
        <v>1073</v>
      </c>
      <c r="H1047" s="261" t="s">
        <v>267</v>
      </c>
      <c r="I1047" s="261" t="s">
        <v>1074</v>
      </c>
      <c r="J1047" s="261" t="s">
        <v>1266</v>
      </c>
      <c r="K1047" s="253"/>
      <c r="L1047" s="253"/>
      <c r="M1047" s="253"/>
      <c r="N1047" s="253"/>
      <c r="O1047" s="253"/>
      <c r="P1047" s="253"/>
      <c r="Q1047" s="253"/>
      <c r="R1047" s="253"/>
      <c r="S1047" s="253"/>
      <c r="T1047"/>
    </row>
    <row r="1048" spans="1:20" ht="14.5">
      <c r="A1048" s="261" t="s">
        <v>1270</v>
      </c>
      <c r="B1048" s="261" t="s">
        <v>1075</v>
      </c>
      <c r="C1048" s="261" t="s">
        <v>267</v>
      </c>
      <c r="D1048" s="261" t="s">
        <v>686</v>
      </c>
      <c r="E1048" s="261"/>
      <c r="F1048" s="261" t="s">
        <v>1269</v>
      </c>
      <c r="G1048" s="261" t="s">
        <v>1075</v>
      </c>
      <c r="H1048" s="261" t="s">
        <v>267</v>
      </c>
      <c r="I1048" s="261" t="s">
        <v>1076</v>
      </c>
      <c r="J1048" s="261" t="s">
        <v>1266</v>
      </c>
      <c r="K1048" s="253"/>
      <c r="L1048" s="253"/>
      <c r="M1048" s="253"/>
      <c r="N1048" s="253"/>
      <c r="O1048" s="253"/>
      <c r="P1048" s="253"/>
      <c r="Q1048" s="253"/>
      <c r="R1048" s="253"/>
      <c r="S1048" s="253"/>
      <c r="T1048"/>
    </row>
    <row r="1049" spans="1:20" ht="14.5">
      <c r="A1049" s="261" t="s">
        <v>1270</v>
      </c>
      <c r="B1049" s="261" t="s">
        <v>1077</v>
      </c>
      <c r="C1049" s="261" t="s">
        <v>267</v>
      </c>
      <c r="D1049" s="261" t="s">
        <v>686</v>
      </c>
      <c r="E1049" s="261"/>
      <c r="F1049" s="261" t="s">
        <v>1269</v>
      </c>
      <c r="G1049" s="261" t="s">
        <v>1077</v>
      </c>
      <c r="H1049" s="261" t="s">
        <v>267</v>
      </c>
      <c r="I1049" s="261" t="s">
        <v>1078</v>
      </c>
      <c r="J1049" s="261" t="s">
        <v>1266</v>
      </c>
      <c r="K1049" s="253"/>
      <c r="L1049" s="253"/>
      <c r="M1049" s="253"/>
      <c r="N1049" s="253"/>
      <c r="O1049" s="253"/>
      <c r="P1049" s="253"/>
      <c r="Q1049" s="253"/>
      <c r="R1049" s="253"/>
      <c r="S1049" s="253"/>
      <c r="T1049"/>
    </row>
    <row r="1050" spans="1:20" ht="14.5">
      <c r="A1050" s="261" t="s">
        <v>1270</v>
      </c>
      <c r="B1050" s="261" t="s">
        <v>1079</v>
      </c>
      <c r="C1050" s="261" t="s">
        <v>267</v>
      </c>
      <c r="D1050" s="261" t="s">
        <v>686</v>
      </c>
      <c r="E1050" s="261"/>
      <c r="F1050" s="261" t="s">
        <v>1269</v>
      </c>
      <c r="G1050" s="261" t="s">
        <v>1079</v>
      </c>
      <c r="H1050" s="261" t="s">
        <v>267</v>
      </c>
      <c r="I1050" s="261" t="s">
        <v>1080</v>
      </c>
      <c r="J1050" s="261" t="s">
        <v>1266</v>
      </c>
      <c r="K1050" s="253"/>
      <c r="L1050" s="253"/>
      <c r="M1050" s="253"/>
      <c r="N1050" s="253"/>
      <c r="O1050" s="253"/>
      <c r="P1050" s="253"/>
      <c r="Q1050" s="253"/>
      <c r="R1050" s="253"/>
      <c r="S1050" s="253"/>
      <c r="T1050"/>
    </row>
    <row r="1051" spans="1:20" ht="14.5">
      <c r="A1051" s="261" t="s">
        <v>1270</v>
      </c>
      <c r="B1051" s="261" t="s">
        <v>1081</v>
      </c>
      <c r="C1051" s="261" t="s">
        <v>267</v>
      </c>
      <c r="D1051" s="261" t="s">
        <v>686</v>
      </c>
      <c r="E1051" s="261"/>
      <c r="F1051" s="261" t="s">
        <v>1269</v>
      </c>
      <c r="G1051" s="261" t="s">
        <v>1081</v>
      </c>
      <c r="H1051" s="261" t="s">
        <v>267</v>
      </c>
      <c r="I1051" s="261" t="s">
        <v>1082</v>
      </c>
      <c r="J1051" s="261" t="s">
        <v>1266</v>
      </c>
      <c r="K1051" s="253"/>
      <c r="L1051" s="253"/>
      <c r="M1051" s="253"/>
      <c r="N1051" s="253"/>
      <c r="O1051" s="253"/>
      <c r="P1051" s="253"/>
      <c r="Q1051" s="253"/>
      <c r="R1051" s="253"/>
      <c r="S1051" s="253"/>
      <c r="T1051"/>
    </row>
    <row r="1052" spans="1:20" ht="14.5">
      <c r="A1052" s="261" t="s">
        <v>1270</v>
      </c>
      <c r="B1052" s="261" t="s">
        <v>1083</v>
      </c>
      <c r="C1052" s="261" t="s">
        <v>267</v>
      </c>
      <c r="D1052" s="261" t="s">
        <v>686</v>
      </c>
      <c r="E1052" s="261"/>
      <c r="F1052" s="261" t="s">
        <v>1269</v>
      </c>
      <c r="G1052" s="261" t="s">
        <v>1083</v>
      </c>
      <c r="H1052" s="261" t="s">
        <v>267</v>
      </c>
      <c r="I1052" s="261" t="s">
        <v>1084</v>
      </c>
      <c r="J1052" s="261" t="s">
        <v>1266</v>
      </c>
      <c r="K1052" s="253"/>
      <c r="L1052" s="253"/>
      <c r="M1052" s="253"/>
      <c r="N1052" s="253"/>
      <c r="O1052" s="253"/>
      <c r="P1052" s="253"/>
      <c r="Q1052" s="253"/>
      <c r="R1052" s="253"/>
      <c r="S1052" s="253"/>
      <c r="T1052"/>
    </row>
    <row r="1053" spans="1:20" ht="14.5">
      <c r="A1053" s="261" t="s">
        <v>1270</v>
      </c>
      <c r="B1053" s="261" t="s">
        <v>1085</v>
      </c>
      <c r="C1053" s="261" t="s">
        <v>267</v>
      </c>
      <c r="D1053" s="261" t="s">
        <v>686</v>
      </c>
      <c r="E1053" s="261"/>
      <c r="F1053" s="261" t="s">
        <v>1269</v>
      </c>
      <c r="G1053" s="261" t="s">
        <v>1085</v>
      </c>
      <c r="H1053" s="261" t="s">
        <v>267</v>
      </c>
      <c r="I1053" s="261" t="s">
        <v>1086</v>
      </c>
      <c r="J1053" s="261" t="s">
        <v>1266</v>
      </c>
      <c r="K1053" s="253"/>
      <c r="L1053" s="253"/>
      <c r="M1053" s="253"/>
      <c r="N1053" s="253"/>
      <c r="O1053" s="253"/>
      <c r="P1053" s="253"/>
      <c r="Q1053" s="253"/>
      <c r="R1053" s="253"/>
      <c r="S1053" s="253"/>
      <c r="T1053"/>
    </row>
    <row r="1054" spans="1:20" ht="14.5">
      <c r="A1054" s="261" t="s">
        <v>1270</v>
      </c>
      <c r="B1054" s="261" t="s">
        <v>1094</v>
      </c>
      <c r="C1054" s="261" t="s">
        <v>267</v>
      </c>
      <c r="D1054" s="261" t="s">
        <v>686</v>
      </c>
      <c r="E1054" s="261"/>
      <c r="F1054" s="261" t="s">
        <v>1269</v>
      </c>
      <c r="G1054" s="261" t="s">
        <v>1094</v>
      </c>
      <c r="H1054" s="261" t="s">
        <v>267</v>
      </c>
      <c r="I1054" s="261" t="s">
        <v>1095</v>
      </c>
      <c r="J1054" s="261" t="s">
        <v>1266</v>
      </c>
      <c r="K1054" s="253"/>
      <c r="L1054" s="253"/>
      <c r="M1054" s="253"/>
      <c r="N1054" s="253"/>
      <c r="O1054" s="253"/>
      <c r="P1054" s="253"/>
      <c r="Q1054" s="253"/>
      <c r="R1054" s="253"/>
      <c r="S1054" s="253"/>
      <c r="T1054"/>
    </row>
    <row r="1055" spans="1:20" ht="14.5">
      <c r="A1055" s="261" t="s">
        <v>1270</v>
      </c>
      <c r="B1055" s="261" t="s">
        <v>1096</v>
      </c>
      <c r="C1055" s="261" t="s">
        <v>267</v>
      </c>
      <c r="D1055" s="261" t="s">
        <v>686</v>
      </c>
      <c r="E1055" s="261"/>
      <c r="F1055" s="261" t="s">
        <v>1269</v>
      </c>
      <c r="G1055" s="261" t="s">
        <v>1096</v>
      </c>
      <c r="H1055" s="261" t="s">
        <v>267</v>
      </c>
      <c r="I1055" s="261" t="s">
        <v>1097</v>
      </c>
      <c r="J1055" s="261" t="s">
        <v>1266</v>
      </c>
      <c r="K1055" s="253"/>
      <c r="L1055" s="253"/>
      <c r="M1055" s="253"/>
      <c r="N1055" s="253"/>
      <c r="O1055" s="253"/>
      <c r="P1055" s="253"/>
      <c r="Q1055" s="253"/>
      <c r="R1055" s="253"/>
      <c r="S1055" s="253"/>
      <c r="T1055"/>
    </row>
    <row r="1056" spans="1:20" ht="14.5">
      <c r="A1056" s="261" t="s">
        <v>1270</v>
      </c>
      <c r="B1056" s="261" t="s">
        <v>1098</v>
      </c>
      <c r="C1056" s="261" t="s">
        <v>267</v>
      </c>
      <c r="D1056" s="261" t="s">
        <v>686</v>
      </c>
      <c r="E1056" s="261"/>
      <c r="F1056" s="261" t="s">
        <v>1269</v>
      </c>
      <c r="G1056" s="261" t="s">
        <v>1098</v>
      </c>
      <c r="H1056" s="261" t="s">
        <v>267</v>
      </c>
      <c r="I1056" s="261" t="s">
        <v>1099</v>
      </c>
      <c r="J1056" s="261" t="s">
        <v>1266</v>
      </c>
      <c r="K1056" s="253"/>
      <c r="L1056" s="253"/>
      <c r="M1056" s="253"/>
      <c r="N1056" s="253"/>
      <c r="O1056" s="253"/>
      <c r="P1056" s="253"/>
      <c r="Q1056" s="253"/>
      <c r="R1056" s="253"/>
      <c r="S1056" s="253"/>
      <c r="T1056"/>
    </row>
    <row r="1057" spans="1:20" ht="14.5">
      <c r="A1057" s="261" t="s">
        <v>1270</v>
      </c>
      <c r="B1057" s="261" t="s">
        <v>1100</v>
      </c>
      <c r="C1057" s="261" t="s">
        <v>267</v>
      </c>
      <c r="D1057" s="261" t="s">
        <v>686</v>
      </c>
      <c r="E1057" s="261"/>
      <c r="F1057" s="261" t="s">
        <v>1269</v>
      </c>
      <c r="G1057" s="261" t="s">
        <v>1100</v>
      </c>
      <c r="H1057" s="261" t="s">
        <v>267</v>
      </c>
      <c r="I1057" s="261" t="s">
        <v>1101</v>
      </c>
      <c r="J1057" s="261" t="s">
        <v>1266</v>
      </c>
      <c r="K1057" s="253"/>
      <c r="L1057" s="253"/>
      <c r="M1057" s="253"/>
      <c r="N1057" s="253"/>
      <c r="O1057" s="253"/>
      <c r="P1057" s="253"/>
      <c r="Q1057" s="253"/>
      <c r="R1057" s="253"/>
      <c r="S1057" s="253"/>
      <c r="T1057"/>
    </row>
    <row r="1058" spans="1:20" ht="14.5">
      <c r="A1058" s="261" t="s">
        <v>1270</v>
      </c>
      <c r="B1058" s="261" t="s">
        <v>1102</v>
      </c>
      <c r="C1058" s="261" t="s">
        <v>267</v>
      </c>
      <c r="D1058" s="261" t="s">
        <v>686</v>
      </c>
      <c r="E1058" s="261"/>
      <c r="F1058" s="261" t="s">
        <v>1269</v>
      </c>
      <c r="G1058" s="261" t="s">
        <v>1102</v>
      </c>
      <c r="H1058" s="261" t="s">
        <v>267</v>
      </c>
      <c r="I1058" s="261" t="s">
        <v>1103</v>
      </c>
      <c r="J1058" s="261" t="s">
        <v>1266</v>
      </c>
      <c r="K1058" s="253"/>
      <c r="L1058" s="253"/>
      <c r="M1058" s="253"/>
      <c r="N1058" s="253"/>
      <c r="O1058" s="253"/>
      <c r="P1058" s="253"/>
      <c r="Q1058" s="253"/>
      <c r="R1058" s="253"/>
      <c r="S1058" s="253"/>
      <c r="T1058"/>
    </row>
    <row r="1059" spans="1:20" ht="14.5">
      <c r="A1059" s="261" t="s">
        <v>1270</v>
      </c>
      <c r="B1059" s="261" t="s">
        <v>1104</v>
      </c>
      <c r="C1059" s="261" t="s">
        <v>267</v>
      </c>
      <c r="D1059" s="261" t="s">
        <v>686</v>
      </c>
      <c r="E1059" s="261"/>
      <c r="F1059" s="261" t="s">
        <v>1269</v>
      </c>
      <c r="G1059" s="261" t="s">
        <v>1104</v>
      </c>
      <c r="H1059" s="261" t="s">
        <v>267</v>
      </c>
      <c r="I1059" s="261" t="s">
        <v>1105</v>
      </c>
      <c r="J1059" s="261" t="s">
        <v>1266</v>
      </c>
      <c r="K1059" s="253"/>
      <c r="L1059" s="253"/>
      <c r="M1059" s="253"/>
      <c r="N1059" s="253"/>
      <c r="O1059" s="253"/>
      <c r="P1059" s="253"/>
      <c r="Q1059" s="253"/>
      <c r="R1059" s="253"/>
      <c r="S1059" s="253"/>
      <c r="T1059"/>
    </row>
    <row r="1060" spans="1:20" ht="14.5">
      <c r="A1060" s="261" t="s">
        <v>1270</v>
      </c>
      <c r="B1060" s="261" t="s">
        <v>1106</v>
      </c>
      <c r="C1060" s="261" t="s">
        <v>267</v>
      </c>
      <c r="D1060" s="261" t="s">
        <v>686</v>
      </c>
      <c r="E1060" s="261"/>
      <c r="F1060" s="261" t="s">
        <v>1269</v>
      </c>
      <c r="G1060" s="261" t="s">
        <v>1106</v>
      </c>
      <c r="H1060" s="261" t="s">
        <v>267</v>
      </c>
      <c r="I1060" s="261" t="s">
        <v>1107</v>
      </c>
      <c r="J1060" s="261" t="s">
        <v>1266</v>
      </c>
      <c r="K1060" s="253"/>
      <c r="L1060" s="253"/>
      <c r="M1060" s="253"/>
      <c r="N1060" s="253"/>
      <c r="O1060" s="253"/>
      <c r="P1060" s="253"/>
      <c r="Q1060" s="253"/>
      <c r="R1060" s="253"/>
      <c r="S1060" s="253"/>
      <c r="T1060"/>
    </row>
    <row r="1061" spans="1:20" ht="14.5">
      <c r="A1061" s="261" t="s">
        <v>1270</v>
      </c>
      <c r="B1061" s="261" t="s">
        <v>1108</v>
      </c>
      <c r="C1061" s="261" t="s">
        <v>267</v>
      </c>
      <c r="D1061" s="261" t="s">
        <v>686</v>
      </c>
      <c r="E1061" s="261"/>
      <c r="F1061" s="261" t="s">
        <v>1269</v>
      </c>
      <c r="G1061" s="261" t="s">
        <v>1108</v>
      </c>
      <c r="H1061" s="261" t="s">
        <v>267</v>
      </c>
      <c r="I1061" s="261" t="s">
        <v>1109</v>
      </c>
      <c r="J1061" s="261" t="s">
        <v>1266</v>
      </c>
      <c r="K1061" s="253"/>
      <c r="L1061" s="253"/>
      <c r="M1061" s="253"/>
      <c r="N1061" s="253"/>
      <c r="O1061" s="253"/>
      <c r="P1061" s="253"/>
      <c r="Q1061" s="253"/>
      <c r="R1061" s="253"/>
      <c r="S1061" s="253"/>
      <c r="T1061"/>
    </row>
    <row r="1062" spans="1:20" ht="14.5">
      <c r="A1062" s="261" t="s">
        <v>1268</v>
      </c>
      <c r="B1062" s="261" t="s">
        <v>92</v>
      </c>
      <c r="C1062" s="261" t="s">
        <v>267</v>
      </c>
      <c r="D1062" s="261" t="s">
        <v>686</v>
      </c>
      <c r="E1062" s="261"/>
      <c r="F1062" s="261" t="s">
        <v>1269</v>
      </c>
      <c r="G1062" s="261" t="s">
        <v>310</v>
      </c>
      <c r="H1062" s="261" t="s">
        <v>267</v>
      </c>
      <c r="I1062" s="261" t="s">
        <v>1110</v>
      </c>
      <c r="J1062" s="261" t="s">
        <v>1266</v>
      </c>
      <c r="K1062" s="291"/>
      <c r="L1062" s="291"/>
      <c r="M1062" s="291"/>
      <c r="N1062" s="291"/>
      <c r="O1062" s="291"/>
      <c r="P1062" s="291"/>
      <c r="Q1062" s="291"/>
      <c r="R1062" s="291"/>
      <c r="S1062" s="291"/>
      <c r="T1062"/>
    </row>
    <row r="1063" spans="1:20" ht="14.5">
      <c r="A1063" s="261" t="s">
        <v>1268</v>
      </c>
      <c r="B1063" s="261" t="s">
        <v>95</v>
      </c>
      <c r="C1063" s="261" t="s">
        <v>267</v>
      </c>
      <c r="D1063" s="261" t="s">
        <v>686</v>
      </c>
      <c r="E1063" s="261"/>
      <c r="F1063" s="261" t="s">
        <v>1269</v>
      </c>
      <c r="G1063" s="261" t="s">
        <v>312</v>
      </c>
      <c r="H1063" s="261" t="s">
        <v>267</v>
      </c>
      <c r="I1063" s="261" t="s">
        <v>1111</v>
      </c>
      <c r="J1063" s="261" t="s">
        <v>1266</v>
      </c>
      <c r="K1063" s="291"/>
      <c r="L1063" s="291"/>
      <c r="M1063" s="291"/>
      <c r="N1063" s="291"/>
      <c r="O1063" s="291"/>
      <c r="P1063" s="291"/>
      <c r="Q1063" s="291"/>
      <c r="R1063" s="291"/>
      <c r="S1063" s="291"/>
      <c r="T1063"/>
    </row>
    <row r="1064" spans="1:20" ht="14.5">
      <c r="A1064" s="261" t="s">
        <v>1268</v>
      </c>
      <c r="B1064" s="261" t="s">
        <v>1271</v>
      </c>
      <c r="C1064" s="261" t="s">
        <v>267</v>
      </c>
      <c r="D1064" s="261" t="s">
        <v>686</v>
      </c>
      <c r="E1064" s="261"/>
      <c r="F1064" s="261" t="s">
        <v>1269</v>
      </c>
      <c r="G1064" s="261" t="s">
        <v>1272</v>
      </c>
      <c r="H1064" s="261" t="s">
        <v>267</v>
      </c>
      <c r="I1064" s="261" t="s">
        <v>1273</v>
      </c>
      <c r="J1064" s="261" t="s">
        <v>1266</v>
      </c>
      <c r="K1064" s="291"/>
      <c r="L1064" s="291"/>
      <c r="M1064" s="291"/>
      <c r="N1064" s="291"/>
      <c r="O1064" s="291"/>
      <c r="P1064" s="291"/>
      <c r="Q1064" s="291"/>
      <c r="R1064" s="291"/>
      <c r="S1064" s="291"/>
      <c r="T1064"/>
    </row>
    <row r="1065" spans="1:20" ht="14.5">
      <c r="A1065" s="261" t="s">
        <v>1268</v>
      </c>
      <c r="B1065" s="261" t="s">
        <v>1274</v>
      </c>
      <c r="C1065" s="261" t="s">
        <v>267</v>
      </c>
      <c r="D1065" s="261" t="s">
        <v>686</v>
      </c>
      <c r="E1065" s="261"/>
      <c r="F1065" s="261" t="s">
        <v>1269</v>
      </c>
      <c r="G1065" s="261" t="s">
        <v>1275</v>
      </c>
      <c r="H1065" s="261" t="s">
        <v>267</v>
      </c>
      <c r="I1065" s="261" t="s">
        <v>1276</v>
      </c>
      <c r="J1065" s="261" t="s">
        <v>1266</v>
      </c>
      <c r="K1065" s="253"/>
      <c r="L1065" s="253"/>
      <c r="M1065" s="253"/>
      <c r="N1065" s="253"/>
      <c r="O1065" s="253"/>
      <c r="P1065" s="253"/>
      <c r="Q1065" s="253"/>
      <c r="R1065" s="253"/>
      <c r="S1065" s="253"/>
      <c r="T1065"/>
    </row>
    <row r="1066" spans="1:20" ht="14.5">
      <c r="A1066" s="261" t="s">
        <v>913</v>
      </c>
      <c r="B1066" s="261" t="s">
        <v>1170</v>
      </c>
      <c r="C1066" s="261" t="s">
        <v>267</v>
      </c>
      <c r="D1066" s="261" t="s">
        <v>686</v>
      </c>
      <c r="E1066" s="261"/>
      <c r="F1066" s="261" t="s">
        <v>1269</v>
      </c>
      <c r="G1066" s="261" t="s">
        <v>1171</v>
      </c>
      <c r="H1066" s="261" t="s">
        <v>267</v>
      </c>
      <c r="I1066" s="261" t="s">
        <v>1172</v>
      </c>
      <c r="J1066" s="261" t="s">
        <v>1266</v>
      </c>
      <c r="K1066" s="253"/>
      <c r="L1066" s="253"/>
      <c r="M1066" s="253"/>
      <c r="N1066" s="253"/>
      <c r="O1066" s="253"/>
      <c r="P1066" s="253"/>
      <c r="Q1066" s="253"/>
      <c r="R1066" s="253"/>
      <c r="S1066" s="253"/>
      <c r="T1066"/>
    </row>
    <row r="1067" spans="1:20" ht="14.5">
      <c r="A1067" s="261" t="s">
        <v>913</v>
      </c>
      <c r="B1067" s="261" t="s">
        <v>1173</v>
      </c>
      <c r="C1067" s="261" t="s">
        <v>267</v>
      </c>
      <c r="D1067" s="261" t="s">
        <v>922</v>
      </c>
      <c r="E1067" s="261" t="s">
        <v>1277</v>
      </c>
      <c r="F1067" s="261" t="s">
        <v>1269</v>
      </c>
      <c r="G1067" s="261" t="s">
        <v>905</v>
      </c>
      <c r="H1067" s="261" t="s">
        <v>267</v>
      </c>
      <c r="I1067" s="261" t="s">
        <v>1175</v>
      </c>
      <c r="J1067" s="261" t="s">
        <v>1266</v>
      </c>
      <c r="K1067" s="253"/>
      <c r="L1067" s="253"/>
      <c r="M1067" s="253"/>
      <c r="N1067" s="253"/>
      <c r="O1067" s="253"/>
      <c r="P1067" s="253"/>
      <c r="Q1067" s="253"/>
      <c r="R1067" s="253"/>
      <c r="S1067" s="253"/>
      <c r="T1067"/>
    </row>
    <row r="1068" spans="1:20" ht="14.5">
      <c r="A1068" s="261" t="s">
        <v>1278</v>
      </c>
      <c r="B1068" s="362" t="s">
        <v>1279</v>
      </c>
      <c r="C1068" s="261" t="s">
        <v>267</v>
      </c>
      <c r="D1068" s="261" t="s">
        <v>686</v>
      </c>
      <c r="E1068" s="261"/>
      <c r="F1068" s="261" t="s">
        <v>1269</v>
      </c>
      <c r="G1068" s="261" t="s">
        <v>1178</v>
      </c>
      <c r="H1068" s="261" t="s">
        <v>267</v>
      </c>
      <c r="I1068" s="261" t="s">
        <v>1179</v>
      </c>
      <c r="J1068" s="261" t="s">
        <v>1266</v>
      </c>
      <c r="K1068" s="253"/>
      <c r="L1068" s="253"/>
      <c r="M1068" s="253"/>
      <c r="N1068" s="253"/>
      <c r="O1068" s="253"/>
      <c r="P1068" s="253"/>
      <c r="Q1068" s="253"/>
      <c r="R1068" s="253"/>
      <c r="S1068" s="253"/>
      <c r="T1068"/>
    </row>
    <row r="1069" spans="1:20" ht="14.5">
      <c r="A1069" s="261" t="s">
        <v>1268</v>
      </c>
      <c r="B1069" s="261" t="s">
        <v>1280</v>
      </c>
      <c r="C1069" s="261" t="s">
        <v>267</v>
      </c>
      <c r="D1069" s="261" t="s">
        <v>686</v>
      </c>
      <c r="E1069" s="261"/>
      <c r="F1069" s="261" t="s">
        <v>1269</v>
      </c>
      <c r="G1069" s="261" t="s">
        <v>1281</v>
      </c>
      <c r="H1069" s="261" t="s">
        <v>267</v>
      </c>
      <c r="I1069" s="261" t="s">
        <v>1282</v>
      </c>
      <c r="J1069" s="261" t="s">
        <v>1266</v>
      </c>
      <c r="K1069" s="253"/>
      <c r="L1069" s="253"/>
      <c r="M1069" s="253"/>
      <c r="N1069" s="253"/>
      <c r="O1069" s="253"/>
      <c r="P1069" s="253"/>
      <c r="Q1069" s="253"/>
      <c r="R1069" s="253"/>
      <c r="S1069" s="253"/>
      <c r="T1069"/>
    </row>
    <row r="1070" spans="1:20" ht="14.5">
      <c r="A1070" s="261" t="s">
        <v>1268</v>
      </c>
      <c r="B1070" s="261" t="s">
        <v>1228</v>
      </c>
      <c r="C1070" s="261" t="s">
        <v>280</v>
      </c>
      <c r="D1070" s="261" t="s">
        <v>922</v>
      </c>
      <c r="E1070" s="261" t="s">
        <v>1283</v>
      </c>
      <c r="F1070" s="261" t="s">
        <v>1269</v>
      </c>
      <c r="G1070" s="261" t="s">
        <v>1229</v>
      </c>
      <c r="H1070" s="261" t="s">
        <v>280</v>
      </c>
      <c r="I1070" s="261" t="s">
        <v>1230</v>
      </c>
      <c r="J1070" s="261" t="s">
        <v>1266</v>
      </c>
      <c r="K1070" s="253"/>
      <c r="L1070" s="253"/>
      <c r="M1070" s="253"/>
      <c r="N1070" s="253"/>
      <c r="O1070" s="253"/>
      <c r="P1070" s="253"/>
      <c r="Q1070" s="253"/>
      <c r="R1070" s="253"/>
      <c r="S1070" s="253"/>
      <c r="T1070"/>
    </row>
    <row r="1071" spans="1:20" ht="14.5">
      <c r="A1071" s="291"/>
      <c r="B1071" s="291"/>
      <c r="C1071" s="291"/>
      <c r="D1071" s="291"/>
      <c r="E1071" s="291"/>
      <c r="F1071" s="291"/>
      <c r="G1071" s="291"/>
      <c r="H1071" s="291"/>
      <c r="I1071" s="291"/>
      <c r="J1071" s="291"/>
      <c r="K1071" s="253"/>
      <c r="L1071" s="253"/>
      <c r="M1071" s="253"/>
      <c r="N1071" s="253"/>
      <c r="O1071" s="253"/>
      <c r="P1071" s="253"/>
      <c r="Q1071" s="253"/>
      <c r="R1071" s="253"/>
      <c r="S1071" s="253"/>
      <c r="T1071"/>
    </row>
    <row r="1072" spans="1:20" ht="14.5">
      <c r="A1072" s="291"/>
      <c r="B1072" s="291"/>
      <c r="C1072" s="291"/>
      <c r="D1072" s="291"/>
      <c r="E1072" s="291"/>
      <c r="F1072" s="291"/>
      <c r="G1072" s="291"/>
      <c r="H1072" s="291"/>
      <c r="I1072" s="291"/>
      <c r="J1072" s="291"/>
      <c r="K1072" s="253"/>
      <c r="L1072" s="253"/>
      <c r="M1072" s="253"/>
      <c r="N1072" s="253"/>
      <c r="O1072" s="253"/>
      <c r="P1072" s="253"/>
      <c r="Q1072" s="253"/>
      <c r="R1072" s="253"/>
      <c r="S1072" s="253"/>
      <c r="T1072"/>
    </row>
    <row r="1073" spans="1:20" ht="14.5">
      <c r="A1073" s="291"/>
      <c r="B1073" s="291"/>
      <c r="C1073" s="291"/>
      <c r="D1073" s="291"/>
      <c r="E1073" s="291"/>
      <c r="F1073" s="291"/>
      <c r="G1073" s="291"/>
      <c r="H1073" s="291"/>
      <c r="I1073" s="291"/>
      <c r="J1073" s="291"/>
      <c r="K1073" s="253"/>
      <c r="L1073" s="253"/>
      <c r="M1073" s="253"/>
      <c r="N1073" s="253"/>
      <c r="O1073" s="253"/>
      <c r="P1073" s="253"/>
      <c r="Q1073" s="253"/>
      <c r="R1073" s="253"/>
      <c r="S1073" s="253"/>
      <c r="T1073"/>
    </row>
    <row r="1074" spans="1:20">
      <c r="A1074" s="253"/>
      <c r="B1074" s="253"/>
      <c r="C1074" s="253"/>
      <c r="D1074" s="253"/>
      <c r="E1074" s="253"/>
      <c r="F1074" s="253"/>
      <c r="G1074" s="253"/>
      <c r="H1074" s="253"/>
      <c r="I1074" s="253"/>
      <c r="J1074" s="253"/>
      <c r="K1074" s="253"/>
      <c r="L1074" s="253"/>
      <c r="M1074" s="253"/>
      <c r="N1074" s="253"/>
      <c r="O1074" s="253"/>
      <c r="P1074" s="253"/>
      <c r="Q1074" s="253"/>
      <c r="R1074" s="253"/>
      <c r="S1074" s="253"/>
    </row>
    <row r="1075" spans="1:20">
      <c r="A1075" s="253"/>
      <c r="B1075" s="253"/>
      <c r="C1075" s="253"/>
      <c r="D1075" s="253"/>
      <c r="E1075" s="253"/>
      <c r="F1075" s="253"/>
      <c r="G1075" s="253"/>
      <c r="H1075" s="253"/>
      <c r="I1075" s="253"/>
      <c r="J1075" s="253"/>
      <c r="K1075" s="253"/>
      <c r="L1075" s="253"/>
      <c r="M1075" s="253"/>
      <c r="N1075" s="253"/>
      <c r="O1075" s="253"/>
      <c r="P1075" s="253"/>
      <c r="Q1075" s="253"/>
      <c r="R1075" s="253"/>
      <c r="S1075" s="253"/>
    </row>
    <row r="1076" spans="1:20" ht="14">
      <c r="A1076" s="529" t="s">
        <v>1284</v>
      </c>
      <c r="B1076" s="529"/>
      <c r="C1076" s="529"/>
      <c r="D1076" s="529" t="s">
        <v>906</v>
      </c>
      <c r="E1076" s="529"/>
      <c r="F1076" s="529"/>
      <c r="G1076" s="529"/>
      <c r="H1076" s="529"/>
      <c r="I1076" s="529"/>
      <c r="J1076" s="529"/>
      <c r="K1076" s="253"/>
      <c r="L1076" s="253"/>
      <c r="M1076" s="253"/>
      <c r="N1076" s="253"/>
      <c r="O1076" s="253"/>
      <c r="P1076" s="253"/>
      <c r="Q1076" s="253"/>
      <c r="R1076" s="253"/>
      <c r="S1076" s="253"/>
    </row>
    <row r="1077" spans="1:20" ht="13" thickBot="1">
      <c r="A1077" s="253"/>
      <c r="B1077" s="253"/>
      <c r="C1077" s="253"/>
      <c r="D1077" s="253"/>
      <c r="E1077" s="253"/>
      <c r="F1077" s="253"/>
      <c r="G1077" s="253"/>
      <c r="H1077" s="253"/>
      <c r="I1077" s="253"/>
      <c r="J1077" s="253"/>
      <c r="K1077" s="253"/>
      <c r="L1077" s="253"/>
      <c r="M1077" s="253"/>
      <c r="N1077" s="253"/>
      <c r="O1077" s="253"/>
      <c r="P1077" s="253"/>
      <c r="Q1077" s="253"/>
      <c r="R1077" s="253"/>
      <c r="S1077" s="253"/>
    </row>
    <row r="1078" spans="1:20" ht="264" customHeight="1" thickBot="1">
      <c r="A1078" s="531" t="s">
        <v>1285</v>
      </c>
      <c r="B1078" s="531"/>
      <c r="C1078" s="554"/>
      <c r="D1078" s="537" t="s">
        <v>1286</v>
      </c>
      <c r="E1078" s="538"/>
      <c r="F1078" s="539"/>
      <c r="G1078" s="253"/>
      <c r="H1078" s="253"/>
      <c r="I1078" s="253"/>
      <c r="J1078" s="253"/>
      <c r="K1078" s="253"/>
      <c r="L1078" s="253"/>
      <c r="M1078" s="253"/>
      <c r="N1078" s="253"/>
      <c r="O1078" s="253"/>
      <c r="P1078" s="253"/>
      <c r="Q1078" s="253"/>
      <c r="R1078" s="253"/>
      <c r="S1078" s="253"/>
    </row>
    <row r="1079" spans="1:20">
      <c r="A1079" s="253"/>
      <c r="B1079" s="253"/>
      <c r="C1079" s="253"/>
      <c r="D1079" s="253"/>
      <c r="E1079" s="253"/>
      <c r="F1079" s="253"/>
      <c r="G1079" s="253"/>
      <c r="H1079" s="253"/>
      <c r="I1079" s="253"/>
      <c r="J1079" s="253"/>
      <c r="K1079" s="253"/>
      <c r="L1079" s="253"/>
      <c r="M1079" s="253"/>
      <c r="N1079" s="253"/>
      <c r="O1079" s="253"/>
      <c r="P1079" s="253"/>
      <c r="Q1079" s="253"/>
      <c r="R1079" s="253"/>
      <c r="S1079" s="253"/>
    </row>
    <row r="1080" spans="1:20" ht="13">
      <c r="A1080" s="255" t="s">
        <v>73</v>
      </c>
      <c r="B1080" s="266" t="s">
        <v>74</v>
      </c>
      <c r="C1080" s="255" t="s">
        <v>75</v>
      </c>
      <c r="D1080" s="255" t="s">
        <v>76</v>
      </c>
      <c r="E1080" s="267" t="s">
        <v>77</v>
      </c>
      <c r="F1080" s="255" t="s">
        <v>78</v>
      </c>
      <c r="G1080" s="255" t="s">
        <v>79</v>
      </c>
      <c r="H1080" s="257" t="s">
        <v>80</v>
      </c>
      <c r="I1080" s="267" t="s">
        <v>683</v>
      </c>
      <c r="J1080" s="267" t="s">
        <v>261</v>
      </c>
      <c r="K1080" s="253"/>
      <c r="L1080" s="253"/>
      <c r="M1080" s="253"/>
      <c r="N1080" s="253"/>
      <c r="O1080" s="253"/>
      <c r="P1080" s="253"/>
      <c r="Q1080" s="253"/>
      <c r="R1080" s="253"/>
      <c r="S1080" s="253"/>
    </row>
    <row r="1081" spans="1:20">
      <c r="A1081" s="261" t="s">
        <v>1287</v>
      </c>
      <c r="B1081" s="261" t="s">
        <v>87</v>
      </c>
      <c r="C1081" s="261" t="s">
        <v>274</v>
      </c>
      <c r="D1081" s="261" t="s">
        <v>686</v>
      </c>
      <c r="E1081" s="261" t="s">
        <v>909</v>
      </c>
      <c r="F1081" s="261" t="s">
        <v>1288</v>
      </c>
      <c r="G1081" s="363" t="s">
        <v>911</v>
      </c>
      <c r="H1081" s="261" t="s">
        <v>262</v>
      </c>
      <c r="I1081" s="261" t="s">
        <v>912</v>
      </c>
      <c r="J1081" s="261" t="s">
        <v>1284</v>
      </c>
      <c r="K1081" s="253"/>
      <c r="L1081" s="253"/>
      <c r="M1081" s="253"/>
      <c r="N1081" s="253"/>
      <c r="O1081" s="253"/>
      <c r="P1081" s="253"/>
      <c r="Q1081" s="253"/>
      <c r="R1081" s="253"/>
      <c r="S1081" s="253"/>
    </row>
    <row r="1082" spans="1:20" ht="31.5">
      <c r="A1082" s="261" t="s">
        <v>1287</v>
      </c>
      <c r="B1082" s="261" t="s">
        <v>92</v>
      </c>
      <c r="C1082" s="261" t="s">
        <v>267</v>
      </c>
      <c r="D1082" s="261" t="s">
        <v>922</v>
      </c>
      <c r="E1082" s="348" t="s">
        <v>1244</v>
      </c>
      <c r="F1082" s="261" t="s">
        <v>1288</v>
      </c>
      <c r="G1082" s="363" t="s">
        <v>914</v>
      </c>
      <c r="H1082" s="261" t="s">
        <v>267</v>
      </c>
      <c r="I1082" s="261" t="s">
        <v>915</v>
      </c>
      <c r="J1082" s="261" t="s">
        <v>1284</v>
      </c>
      <c r="K1082" s="253"/>
      <c r="L1082" s="253"/>
      <c r="M1082" s="253"/>
      <c r="N1082" s="253"/>
      <c r="O1082" s="253"/>
      <c r="P1082" s="253"/>
      <c r="Q1082" s="253"/>
      <c r="R1082" s="253"/>
      <c r="S1082" s="253"/>
    </row>
    <row r="1083" spans="1:20">
      <c r="A1083" s="261" t="s">
        <v>1287</v>
      </c>
      <c r="B1083" s="261" t="s">
        <v>92</v>
      </c>
      <c r="C1083" s="261" t="s">
        <v>267</v>
      </c>
      <c r="D1083" s="261" t="s">
        <v>922</v>
      </c>
      <c r="E1083" s="348" t="s">
        <v>1245</v>
      </c>
      <c r="F1083" s="261" t="s">
        <v>1288</v>
      </c>
      <c r="G1083" s="363" t="s">
        <v>916</v>
      </c>
      <c r="H1083" s="261" t="s">
        <v>267</v>
      </c>
      <c r="I1083" s="261" t="s">
        <v>917</v>
      </c>
      <c r="J1083" s="261" t="s">
        <v>1284</v>
      </c>
      <c r="K1083" s="253"/>
      <c r="L1083" s="253"/>
      <c r="M1083" s="253"/>
      <c r="N1083" s="253"/>
      <c r="O1083" s="253"/>
      <c r="P1083" s="253"/>
      <c r="Q1083" s="253"/>
      <c r="R1083" s="253"/>
      <c r="S1083" s="253"/>
    </row>
    <row r="1084" spans="1:20" ht="21">
      <c r="A1084" s="261" t="s">
        <v>1287</v>
      </c>
      <c r="B1084" s="261" t="s">
        <v>92</v>
      </c>
      <c r="C1084" s="261" t="s">
        <v>267</v>
      </c>
      <c r="D1084" s="261" t="s">
        <v>922</v>
      </c>
      <c r="E1084" s="348" t="s">
        <v>1246</v>
      </c>
      <c r="F1084" s="261" t="s">
        <v>1288</v>
      </c>
      <c r="G1084" s="363" t="s">
        <v>918</v>
      </c>
      <c r="H1084" s="261" t="s">
        <v>267</v>
      </c>
      <c r="I1084" s="261" t="s">
        <v>919</v>
      </c>
      <c r="J1084" s="261" t="s">
        <v>1284</v>
      </c>
      <c r="K1084" s="253"/>
      <c r="L1084" s="253"/>
      <c r="M1084" s="253"/>
      <c r="N1084" s="253"/>
      <c r="O1084" s="253"/>
      <c r="P1084" s="253"/>
      <c r="Q1084" s="253"/>
      <c r="R1084" s="253"/>
      <c r="S1084" s="253"/>
    </row>
    <row r="1085" spans="1:20">
      <c r="A1085" s="261" t="s">
        <v>1287</v>
      </c>
      <c r="B1085" s="261" t="s">
        <v>92</v>
      </c>
      <c r="C1085" s="261" t="s">
        <v>267</v>
      </c>
      <c r="D1085" s="261" t="s">
        <v>922</v>
      </c>
      <c r="E1085" s="348" t="s">
        <v>1245</v>
      </c>
      <c r="F1085" s="261" t="s">
        <v>1288</v>
      </c>
      <c r="G1085" s="363" t="s">
        <v>920</v>
      </c>
      <c r="H1085" s="261" t="s">
        <v>267</v>
      </c>
      <c r="I1085" s="261" t="s">
        <v>921</v>
      </c>
      <c r="J1085" s="261" t="s">
        <v>1284</v>
      </c>
      <c r="K1085" s="253"/>
      <c r="L1085" s="253"/>
      <c r="M1085" s="253"/>
      <c r="N1085" s="253"/>
      <c r="O1085" s="253"/>
      <c r="P1085" s="253"/>
      <c r="Q1085" s="253"/>
      <c r="R1085" s="253"/>
      <c r="S1085" s="253"/>
    </row>
    <row r="1086" spans="1:20">
      <c r="A1086" s="261" t="s">
        <v>913</v>
      </c>
      <c r="B1086" s="363" t="s">
        <v>924</v>
      </c>
      <c r="C1086" s="261" t="s">
        <v>267</v>
      </c>
      <c r="D1086" s="261" t="s">
        <v>922</v>
      </c>
      <c r="E1086" s="158"/>
      <c r="F1086" s="261" t="s">
        <v>1288</v>
      </c>
      <c r="G1086" s="363" t="s">
        <v>924</v>
      </c>
      <c r="H1086" s="261" t="s">
        <v>267</v>
      </c>
      <c r="I1086" s="261" t="s">
        <v>925</v>
      </c>
      <c r="J1086" s="261" t="s">
        <v>1284</v>
      </c>
      <c r="K1086" s="253"/>
      <c r="L1086" s="253"/>
      <c r="M1086" s="253"/>
      <c r="N1086" s="253"/>
      <c r="O1086" s="253"/>
      <c r="P1086" s="253"/>
      <c r="Q1086" s="253"/>
      <c r="R1086" s="253"/>
      <c r="S1086" s="253"/>
    </row>
    <row r="1087" spans="1:20">
      <c r="A1087" s="261" t="s">
        <v>913</v>
      </c>
      <c r="B1087" s="363" t="s">
        <v>927</v>
      </c>
      <c r="C1087" s="261" t="s">
        <v>267</v>
      </c>
      <c r="D1087" s="261" t="s">
        <v>922</v>
      </c>
      <c r="E1087" s="158"/>
      <c r="F1087" s="261" t="s">
        <v>1288</v>
      </c>
      <c r="G1087" s="363" t="s">
        <v>927</v>
      </c>
      <c r="H1087" s="261" t="s">
        <v>267</v>
      </c>
      <c r="I1087" s="261" t="s">
        <v>928</v>
      </c>
      <c r="J1087" s="261" t="s">
        <v>1284</v>
      </c>
      <c r="K1087" s="253"/>
      <c r="L1087" s="253"/>
      <c r="M1087" s="253"/>
      <c r="N1087" s="253"/>
      <c r="O1087" s="253"/>
      <c r="P1087" s="253"/>
      <c r="Q1087" s="253"/>
      <c r="R1087" s="253"/>
      <c r="S1087" s="253"/>
    </row>
    <row r="1088" spans="1:20">
      <c r="A1088" s="261" t="s">
        <v>913</v>
      </c>
      <c r="B1088" s="261" t="s">
        <v>929</v>
      </c>
      <c r="C1088" s="261" t="s">
        <v>267</v>
      </c>
      <c r="D1088" s="261" t="s">
        <v>686</v>
      </c>
      <c r="E1088" s="261"/>
      <c r="F1088" s="261" t="s">
        <v>1288</v>
      </c>
      <c r="G1088" s="363" t="s">
        <v>929</v>
      </c>
      <c r="H1088" s="261" t="s">
        <v>267</v>
      </c>
      <c r="I1088" s="261" t="s">
        <v>930</v>
      </c>
      <c r="J1088" s="261" t="s">
        <v>1284</v>
      </c>
      <c r="K1088" s="253"/>
      <c r="L1088" s="253"/>
      <c r="M1088" s="253"/>
      <c r="N1088" s="253"/>
      <c r="O1088" s="253"/>
      <c r="P1088" s="253"/>
      <c r="Q1088" s="253"/>
      <c r="R1088" s="253"/>
      <c r="S1088" s="253"/>
    </row>
    <row r="1089" spans="1:19">
      <c r="A1089" s="261" t="s">
        <v>913</v>
      </c>
      <c r="B1089" s="261" t="s">
        <v>931</v>
      </c>
      <c r="C1089" s="261" t="s">
        <v>267</v>
      </c>
      <c r="D1089" s="261" t="s">
        <v>686</v>
      </c>
      <c r="E1089" s="261"/>
      <c r="F1089" s="261" t="s">
        <v>1288</v>
      </c>
      <c r="G1089" s="363" t="s">
        <v>931</v>
      </c>
      <c r="H1089" s="261" t="s">
        <v>267</v>
      </c>
      <c r="I1089" s="261" t="s">
        <v>932</v>
      </c>
      <c r="J1089" s="261" t="s">
        <v>1284</v>
      </c>
      <c r="K1089" s="253"/>
      <c r="L1089" s="253"/>
      <c r="M1089" s="253"/>
      <c r="N1089" s="253"/>
      <c r="O1089" s="253"/>
      <c r="P1089" s="253"/>
      <c r="Q1089" s="253"/>
      <c r="R1089" s="253"/>
      <c r="S1089" s="253"/>
    </row>
    <row r="1090" spans="1:19">
      <c r="A1090" s="261" t="s">
        <v>913</v>
      </c>
      <c r="B1090" s="261" t="s">
        <v>933</v>
      </c>
      <c r="C1090" s="261" t="s">
        <v>267</v>
      </c>
      <c r="D1090" s="261" t="s">
        <v>686</v>
      </c>
      <c r="E1090" s="261"/>
      <c r="F1090" s="261" t="s">
        <v>1288</v>
      </c>
      <c r="G1090" s="363" t="s">
        <v>933</v>
      </c>
      <c r="H1090" s="261" t="s">
        <v>267</v>
      </c>
      <c r="I1090" s="261" t="s">
        <v>934</v>
      </c>
      <c r="J1090" s="261" t="s">
        <v>1284</v>
      </c>
      <c r="K1090" s="253"/>
      <c r="L1090" s="253"/>
      <c r="M1090" s="253"/>
      <c r="N1090" s="253"/>
      <c r="O1090" s="253"/>
      <c r="P1090" s="253"/>
      <c r="Q1090" s="253"/>
      <c r="R1090" s="253"/>
      <c r="S1090" s="253"/>
    </row>
    <row r="1091" spans="1:19">
      <c r="A1091" s="261" t="s">
        <v>913</v>
      </c>
      <c r="B1091" s="261" t="s">
        <v>935</v>
      </c>
      <c r="C1091" s="261" t="s">
        <v>267</v>
      </c>
      <c r="D1091" s="261" t="s">
        <v>686</v>
      </c>
      <c r="E1091" s="261"/>
      <c r="F1091" s="261" t="s">
        <v>1288</v>
      </c>
      <c r="G1091" s="363" t="s">
        <v>935</v>
      </c>
      <c r="H1091" s="261" t="s">
        <v>267</v>
      </c>
      <c r="I1091" s="261" t="s">
        <v>936</v>
      </c>
      <c r="J1091" s="261" t="s">
        <v>1284</v>
      </c>
      <c r="K1091" s="253"/>
      <c r="L1091" s="253"/>
      <c r="M1091" s="253"/>
      <c r="N1091" s="253"/>
      <c r="O1091" s="253"/>
      <c r="P1091" s="253"/>
      <c r="Q1091" s="253"/>
      <c r="R1091" s="253"/>
      <c r="S1091" s="253"/>
    </row>
    <row r="1092" spans="1:19">
      <c r="A1092" s="261" t="s">
        <v>913</v>
      </c>
      <c r="B1092" s="261" t="s">
        <v>937</v>
      </c>
      <c r="C1092" s="261" t="s">
        <v>267</v>
      </c>
      <c r="D1092" s="261" t="s">
        <v>686</v>
      </c>
      <c r="E1092" s="261"/>
      <c r="F1092" s="261" t="s">
        <v>1288</v>
      </c>
      <c r="G1092" s="363" t="s">
        <v>937</v>
      </c>
      <c r="H1092" s="261" t="s">
        <v>267</v>
      </c>
      <c r="I1092" s="261" t="s">
        <v>938</v>
      </c>
      <c r="J1092" s="261" t="s">
        <v>1284</v>
      </c>
      <c r="K1092" s="253"/>
      <c r="L1092" s="253"/>
      <c r="M1092" s="253"/>
      <c r="N1092" s="253"/>
      <c r="O1092" s="253"/>
      <c r="P1092" s="253"/>
      <c r="Q1092" s="253"/>
      <c r="R1092" s="253"/>
      <c r="S1092" s="253"/>
    </row>
    <row r="1093" spans="1:19">
      <c r="A1093" s="261" t="s">
        <v>913</v>
      </c>
      <c r="B1093" s="261" t="s">
        <v>939</v>
      </c>
      <c r="C1093" s="261" t="s">
        <v>267</v>
      </c>
      <c r="D1093" s="261" t="s">
        <v>686</v>
      </c>
      <c r="E1093" s="261"/>
      <c r="F1093" s="261" t="s">
        <v>1288</v>
      </c>
      <c r="G1093" s="363" t="s">
        <v>939</v>
      </c>
      <c r="H1093" s="261" t="s">
        <v>267</v>
      </c>
      <c r="I1093" s="261" t="s">
        <v>940</v>
      </c>
      <c r="J1093" s="261" t="s">
        <v>1284</v>
      </c>
      <c r="K1093" s="253"/>
      <c r="L1093" s="253"/>
      <c r="M1093" s="253"/>
      <c r="N1093" s="253"/>
      <c r="O1093" s="253"/>
      <c r="P1093" s="253"/>
      <c r="Q1093" s="253"/>
      <c r="R1093" s="253"/>
      <c r="S1093" s="253"/>
    </row>
    <row r="1094" spans="1:19">
      <c r="A1094" s="261" t="s">
        <v>913</v>
      </c>
      <c r="B1094" s="261" t="s">
        <v>941</v>
      </c>
      <c r="C1094" s="261" t="s">
        <v>267</v>
      </c>
      <c r="D1094" s="261" t="s">
        <v>686</v>
      </c>
      <c r="E1094" s="261"/>
      <c r="F1094" s="261" t="s">
        <v>1288</v>
      </c>
      <c r="G1094" s="363" t="s">
        <v>941</v>
      </c>
      <c r="H1094" s="261" t="s">
        <v>267</v>
      </c>
      <c r="I1094" s="261" t="s">
        <v>942</v>
      </c>
      <c r="J1094" s="261" t="s">
        <v>1284</v>
      </c>
      <c r="K1094" s="253"/>
      <c r="L1094" s="253"/>
      <c r="M1094" s="253"/>
      <c r="N1094" s="253"/>
      <c r="O1094" s="253"/>
      <c r="P1094" s="253"/>
      <c r="Q1094" s="253"/>
      <c r="R1094" s="253"/>
      <c r="S1094" s="253"/>
    </row>
    <row r="1095" spans="1:19">
      <c r="A1095" s="261" t="s">
        <v>913</v>
      </c>
      <c r="B1095" s="261" t="s">
        <v>943</v>
      </c>
      <c r="C1095" s="261" t="s">
        <v>267</v>
      </c>
      <c r="D1095" s="261" t="s">
        <v>686</v>
      </c>
      <c r="E1095" s="261"/>
      <c r="F1095" s="261" t="s">
        <v>1288</v>
      </c>
      <c r="G1095" s="363" t="s">
        <v>943</v>
      </c>
      <c r="H1095" s="261" t="s">
        <v>267</v>
      </c>
      <c r="I1095" s="261" t="s">
        <v>944</v>
      </c>
      <c r="J1095" s="261" t="s">
        <v>1284</v>
      </c>
      <c r="K1095" s="253"/>
      <c r="L1095" s="253"/>
      <c r="M1095" s="253"/>
      <c r="N1095" s="253"/>
      <c r="O1095" s="253"/>
      <c r="P1095" s="253"/>
      <c r="Q1095" s="253"/>
      <c r="R1095" s="253"/>
      <c r="S1095" s="253"/>
    </row>
    <row r="1096" spans="1:19">
      <c r="A1096" s="261" t="s">
        <v>913</v>
      </c>
      <c r="B1096" s="261" t="s">
        <v>945</v>
      </c>
      <c r="C1096" s="261" t="s">
        <v>267</v>
      </c>
      <c r="D1096" s="261" t="s">
        <v>686</v>
      </c>
      <c r="E1096" s="261"/>
      <c r="F1096" s="261" t="s">
        <v>1288</v>
      </c>
      <c r="G1096" s="363" t="s">
        <v>945</v>
      </c>
      <c r="H1096" s="261" t="s">
        <v>267</v>
      </c>
      <c r="I1096" s="261" t="s">
        <v>946</v>
      </c>
      <c r="J1096" s="261" t="s">
        <v>1284</v>
      </c>
      <c r="K1096" s="253"/>
      <c r="L1096" s="253"/>
      <c r="M1096" s="253"/>
      <c r="N1096" s="253"/>
      <c r="O1096" s="253"/>
      <c r="P1096" s="253"/>
      <c r="Q1096" s="253"/>
      <c r="R1096" s="253"/>
      <c r="S1096" s="253"/>
    </row>
    <row r="1097" spans="1:19">
      <c r="A1097" s="261" t="s">
        <v>913</v>
      </c>
      <c r="B1097" s="261" t="s">
        <v>947</v>
      </c>
      <c r="C1097" s="261" t="s">
        <v>267</v>
      </c>
      <c r="D1097" s="261" t="s">
        <v>686</v>
      </c>
      <c r="E1097" s="261"/>
      <c r="F1097" s="261" t="s">
        <v>1288</v>
      </c>
      <c r="G1097" s="363" t="s">
        <v>947</v>
      </c>
      <c r="H1097" s="261" t="s">
        <v>267</v>
      </c>
      <c r="I1097" s="261" t="s">
        <v>948</v>
      </c>
      <c r="J1097" s="261" t="s">
        <v>1284</v>
      </c>
      <c r="K1097" s="253"/>
      <c r="L1097" s="253"/>
      <c r="M1097" s="253"/>
      <c r="N1097" s="253"/>
      <c r="O1097" s="253"/>
      <c r="P1097" s="253"/>
      <c r="Q1097" s="253"/>
      <c r="R1097" s="253"/>
      <c r="S1097" s="253"/>
    </row>
    <row r="1098" spans="1:19">
      <c r="A1098" s="261" t="s">
        <v>913</v>
      </c>
      <c r="B1098" s="261" t="s">
        <v>949</v>
      </c>
      <c r="C1098" s="261" t="s">
        <v>267</v>
      </c>
      <c r="D1098" s="261" t="s">
        <v>686</v>
      </c>
      <c r="E1098" s="261"/>
      <c r="F1098" s="261" t="s">
        <v>1288</v>
      </c>
      <c r="G1098" s="363" t="s">
        <v>949</v>
      </c>
      <c r="H1098" s="261" t="s">
        <v>267</v>
      </c>
      <c r="I1098" s="261" t="s">
        <v>950</v>
      </c>
      <c r="J1098" s="261" t="s">
        <v>1284</v>
      </c>
      <c r="K1098" s="253"/>
      <c r="L1098" s="253"/>
      <c r="M1098" s="253"/>
      <c r="N1098" s="253"/>
      <c r="O1098" s="253"/>
      <c r="P1098" s="253"/>
      <c r="Q1098" s="253"/>
      <c r="R1098" s="253"/>
      <c r="S1098" s="253"/>
    </row>
    <row r="1099" spans="1:19">
      <c r="A1099" s="261" t="s">
        <v>913</v>
      </c>
      <c r="B1099" s="261" t="s">
        <v>951</v>
      </c>
      <c r="C1099" s="261" t="s">
        <v>267</v>
      </c>
      <c r="D1099" s="261" t="s">
        <v>686</v>
      </c>
      <c r="E1099" s="261"/>
      <c r="F1099" s="261" t="s">
        <v>1288</v>
      </c>
      <c r="G1099" s="363" t="s">
        <v>951</v>
      </c>
      <c r="H1099" s="261" t="s">
        <v>267</v>
      </c>
      <c r="I1099" s="261" t="s">
        <v>952</v>
      </c>
      <c r="J1099" s="261" t="s">
        <v>1284</v>
      </c>
      <c r="K1099" s="253"/>
      <c r="L1099" s="253"/>
      <c r="M1099" s="253"/>
      <c r="N1099" s="253"/>
      <c r="O1099" s="253"/>
      <c r="P1099" s="253"/>
      <c r="Q1099" s="253"/>
      <c r="R1099" s="253"/>
      <c r="S1099" s="253"/>
    </row>
    <row r="1100" spans="1:19">
      <c r="A1100" s="261" t="s">
        <v>913</v>
      </c>
      <c r="B1100" s="261" t="s">
        <v>953</v>
      </c>
      <c r="C1100" s="261" t="s">
        <v>267</v>
      </c>
      <c r="D1100" s="261" t="s">
        <v>686</v>
      </c>
      <c r="E1100" s="261"/>
      <c r="F1100" s="261" t="s">
        <v>1288</v>
      </c>
      <c r="G1100" s="363" t="s">
        <v>953</v>
      </c>
      <c r="H1100" s="261" t="s">
        <v>267</v>
      </c>
      <c r="I1100" s="261" t="s">
        <v>954</v>
      </c>
      <c r="J1100" s="261" t="s">
        <v>1284</v>
      </c>
      <c r="K1100" s="253"/>
      <c r="L1100" s="253"/>
      <c r="M1100" s="253"/>
      <c r="N1100" s="253"/>
      <c r="O1100" s="253"/>
      <c r="P1100" s="253"/>
      <c r="Q1100" s="253"/>
      <c r="R1100" s="253"/>
      <c r="S1100" s="253"/>
    </row>
    <row r="1101" spans="1:19">
      <c r="A1101" s="261" t="s">
        <v>913</v>
      </c>
      <c r="B1101" s="261" t="s">
        <v>955</v>
      </c>
      <c r="C1101" s="261" t="s">
        <v>267</v>
      </c>
      <c r="D1101" s="261" t="s">
        <v>686</v>
      </c>
      <c r="E1101" s="261"/>
      <c r="F1101" s="261" t="s">
        <v>1288</v>
      </c>
      <c r="G1101" s="363" t="s">
        <v>955</v>
      </c>
      <c r="H1101" s="261" t="s">
        <v>267</v>
      </c>
      <c r="I1101" s="261" t="s">
        <v>956</v>
      </c>
      <c r="J1101" s="261" t="s">
        <v>1284</v>
      </c>
      <c r="K1101" s="253"/>
      <c r="L1101" s="253"/>
      <c r="M1101" s="253"/>
      <c r="N1101" s="253"/>
      <c r="O1101" s="253"/>
      <c r="P1101" s="253"/>
      <c r="Q1101" s="253"/>
      <c r="R1101" s="253"/>
      <c r="S1101" s="253"/>
    </row>
    <row r="1102" spans="1:19">
      <c r="A1102" s="261" t="s">
        <v>913</v>
      </c>
      <c r="B1102" s="261" t="s">
        <v>957</v>
      </c>
      <c r="C1102" s="261" t="s">
        <v>267</v>
      </c>
      <c r="D1102" s="261" t="s">
        <v>686</v>
      </c>
      <c r="E1102" s="261"/>
      <c r="F1102" s="261" t="s">
        <v>1288</v>
      </c>
      <c r="G1102" s="363" t="s">
        <v>957</v>
      </c>
      <c r="H1102" s="261" t="s">
        <v>267</v>
      </c>
      <c r="I1102" s="261" t="s">
        <v>958</v>
      </c>
      <c r="J1102" s="261" t="s">
        <v>1284</v>
      </c>
      <c r="K1102" s="253"/>
      <c r="L1102" s="253"/>
      <c r="M1102" s="253"/>
      <c r="N1102" s="253"/>
      <c r="O1102" s="253"/>
      <c r="P1102" s="253"/>
      <c r="Q1102" s="253"/>
      <c r="R1102" s="253"/>
      <c r="S1102" s="253"/>
    </row>
    <row r="1103" spans="1:19">
      <c r="A1103" s="261" t="s">
        <v>913</v>
      </c>
      <c r="B1103" s="261" t="s">
        <v>959</v>
      </c>
      <c r="C1103" s="261" t="s">
        <v>267</v>
      </c>
      <c r="D1103" s="261" t="s">
        <v>686</v>
      </c>
      <c r="E1103" s="261"/>
      <c r="F1103" s="261" t="s">
        <v>1288</v>
      </c>
      <c r="G1103" s="363" t="s">
        <v>959</v>
      </c>
      <c r="H1103" s="261" t="s">
        <v>267</v>
      </c>
      <c r="I1103" s="261" t="s">
        <v>960</v>
      </c>
      <c r="J1103" s="261" t="s">
        <v>1284</v>
      </c>
      <c r="K1103" s="253"/>
      <c r="L1103" s="253"/>
      <c r="M1103" s="253"/>
      <c r="N1103" s="253"/>
      <c r="O1103" s="253"/>
      <c r="P1103" s="253"/>
      <c r="Q1103" s="253"/>
      <c r="R1103" s="253"/>
      <c r="S1103" s="253"/>
    </row>
    <row r="1104" spans="1:19">
      <c r="A1104" s="261" t="s">
        <v>913</v>
      </c>
      <c r="B1104" s="261" t="s">
        <v>961</v>
      </c>
      <c r="C1104" s="261" t="s">
        <v>267</v>
      </c>
      <c r="D1104" s="261" t="s">
        <v>686</v>
      </c>
      <c r="E1104" s="261"/>
      <c r="F1104" s="261" t="s">
        <v>1288</v>
      </c>
      <c r="G1104" s="363" t="s">
        <v>961</v>
      </c>
      <c r="H1104" s="261" t="s">
        <v>267</v>
      </c>
      <c r="I1104" s="261" t="s">
        <v>962</v>
      </c>
      <c r="J1104" s="261" t="s">
        <v>1284</v>
      </c>
      <c r="K1104" s="253"/>
      <c r="L1104" s="253"/>
      <c r="M1104" s="253"/>
      <c r="N1104" s="253"/>
      <c r="O1104" s="253"/>
      <c r="P1104" s="253"/>
      <c r="Q1104" s="253"/>
      <c r="R1104" s="253"/>
      <c r="S1104" s="253"/>
    </row>
    <row r="1105" spans="1:19">
      <c r="A1105" s="261" t="s">
        <v>913</v>
      </c>
      <c r="B1105" s="261" t="s">
        <v>963</v>
      </c>
      <c r="C1105" s="261" t="s">
        <v>267</v>
      </c>
      <c r="D1105" s="261" t="s">
        <v>686</v>
      </c>
      <c r="E1105" s="261"/>
      <c r="F1105" s="261" t="s">
        <v>1288</v>
      </c>
      <c r="G1105" s="363" t="s">
        <v>963</v>
      </c>
      <c r="H1105" s="261" t="s">
        <v>267</v>
      </c>
      <c r="I1105" s="261" t="s">
        <v>964</v>
      </c>
      <c r="J1105" s="261" t="s">
        <v>1284</v>
      </c>
      <c r="K1105" s="253"/>
      <c r="L1105" s="253"/>
      <c r="M1105" s="253"/>
      <c r="N1105" s="253"/>
      <c r="O1105" s="253"/>
      <c r="P1105" s="253"/>
      <c r="Q1105" s="253"/>
      <c r="R1105" s="253"/>
      <c r="S1105" s="253"/>
    </row>
    <row r="1106" spans="1:19">
      <c r="A1106" s="261" t="s">
        <v>913</v>
      </c>
      <c r="B1106" s="261" t="s">
        <v>965</v>
      </c>
      <c r="C1106" s="261" t="s">
        <v>267</v>
      </c>
      <c r="D1106" s="261" t="s">
        <v>686</v>
      </c>
      <c r="E1106" s="261"/>
      <c r="F1106" s="261" t="s">
        <v>1288</v>
      </c>
      <c r="G1106" s="363" t="s">
        <v>965</v>
      </c>
      <c r="H1106" s="261" t="s">
        <v>267</v>
      </c>
      <c r="I1106" s="261" t="s">
        <v>966</v>
      </c>
      <c r="J1106" s="261" t="s">
        <v>1284</v>
      </c>
      <c r="K1106" s="253"/>
      <c r="L1106" s="253"/>
      <c r="M1106" s="253"/>
      <c r="N1106" s="253"/>
      <c r="O1106" s="253"/>
      <c r="P1106" s="253"/>
      <c r="Q1106" s="253"/>
      <c r="R1106" s="253"/>
      <c r="S1106" s="253"/>
    </row>
    <row r="1107" spans="1:19">
      <c r="A1107" s="261" t="s">
        <v>913</v>
      </c>
      <c r="B1107" s="261" t="s">
        <v>967</v>
      </c>
      <c r="C1107" s="261" t="s">
        <v>267</v>
      </c>
      <c r="D1107" s="261" t="s">
        <v>686</v>
      </c>
      <c r="E1107" s="261"/>
      <c r="F1107" s="261" t="s">
        <v>1288</v>
      </c>
      <c r="G1107" s="363" t="s">
        <v>967</v>
      </c>
      <c r="H1107" s="261" t="s">
        <v>267</v>
      </c>
      <c r="I1107" s="261" t="s">
        <v>968</v>
      </c>
      <c r="J1107" s="261" t="s">
        <v>1284</v>
      </c>
      <c r="K1107" s="253"/>
      <c r="L1107" s="253"/>
      <c r="M1107" s="253"/>
      <c r="N1107" s="253"/>
      <c r="O1107" s="253"/>
      <c r="P1107" s="253"/>
      <c r="Q1107" s="253"/>
      <c r="R1107" s="253"/>
      <c r="S1107" s="253"/>
    </row>
    <row r="1108" spans="1:19">
      <c r="A1108" s="261" t="s">
        <v>913</v>
      </c>
      <c r="B1108" s="261" t="s">
        <v>969</v>
      </c>
      <c r="C1108" s="261" t="s">
        <v>267</v>
      </c>
      <c r="D1108" s="261" t="s">
        <v>686</v>
      </c>
      <c r="E1108" s="261"/>
      <c r="F1108" s="261" t="s">
        <v>1288</v>
      </c>
      <c r="G1108" s="363" t="s">
        <v>969</v>
      </c>
      <c r="H1108" s="261" t="s">
        <v>267</v>
      </c>
      <c r="I1108" s="261" t="s">
        <v>970</v>
      </c>
      <c r="J1108" s="261" t="s">
        <v>1284</v>
      </c>
      <c r="K1108" s="253"/>
      <c r="L1108" s="253"/>
      <c r="M1108" s="253"/>
      <c r="N1108" s="253"/>
      <c r="O1108" s="253"/>
      <c r="P1108" s="253"/>
      <c r="Q1108" s="253"/>
      <c r="R1108" s="253"/>
      <c r="S1108" s="253"/>
    </row>
    <row r="1109" spans="1:19">
      <c r="A1109" s="261" t="s">
        <v>913</v>
      </c>
      <c r="B1109" s="261" t="s">
        <v>971</v>
      </c>
      <c r="C1109" s="261" t="s">
        <v>267</v>
      </c>
      <c r="D1109" s="261" t="s">
        <v>686</v>
      </c>
      <c r="E1109" s="261"/>
      <c r="F1109" s="261" t="s">
        <v>1288</v>
      </c>
      <c r="G1109" s="363" t="s">
        <v>971</v>
      </c>
      <c r="H1109" s="261" t="s">
        <v>267</v>
      </c>
      <c r="I1109" s="261" t="s">
        <v>972</v>
      </c>
      <c r="J1109" s="261" t="s">
        <v>1284</v>
      </c>
      <c r="K1109" s="253"/>
      <c r="L1109" s="253"/>
      <c r="M1109" s="253"/>
      <c r="N1109" s="253"/>
      <c r="O1109" s="253"/>
      <c r="P1109" s="253"/>
      <c r="Q1109" s="253"/>
      <c r="R1109" s="253"/>
      <c r="S1109" s="253"/>
    </row>
    <row r="1110" spans="1:19">
      <c r="A1110" s="261" t="s">
        <v>913</v>
      </c>
      <c r="B1110" s="261" t="s">
        <v>973</v>
      </c>
      <c r="C1110" s="261" t="s">
        <v>267</v>
      </c>
      <c r="D1110" s="261" t="s">
        <v>686</v>
      </c>
      <c r="E1110" s="261"/>
      <c r="F1110" s="261" t="s">
        <v>1288</v>
      </c>
      <c r="G1110" s="363" t="s">
        <v>973</v>
      </c>
      <c r="H1110" s="261" t="s">
        <v>267</v>
      </c>
      <c r="I1110" s="261" t="s">
        <v>974</v>
      </c>
      <c r="J1110" s="261" t="s">
        <v>1284</v>
      </c>
      <c r="K1110" s="253"/>
      <c r="L1110" s="253"/>
      <c r="M1110" s="253"/>
      <c r="N1110" s="253"/>
      <c r="O1110" s="253"/>
      <c r="P1110" s="253"/>
      <c r="Q1110" s="253"/>
      <c r="R1110" s="253"/>
      <c r="S1110" s="253"/>
    </row>
    <row r="1111" spans="1:19">
      <c r="A1111" s="261" t="s">
        <v>913</v>
      </c>
      <c r="B1111" s="261" t="s">
        <v>975</v>
      </c>
      <c r="C1111" s="261" t="s">
        <v>267</v>
      </c>
      <c r="D1111" s="261" t="s">
        <v>686</v>
      </c>
      <c r="E1111" s="261"/>
      <c r="F1111" s="261" t="s">
        <v>1288</v>
      </c>
      <c r="G1111" s="363" t="s">
        <v>975</v>
      </c>
      <c r="H1111" s="261" t="s">
        <v>267</v>
      </c>
      <c r="I1111" s="261" t="s">
        <v>976</v>
      </c>
      <c r="J1111" s="261" t="s">
        <v>1284</v>
      </c>
      <c r="K1111" s="253"/>
      <c r="L1111" s="253"/>
      <c r="M1111" s="253"/>
      <c r="N1111" s="253"/>
      <c r="O1111" s="253"/>
      <c r="P1111" s="253"/>
      <c r="Q1111" s="253"/>
      <c r="R1111" s="253"/>
      <c r="S1111" s="253"/>
    </row>
    <row r="1112" spans="1:19">
      <c r="A1112" s="261" t="s">
        <v>913</v>
      </c>
      <c r="B1112" s="261" t="s">
        <v>977</v>
      </c>
      <c r="C1112" s="261" t="s">
        <v>267</v>
      </c>
      <c r="D1112" s="261" t="s">
        <v>686</v>
      </c>
      <c r="E1112" s="261"/>
      <c r="F1112" s="261" t="s">
        <v>1288</v>
      </c>
      <c r="G1112" s="363" t="s">
        <v>977</v>
      </c>
      <c r="H1112" s="261" t="s">
        <v>267</v>
      </c>
      <c r="I1112" s="261" t="s">
        <v>978</v>
      </c>
      <c r="J1112" s="261" t="s">
        <v>1284</v>
      </c>
      <c r="K1112" s="253"/>
      <c r="L1112" s="253"/>
      <c r="M1112" s="253"/>
      <c r="N1112" s="253"/>
      <c r="O1112" s="253"/>
      <c r="P1112" s="253"/>
      <c r="Q1112" s="253"/>
      <c r="R1112" s="253"/>
      <c r="S1112" s="253"/>
    </row>
    <row r="1113" spans="1:19">
      <c r="A1113" s="261" t="s">
        <v>913</v>
      </c>
      <c r="B1113" s="261" t="s">
        <v>979</v>
      </c>
      <c r="C1113" s="261" t="s">
        <v>267</v>
      </c>
      <c r="D1113" s="261" t="s">
        <v>686</v>
      </c>
      <c r="E1113" s="261"/>
      <c r="F1113" s="261" t="s">
        <v>1288</v>
      </c>
      <c r="G1113" s="363" t="s">
        <v>979</v>
      </c>
      <c r="H1113" s="261" t="s">
        <v>267</v>
      </c>
      <c r="I1113" s="261" t="s">
        <v>980</v>
      </c>
      <c r="J1113" s="261" t="s">
        <v>1284</v>
      </c>
      <c r="K1113" s="253"/>
      <c r="L1113" s="253"/>
      <c r="M1113" s="253"/>
      <c r="N1113" s="253"/>
      <c r="O1113" s="253"/>
      <c r="P1113" s="253"/>
      <c r="Q1113" s="253"/>
      <c r="R1113" s="253"/>
      <c r="S1113" s="253"/>
    </row>
    <row r="1114" spans="1:19">
      <c r="A1114" s="261" t="s">
        <v>913</v>
      </c>
      <c r="B1114" s="261" t="s">
        <v>981</v>
      </c>
      <c r="C1114" s="261" t="s">
        <v>267</v>
      </c>
      <c r="D1114" s="261" t="s">
        <v>686</v>
      </c>
      <c r="E1114" s="261"/>
      <c r="F1114" s="261" t="s">
        <v>1288</v>
      </c>
      <c r="G1114" s="363" t="s">
        <v>981</v>
      </c>
      <c r="H1114" s="261" t="s">
        <v>267</v>
      </c>
      <c r="I1114" s="261" t="s">
        <v>982</v>
      </c>
      <c r="J1114" s="261" t="s">
        <v>1284</v>
      </c>
      <c r="K1114" s="253"/>
      <c r="L1114" s="253"/>
      <c r="M1114" s="253"/>
      <c r="N1114" s="253"/>
      <c r="O1114" s="253"/>
      <c r="P1114" s="253"/>
      <c r="Q1114" s="253"/>
      <c r="R1114" s="253"/>
      <c r="S1114" s="253"/>
    </row>
    <row r="1115" spans="1:19">
      <c r="A1115" s="261" t="s">
        <v>913</v>
      </c>
      <c r="B1115" s="261" t="s">
        <v>983</v>
      </c>
      <c r="C1115" s="261" t="s">
        <v>267</v>
      </c>
      <c r="D1115" s="261" t="s">
        <v>686</v>
      </c>
      <c r="E1115" s="261"/>
      <c r="F1115" s="261" t="s">
        <v>1288</v>
      </c>
      <c r="G1115" s="363" t="s">
        <v>983</v>
      </c>
      <c r="H1115" s="261" t="s">
        <v>267</v>
      </c>
      <c r="I1115" s="261" t="s">
        <v>984</v>
      </c>
      <c r="J1115" s="261" t="s">
        <v>1284</v>
      </c>
      <c r="K1115" s="253"/>
      <c r="L1115" s="253"/>
      <c r="M1115" s="253"/>
      <c r="N1115" s="253"/>
      <c r="O1115" s="253"/>
      <c r="P1115" s="253"/>
      <c r="Q1115" s="253"/>
      <c r="R1115" s="253"/>
      <c r="S1115" s="253"/>
    </row>
    <row r="1116" spans="1:19">
      <c r="A1116" s="261" t="s">
        <v>913</v>
      </c>
      <c r="B1116" s="261" t="s">
        <v>985</v>
      </c>
      <c r="C1116" s="261" t="s">
        <v>267</v>
      </c>
      <c r="D1116" s="261" t="s">
        <v>686</v>
      </c>
      <c r="E1116" s="261"/>
      <c r="F1116" s="261" t="s">
        <v>1288</v>
      </c>
      <c r="G1116" s="363" t="s">
        <v>985</v>
      </c>
      <c r="H1116" s="261" t="s">
        <v>267</v>
      </c>
      <c r="I1116" s="261" t="s">
        <v>986</v>
      </c>
      <c r="J1116" s="261" t="s">
        <v>1284</v>
      </c>
      <c r="K1116" s="253"/>
      <c r="L1116" s="253"/>
      <c r="M1116" s="253"/>
      <c r="N1116" s="253"/>
      <c r="O1116" s="253"/>
      <c r="P1116" s="253"/>
      <c r="Q1116" s="253"/>
      <c r="R1116" s="253"/>
      <c r="S1116" s="253"/>
    </row>
    <row r="1117" spans="1:19">
      <c r="A1117" s="261" t="s">
        <v>913</v>
      </c>
      <c r="B1117" s="261" t="s">
        <v>987</v>
      </c>
      <c r="C1117" s="261" t="s">
        <v>267</v>
      </c>
      <c r="D1117" s="261" t="s">
        <v>686</v>
      </c>
      <c r="E1117" s="261"/>
      <c r="F1117" s="261" t="s">
        <v>1288</v>
      </c>
      <c r="G1117" s="363" t="s">
        <v>987</v>
      </c>
      <c r="H1117" s="261" t="s">
        <v>267</v>
      </c>
      <c r="I1117" s="261" t="s">
        <v>988</v>
      </c>
      <c r="J1117" s="261" t="s">
        <v>1284</v>
      </c>
      <c r="K1117" s="253"/>
      <c r="L1117" s="253"/>
      <c r="M1117" s="253"/>
      <c r="N1117" s="253"/>
      <c r="O1117" s="253"/>
      <c r="P1117" s="253"/>
      <c r="Q1117" s="253"/>
      <c r="R1117" s="253"/>
      <c r="S1117" s="253"/>
    </row>
    <row r="1118" spans="1:19">
      <c r="A1118" s="261" t="s">
        <v>913</v>
      </c>
      <c r="B1118" s="261" t="s">
        <v>989</v>
      </c>
      <c r="C1118" s="261" t="s">
        <v>267</v>
      </c>
      <c r="D1118" s="261" t="s">
        <v>686</v>
      </c>
      <c r="E1118" s="261"/>
      <c r="F1118" s="261" t="s">
        <v>1288</v>
      </c>
      <c r="G1118" s="363" t="s">
        <v>989</v>
      </c>
      <c r="H1118" s="261" t="s">
        <v>267</v>
      </c>
      <c r="I1118" s="261" t="s">
        <v>990</v>
      </c>
      <c r="J1118" s="261" t="s">
        <v>1284</v>
      </c>
      <c r="K1118" s="253"/>
      <c r="L1118" s="253"/>
      <c r="M1118" s="253"/>
      <c r="N1118" s="253"/>
      <c r="O1118" s="253"/>
      <c r="P1118" s="253"/>
      <c r="Q1118" s="253"/>
      <c r="R1118" s="253"/>
      <c r="S1118" s="253"/>
    </row>
    <row r="1119" spans="1:19">
      <c r="A1119" s="261" t="s">
        <v>913</v>
      </c>
      <c r="B1119" s="261" t="s">
        <v>991</v>
      </c>
      <c r="C1119" s="261" t="s">
        <v>267</v>
      </c>
      <c r="D1119" s="261" t="s">
        <v>686</v>
      </c>
      <c r="E1119" s="261"/>
      <c r="F1119" s="261" t="s">
        <v>1288</v>
      </c>
      <c r="G1119" s="363" t="s">
        <v>991</v>
      </c>
      <c r="H1119" s="261" t="s">
        <v>267</v>
      </c>
      <c r="I1119" s="261" t="s">
        <v>992</v>
      </c>
      <c r="J1119" s="261" t="s">
        <v>1284</v>
      </c>
      <c r="K1119" s="253"/>
      <c r="L1119" s="253"/>
      <c r="M1119" s="253"/>
      <c r="N1119" s="253"/>
      <c r="O1119" s="253"/>
      <c r="P1119" s="253"/>
      <c r="Q1119" s="253"/>
      <c r="R1119" s="253"/>
      <c r="S1119" s="253"/>
    </row>
    <row r="1120" spans="1:19">
      <c r="A1120" s="261" t="s">
        <v>913</v>
      </c>
      <c r="B1120" s="261" t="s">
        <v>993</v>
      </c>
      <c r="C1120" s="261" t="s">
        <v>267</v>
      </c>
      <c r="D1120" s="261" t="s">
        <v>686</v>
      </c>
      <c r="E1120" s="261"/>
      <c r="F1120" s="261" t="s">
        <v>1288</v>
      </c>
      <c r="G1120" s="363" t="s">
        <v>993</v>
      </c>
      <c r="H1120" s="261" t="s">
        <v>267</v>
      </c>
      <c r="I1120" s="261" t="s">
        <v>994</v>
      </c>
      <c r="J1120" s="261" t="s">
        <v>1284</v>
      </c>
      <c r="K1120" s="253"/>
      <c r="L1120" s="253"/>
      <c r="M1120" s="253"/>
      <c r="N1120" s="253"/>
      <c r="O1120" s="253"/>
      <c r="P1120" s="253"/>
      <c r="Q1120" s="253"/>
      <c r="R1120" s="253"/>
      <c r="S1120" s="253"/>
    </row>
    <row r="1121" spans="1:19">
      <c r="A1121" s="261" t="s">
        <v>913</v>
      </c>
      <c r="B1121" s="261" t="s">
        <v>995</v>
      </c>
      <c r="C1121" s="261" t="s">
        <v>267</v>
      </c>
      <c r="D1121" s="261" t="s">
        <v>686</v>
      </c>
      <c r="E1121" s="261"/>
      <c r="F1121" s="261" t="s">
        <v>1288</v>
      </c>
      <c r="G1121" s="363" t="s">
        <v>995</v>
      </c>
      <c r="H1121" s="261" t="s">
        <v>267</v>
      </c>
      <c r="I1121" s="261" t="s">
        <v>996</v>
      </c>
      <c r="J1121" s="261" t="s">
        <v>1284</v>
      </c>
      <c r="K1121" s="253"/>
      <c r="L1121" s="253"/>
      <c r="M1121" s="253"/>
      <c r="N1121" s="253"/>
      <c r="O1121" s="253"/>
      <c r="P1121" s="253"/>
      <c r="Q1121" s="253"/>
      <c r="R1121" s="253"/>
      <c r="S1121" s="253"/>
    </row>
    <row r="1122" spans="1:19">
      <c r="A1122" s="261" t="s">
        <v>913</v>
      </c>
      <c r="B1122" s="261" t="s">
        <v>997</v>
      </c>
      <c r="C1122" s="261" t="s">
        <v>267</v>
      </c>
      <c r="D1122" s="261" t="s">
        <v>686</v>
      </c>
      <c r="E1122" s="261"/>
      <c r="F1122" s="261" t="s">
        <v>1288</v>
      </c>
      <c r="G1122" s="363" t="s">
        <v>997</v>
      </c>
      <c r="H1122" s="261" t="s">
        <v>267</v>
      </c>
      <c r="I1122" s="261" t="s">
        <v>998</v>
      </c>
      <c r="J1122" s="261" t="s">
        <v>1284</v>
      </c>
      <c r="K1122" s="253"/>
      <c r="L1122" s="253"/>
      <c r="M1122" s="253"/>
      <c r="N1122" s="253"/>
      <c r="O1122" s="253"/>
      <c r="P1122" s="253"/>
      <c r="Q1122" s="253"/>
      <c r="R1122" s="253"/>
      <c r="S1122" s="253"/>
    </row>
    <row r="1123" spans="1:19">
      <c r="A1123" s="261" t="s">
        <v>913</v>
      </c>
      <c r="B1123" s="261" t="s">
        <v>999</v>
      </c>
      <c r="C1123" s="261" t="s">
        <v>267</v>
      </c>
      <c r="D1123" s="261" t="s">
        <v>686</v>
      </c>
      <c r="E1123" s="261"/>
      <c r="F1123" s="261" t="s">
        <v>1288</v>
      </c>
      <c r="G1123" s="363" t="s">
        <v>999</v>
      </c>
      <c r="H1123" s="261" t="s">
        <v>267</v>
      </c>
      <c r="I1123" s="261" t="s">
        <v>1000</v>
      </c>
      <c r="J1123" s="261" t="s">
        <v>1284</v>
      </c>
      <c r="K1123" s="253"/>
      <c r="L1123" s="253"/>
      <c r="M1123" s="253"/>
      <c r="N1123" s="253"/>
      <c r="O1123" s="253"/>
      <c r="P1123" s="253"/>
      <c r="Q1123" s="253"/>
      <c r="R1123" s="253"/>
      <c r="S1123" s="253"/>
    </row>
    <row r="1124" spans="1:19">
      <c r="A1124" s="261" t="s">
        <v>913</v>
      </c>
      <c r="B1124" s="261" t="s">
        <v>1001</v>
      </c>
      <c r="C1124" s="261" t="s">
        <v>267</v>
      </c>
      <c r="D1124" s="261" t="s">
        <v>686</v>
      </c>
      <c r="E1124" s="261"/>
      <c r="F1124" s="261" t="s">
        <v>1288</v>
      </c>
      <c r="G1124" s="363" t="s">
        <v>1001</v>
      </c>
      <c r="H1124" s="261" t="s">
        <v>267</v>
      </c>
      <c r="I1124" s="261" t="s">
        <v>1002</v>
      </c>
      <c r="J1124" s="261" t="s">
        <v>1284</v>
      </c>
      <c r="K1124" s="253"/>
      <c r="L1124" s="253"/>
      <c r="M1124" s="253"/>
      <c r="N1124" s="253"/>
      <c r="O1124" s="253"/>
      <c r="P1124" s="253"/>
      <c r="Q1124" s="253"/>
      <c r="R1124" s="253"/>
      <c r="S1124" s="253"/>
    </row>
    <row r="1125" spans="1:19">
      <c r="A1125" s="261" t="s">
        <v>913</v>
      </c>
      <c r="B1125" s="261" t="s">
        <v>1003</v>
      </c>
      <c r="C1125" s="261" t="s">
        <v>267</v>
      </c>
      <c r="D1125" s="261" t="s">
        <v>686</v>
      </c>
      <c r="E1125" s="261"/>
      <c r="F1125" s="261" t="s">
        <v>1288</v>
      </c>
      <c r="G1125" s="363" t="s">
        <v>1003</v>
      </c>
      <c r="H1125" s="261" t="s">
        <v>267</v>
      </c>
      <c r="I1125" s="261" t="s">
        <v>1004</v>
      </c>
      <c r="J1125" s="261" t="s">
        <v>1284</v>
      </c>
      <c r="K1125" s="253"/>
      <c r="L1125" s="253"/>
      <c r="M1125" s="253"/>
      <c r="N1125" s="253"/>
      <c r="O1125" s="253"/>
      <c r="P1125" s="253"/>
      <c r="Q1125" s="253"/>
      <c r="R1125" s="253"/>
      <c r="S1125" s="253"/>
    </row>
    <row r="1126" spans="1:19">
      <c r="A1126" s="261" t="s">
        <v>913</v>
      </c>
      <c r="B1126" s="261" t="s">
        <v>1005</v>
      </c>
      <c r="C1126" s="261" t="s">
        <v>267</v>
      </c>
      <c r="D1126" s="261" t="s">
        <v>686</v>
      </c>
      <c r="E1126" s="261"/>
      <c r="F1126" s="261" t="s">
        <v>1288</v>
      </c>
      <c r="G1126" s="363" t="s">
        <v>1005</v>
      </c>
      <c r="H1126" s="261" t="s">
        <v>267</v>
      </c>
      <c r="I1126" s="261" t="s">
        <v>1006</v>
      </c>
      <c r="J1126" s="261" t="s">
        <v>1284</v>
      </c>
      <c r="K1126" s="253"/>
      <c r="L1126" s="253"/>
      <c r="M1126" s="253"/>
      <c r="N1126" s="253"/>
      <c r="O1126" s="253"/>
      <c r="P1126" s="253"/>
      <c r="Q1126" s="253"/>
      <c r="R1126" s="253"/>
      <c r="S1126" s="253"/>
    </row>
    <row r="1127" spans="1:19">
      <c r="A1127" s="261" t="s">
        <v>913</v>
      </c>
      <c r="B1127" s="261" t="s">
        <v>1007</v>
      </c>
      <c r="C1127" s="261" t="s">
        <v>267</v>
      </c>
      <c r="D1127" s="261" t="s">
        <v>686</v>
      </c>
      <c r="E1127" s="261"/>
      <c r="F1127" s="261" t="s">
        <v>1288</v>
      </c>
      <c r="G1127" s="363" t="s">
        <v>1007</v>
      </c>
      <c r="H1127" s="261" t="s">
        <v>267</v>
      </c>
      <c r="I1127" s="261" t="s">
        <v>1008</v>
      </c>
      <c r="J1127" s="261" t="s">
        <v>1284</v>
      </c>
      <c r="K1127" s="253"/>
      <c r="L1127" s="253"/>
      <c r="M1127" s="253"/>
      <c r="N1127" s="253"/>
      <c r="O1127" s="253"/>
      <c r="P1127" s="253"/>
      <c r="Q1127" s="253"/>
      <c r="R1127" s="253"/>
      <c r="S1127" s="253"/>
    </row>
    <row r="1128" spans="1:19">
      <c r="A1128" s="261" t="s">
        <v>913</v>
      </c>
      <c r="B1128" s="261" t="s">
        <v>1009</v>
      </c>
      <c r="C1128" s="261" t="s">
        <v>267</v>
      </c>
      <c r="D1128" s="261" t="s">
        <v>686</v>
      </c>
      <c r="E1128" s="261"/>
      <c r="F1128" s="261" t="s">
        <v>1288</v>
      </c>
      <c r="G1128" s="363" t="s">
        <v>1009</v>
      </c>
      <c r="H1128" s="261" t="s">
        <v>267</v>
      </c>
      <c r="I1128" s="261" t="s">
        <v>1010</v>
      </c>
      <c r="J1128" s="261" t="s">
        <v>1284</v>
      </c>
      <c r="K1128" s="253"/>
      <c r="L1128" s="253"/>
      <c r="M1128" s="253"/>
      <c r="N1128" s="253"/>
      <c r="O1128" s="253"/>
      <c r="P1128" s="253"/>
      <c r="Q1128" s="253"/>
      <c r="R1128" s="253"/>
      <c r="S1128" s="253"/>
    </row>
    <row r="1129" spans="1:19">
      <c r="A1129" s="261" t="s">
        <v>913</v>
      </c>
      <c r="B1129" s="261" t="s">
        <v>1011</v>
      </c>
      <c r="C1129" s="261" t="s">
        <v>267</v>
      </c>
      <c r="D1129" s="261" t="s">
        <v>686</v>
      </c>
      <c r="E1129" s="261"/>
      <c r="F1129" s="261" t="s">
        <v>1288</v>
      </c>
      <c r="G1129" s="363" t="s">
        <v>1011</v>
      </c>
      <c r="H1129" s="261" t="s">
        <v>267</v>
      </c>
      <c r="I1129" s="261" t="s">
        <v>1012</v>
      </c>
      <c r="J1129" s="261" t="s">
        <v>1284</v>
      </c>
      <c r="K1129" s="253"/>
      <c r="L1129" s="253"/>
      <c r="M1129" s="253"/>
      <c r="N1129" s="253"/>
      <c r="O1129" s="253"/>
      <c r="P1129" s="253"/>
      <c r="Q1129" s="253"/>
      <c r="R1129" s="253"/>
      <c r="S1129" s="253"/>
    </row>
    <row r="1130" spans="1:19">
      <c r="A1130" s="261" t="s">
        <v>913</v>
      </c>
      <c r="B1130" s="261" t="s">
        <v>1013</v>
      </c>
      <c r="C1130" s="261" t="s">
        <v>267</v>
      </c>
      <c r="D1130" s="261" t="s">
        <v>686</v>
      </c>
      <c r="E1130" s="261"/>
      <c r="F1130" s="261" t="s">
        <v>1288</v>
      </c>
      <c r="G1130" s="363" t="s">
        <v>1013</v>
      </c>
      <c r="H1130" s="261" t="s">
        <v>267</v>
      </c>
      <c r="I1130" s="261" t="s">
        <v>1014</v>
      </c>
      <c r="J1130" s="261" t="s">
        <v>1284</v>
      </c>
      <c r="K1130" s="253"/>
      <c r="L1130" s="253"/>
      <c r="M1130" s="253"/>
      <c r="N1130" s="253"/>
      <c r="O1130" s="253"/>
      <c r="P1130" s="253"/>
      <c r="Q1130" s="253"/>
      <c r="R1130" s="253"/>
      <c r="S1130" s="253"/>
    </row>
    <row r="1131" spans="1:19">
      <c r="A1131" s="261" t="s">
        <v>913</v>
      </c>
      <c r="B1131" s="261" t="s">
        <v>1015</v>
      </c>
      <c r="C1131" s="261" t="s">
        <v>267</v>
      </c>
      <c r="D1131" s="261" t="s">
        <v>686</v>
      </c>
      <c r="E1131" s="261"/>
      <c r="F1131" s="261" t="s">
        <v>1288</v>
      </c>
      <c r="G1131" s="363" t="s">
        <v>1015</v>
      </c>
      <c r="H1131" s="261" t="s">
        <v>267</v>
      </c>
      <c r="I1131" s="261" t="s">
        <v>1016</v>
      </c>
      <c r="J1131" s="261" t="s">
        <v>1284</v>
      </c>
      <c r="K1131" s="253"/>
      <c r="L1131" s="253"/>
      <c r="M1131" s="253"/>
      <c r="N1131" s="253"/>
      <c r="O1131" s="253"/>
      <c r="P1131" s="253"/>
      <c r="Q1131" s="253"/>
      <c r="R1131" s="253"/>
      <c r="S1131" s="253"/>
    </row>
    <row r="1132" spans="1:19">
      <c r="A1132" s="261" t="s">
        <v>913</v>
      </c>
      <c r="B1132" s="261" t="s">
        <v>1017</v>
      </c>
      <c r="C1132" s="261" t="s">
        <v>267</v>
      </c>
      <c r="D1132" s="261" t="s">
        <v>686</v>
      </c>
      <c r="E1132" s="261"/>
      <c r="F1132" s="261" t="s">
        <v>1288</v>
      </c>
      <c r="G1132" s="363" t="s">
        <v>1017</v>
      </c>
      <c r="H1132" s="261" t="s">
        <v>267</v>
      </c>
      <c r="I1132" s="261" t="s">
        <v>1018</v>
      </c>
      <c r="J1132" s="261" t="s">
        <v>1284</v>
      </c>
      <c r="K1132" s="253"/>
      <c r="L1132" s="253"/>
      <c r="M1132" s="253"/>
      <c r="N1132" s="253"/>
      <c r="O1132" s="253"/>
      <c r="P1132" s="253"/>
      <c r="Q1132" s="253"/>
      <c r="R1132" s="253"/>
      <c r="S1132" s="253"/>
    </row>
    <row r="1133" spans="1:19">
      <c r="A1133" s="261" t="s">
        <v>913</v>
      </c>
      <c r="B1133" s="261" t="s">
        <v>1019</v>
      </c>
      <c r="C1133" s="261" t="s">
        <v>267</v>
      </c>
      <c r="D1133" s="261" t="s">
        <v>686</v>
      </c>
      <c r="E1133" s="261"/>
      <c r="F1133" s="261" t="s">
        <v>1288</v>
      </c>
      <c r="G1133" s="363" t="s">
        <v>1019</v>
      </c>
      <c r="H1133" s="261" t="s">
        <v>267</v>
      </c>
      <c r="I1133" s="261" t="s">
        <v>1020</v>
      </c>
      <c r="J1133" s="261" t="s">
        <v>1284</v>
      </c>
      <c r="K1133" s="253"/>
      <c r="L1133" s="253"/>
      <c r="M1133" s="253"/>
      <c r="N1133" s="253"/>
      <c r="O1133" s="253"/>
      <c r="P1133" s="253"/>
      <c r="Q1133" s="253"/>
      <c r="R1133" s="253"/>
      <c r="S1133" s="253"/>
    </row>
    <row r="1134" spans="1:19">
      <c r="A1134" s="261" t="s">
        <v>913</v>
      </c>
      <c r="B1134" s="261" t="s">
        <v>1021</v>
      </c>
      <c r="C1134" s="261" t="s">
        <v>267</v>
      </c>
      <c r="D1134" s="261" t="s">
        <v>686</v>
      </c>
      <c r="E1134" s="261"/>
      <c r="F1134" s="261" t="s">
        <v>1288</v>
      </c>
      <c r="G1134" s="363" t="s">
        <v>1021</v>
      </c>
      <c r="H1134" s="261" t="s">
        <v>267</v>
      </c>
      <c r="I1134" s="261" t="s">
        <v>1022</v>
      </c>
      <c r="J1134" s="261" t="s">
        <v>1284</v>
      </c>
      <c r="K1134" s="253"/>
      <c r="L1134" s="253"/>
      <c r="M1134" s="253"/>
      <c r="N1134" s="253"/>
      <c r="O1134" s="253"/>
      <c r="P1134" s="253"/>
      <c r="Q1134" s="253"/>
      <c r="R1134" s="253"/>
      <c r="S1134" s="253"/>
    </row>
    <row r="1135" spans="1:19">
      <c r="A1135" s="261" t="s">
        <v>913</v>
      </c>
      <c r="B1135" s="261" t="s">
        <v>1023</v>
      </c>
      <c r="C1135" s="261" t="s">
        <v>267</v>
      </c>
      <c r="D1135" s="261" t="s">
        <v>686</v>
      </c>
      <c r="E1135" s="261"/>
      <c r="F1135" s="261" t="s">
        <v>1288</v>
      </c>
      <c r="G1135" s="363" t="s">
        <v>1023</v>
      </c>
      <c r="H1135" s="261" t="s">
        <v>267</v>
      </c>
      <c r="I1135" s="261" t="s">
        <v>1024</v>
      </c>
      <c r="J1135" s="261" t="s">
        <v>1284</v>
      </c>
      <c r="K1135" s="253"/>
      <c r="L1135" s="253"/>
      <c r="M1135" s="253"/>
      <c r="N1135" s="253"/>
      <c r="O1135" s="253"/>
      <c r="P1135" s="253"/>
      <c r="Q1135" s="253"/>
      <c r="R1135" s="253"/>
      <c r="S1135" s="253"/>
    </row>
    <row r="1136" spans="1:19">
      <c r="A1136" s="261" t="s">
        <v>913</v>
      </c>
      <c r="B1136" s="261" t="s">
        <v>1025</v>
      </c>
      <c r="C1136" s="261" t="s">
        <v>267</v>
      </c>
      <c r="D1136" s="261" t="s">
        <v>686</v>
      </c>
      <c r="E1136" s="261"/>
      <c r="F1136" s="261" t="s">
        <v>1288</v>
      </c>
      <c r="G1136" s="363" t="s">
        <v>1025</v>
      </c>
      <c r="H1136" s="261" t="s">
        <v>267</v>
      </c>
      <c r="I1136" s="261" t="s">
        <v>1026</v>
      </c>
      <c r="J1136" s="261" t="s">
        <v>1284</v>
      </c>
      <c r="K1136" s="253"/>
      <c r="L1136" s="253"/>
      <c r="M1136" s="253"/>
      <c r="N1136" s="253"/>
      <c r="O1136" s="253"/>
      <c r="P1136" s="253"/>
      <c r="Q1136" s="253"/>
      <c r="R1136" s="253"/>
      <c r="S1136" s="253"/>
    </row>
    <row r="1137" spans="1:19">
      <c r="A1137" s="261" t="s">
        <v>913</v>
      </c>
      <c r="B1137" s="261" t="s">
        <v>1027</v>
      </c>
      <c r="C1137" s="261" t="s">
        <v>267</v>
      </c>
      <c r="D1137" s="261" t="s">
        <v>686</v>
      </c>
      <c r="E1137" s="261"/>
      <c r="F1137" s="261" t="s">
        <v>1288</v>
      </c>
      <c r="G1137" s="363" t="s">
        <v>1027</v>
      </c>
      <c r="H1137" s="261" t="s">
        <v>267</v>
      </c>
      <c r="I1137" s="261" t="s">
        <v>1028</v>
      </c>
      <c r="J1137" s="261" t="s">
        <v>1284</v>
      </c>
      <c r="K1137" s="253"/>
      <c r="L1137" s="253"/>
      <c r="M1137" s="253"/>
      <c r="N1137" s="253"/>
      <c r="O1137" s="253"/>
      <c r="P1137" s="253"/>
      <c r="Q1137" s="253"/>
      <c r="R1137" s="253"/>
      <c r="S1137" s="253"/>
    </row>
    <row r="1138" spans="1:19">
      <c r="A1138" s="261" t="s">
        <v>913</v>
      </c>
      <c r="B1138" s="261" t="s">
        <v>1029</v>
      </c>
      <c r="C1138" s="261" t="s">
        <v>267</v>
      </c>
      <c r="D1138" s="261" t="s">
        <v>686</v>
      </c>
      <c r="E1138" s="261"/>
      <c r="F1138" s="261" t="s">
        <v>1288</v>
      </c>
      <c r="G1138" s="363" t="s">
        <v>1029</v>
      </c>
      <c r="H1138" s="261" t="s">
        <v>267</v>
      </c>
      <c r="I1138" s="261" t="s">
        <v>1030</v>
      </c>
      <c r="J1138" s="261" t="s">
        <v>1284</v>
      </c>
      <c r="K1138" s="253"/>
      <c r="L1138" s="253"/>
      <c r="M1138" s="253"/>
      <c r="N1138" s="253"/>
      <c r="O1138" s="253"/>
      <c r="P1138" s="253"/>
      <c r="Q1138" s="253"/>
      <c r="R1138" s="253"/>
      <c r="S1138" s="253"/>
    </row>
    <row r="1139" spans="1:19">
      <c r="A1139" s="261" t="s">
        <v>913</v>
      </c>
      <c r="B1139" s="261" t="s">
        <v>1031</v>
      </c>
      <c r="C1139" s="261" t="s">
        <v>267</v>
      </c>
      <c r="D1139" s="261" t="s">
        <v>686</v>
      </c>
      <c r="E1139" s="261"/>
      <c r="F1139" s="261" t="s">
        <v>1288</v>
      </c>
      <c r="G1139" s="363" t="s">
        <v>1031</v>
      </c>
      <c r="H1139" s="261" t="s">
        <v>267</v>
      </c>
      <c r="I1139" s="261" t="s">
        <v>1032</v>
      </c>
      <c r="J1139" s="261" t="s">
        <v>1284</v>
      </c>
      <c r="K1139" s="253"/>
      <c r="L1139" s="253"/>
      <c r="M1139" s="253"/>
      <c r="N1139" s="253"/>
      <c r="O1139" s="253"/>
      <c r="P1139" s="253"/>
      <c r="Q1139" s="253"/>
      <c r="R1139" s="253"/>
      <c r="S1139" s="253"/>
    </row>
    <row r="1140" spans="1:19">
      <c r="A1140" s="261" t="s">
        <v>913</v>
      </c>
      <c r="B1140" s="261" t="s">
        <v>1033</v>
      </c>
      <c r="C1140" s="261" t="s">
        <v>267</v>
      </c>
      <c r="D1140" s="261" t="s">
        <v>686</v>
      </c>
      <c r="E1140" s="261"/>
      <c r="F1140" s="261" t="s">
        <v>1288</v>
      </c>
      <c r="G1140" s="363" t="s">
        <v>1033</v>
      </c>
      <c r="H1140" s="261" t="s">
        <v>267</v>
      </c>
      <c r="I1140" s="261" t="s">
        <v>1034</v>
      </c>
      <c r="J1140" s="261" t="s">
        <v>1284</v>
      </c>
      <c r="K1140" s="253"/>
      <c r="L1140" s="253"/>
      <c r="M1140" s="253"/>
      <c r="N1140" s="253"/>
      <c r="O1140" s="253"/>
      <c r="P1140" s="253"/>
      <c r="Q1140" s="253"/>
      <c r="R1140" s="253"/>
      <c r="S1140" s="253"/>
    </row>
    <row r="1141" spans="1:19">
      <c r="A1141" s="261" t="s">
        <v>913</v>
      </c>
      <c r="B1141" s="261" t="s">
        <v>1035</v>
      </c>
      <c r="C1141" s="261" t="s">
        <v>267</v>
      </c>
      <c r="D1141" s="261" t="s">
        <v>686</v>
      </c>
      <c r="E1141" s="261"/>
      <c r="F1141" s="261" t="s">
        <v>1288</v>
      </c>
      <c r="G1141" s="363" t="s">
        <v>1035</v>
      </c>
      <c r="H1141" s="261" t="s">
        <v>267</v>
      </c>
      <c r="I1141" s="261" t="s">
        <v>1036</v>
      </c>
      <c r="J1141" s="261" t="s">
        <v>1284</v>
      </c>
      <c r="K1141" s="253"/>
      <c r="L1141" s="253"/>
      <c r="M1141" s="253"/>
      <c r="N1141" s="253"/>
      <c r="O1141" s="253"/>
      <c r="P1141" s="253"/>
      <c r="Q1141" s="253"/>
      <c r="R1141" s="253"/>
      <c r="S1141" s="253"/>
    </row>
    <row r="1142" spans="1:19">
      <c r="A1142" s="261" t="s">
        <v>913</v>
      </c>
      <c r="B1142" s="261" t="s">
        <v>1037</v>
      </c>
      <c r="C1142" s="261" t="s">
        <v>267</v>
      </c>
      <c r="D1142" s="261" t="s">
        <v>686</v>
      </c>
      <c r="E1142" s="261"/>
      <c r="F1142" s="261" t="s">
        <v>1288</v>
      </c>
      <c r="G1142" s="363" t="s">
        <v>1037</v>
      </c>
      <c r="H1142" s="261" t="s">
        <v>267</v>
      </c>
      <c r="I1142" s="261" t="s">
        <v>1038</v>
      </c>
      <c r="J1142" s="261" t="s">
        <v>1284</v>
      </c>
      <c r="K1142" s="253"/>
      <c r="L1142" s="253"/>
      <c r="M1142" s="253"/>
      <c r="N1142" s="253"/>
      <c r="O1142" s="253"/>
      <c r="P1142" s="253"/>
      <c r="Q1142" s="253"/>
      <c r="R1142" s="253"/>
      <c r="S1142" s="253"/>
    </row>
    <row r="1143" spans="1:19">
      <c r="A1143" s="261" t="s">
        <v>913</v>
      </c>
      <c r="B1143" s="261" t="s">
        <v>1039</v>
      </c>
      <c r="C1143" s="261" t="s">
        <v>267</v>
      </c>
      <c r="D1143" s="261" t="s">
        <v>686</v>
      </c>
      <c r="E1143" s="261"/>
      <c r="F1143" s="261" t="s">
        <v>1288</v>
      </c>
      <c r="G1143" s="363" t="s">
        <v>1039</v>
      </c>
      <c r="H1143" s="261" t="s">
        <v>267</v>
      </c>
      <c r="I1143" s="261" t="s">
        <v>1040</v>
      </c>
      <c r="J1143" s="261" t="s">
        <v>1284</v>
      </c>
      <c r="K1143" s="253"/>
      <c r="L1143" s="253"/>
      <c r="M1143" s="253"/>
      <c r="N1143" s="253"/>
      <c r="O1143" s="253"/>
      <c r="P1143" s="253"/>
      <c r="Q1143" s="253"/>
      <c r="R1143" s="253"/>
      <c r="S1143" s="253"/>
    </row>
    <row r="1144" spans="1:19">
      <c r="A1144" s="261" t="s">
        <v>913</v>
      </c>
      <c r="B1144" s="261" t="s">
        <v>1041</v>
      </c>
      <c r="C1144" s="261" t="s">
        <v>267</v>
      </c>
      <c r="D1144" s="261" t="s">
        <v>686</v>
      </c>
      <c r="E1144" s="261"/>
      <c r="F1144" s="261" t="s">
        <v>1288</v>
      </c>
      <c r="G1144" s="363" t="s">
        <v>1041</v>
      </c>
      <c r="H1144" s="261" t="s">
        <v>267</v>
      </c>
      <c r="I1144" s="261" t="s">
        <v>1042</v>
      </c>
      <c r="J1144" s="261" t="s">
        <v>1284</v>
      </c>
      <c r="K1144" s="253"/>
      <c r="L1144" s="253"/>
      <c r="M1144" s="253"/>
      <c r="N1144" s="253"/>
      <c r="O1144" s="253"/>
      <c r="P1144" s="253"/>
      <c r="Q1144" s="253"/>
      <c r="R1144" s="253"/>
      <c r="S1144" s="253"/>
    </row>
    <row r="1145" spans="1:19">
      <c r="A1145" s="261" t="s">
        <v>913</v>
      </c>
      <c r="B1145" s="261" t="s">
        <v>1043</v>
      </c>
      <c r="C1145" s="261" t="s">
        <v>267</v>
      </c>
      <c r="D1145" s="261" t="s">
        <v>686</v>
      </c>
      <c r="E1145" s="261"/>
      <c r="F1145" s="261" t="s">
        <v>1288</v>
      </c>
      <c r="G1145" s="363" t="s">
        <v>1043</v>
      </c>
      <c r="H1145" s="261" t="s">
        <v>267</v>
      </c>
      <c r="I1145" s="261" t="s">
        <v>1044</v>
      </c>
      <c r="J1145" s="261" t="s">
        <v>1284</v>
      </c>
      <c r="K1145" s="253"/>
      <c r="L1145" s="253"/>
      <c r="M1145" s="253"/>
      <c r="N1145" s="253"/>
      <c r="O1145" s="253"/>
      <c r="P1145" s="253"/>
      <c r="Q1145" s="253"/>
      <c r="R1145" s="253"/>
      <c r="S1145" s="253"/>
    </row>
    <row r="1146" spans="1:19">
      <c r="A1146" s="261" t="s">
        <v>913</v>
      </c>
      <c r="B1146" s="261" t="s">
        <v>1045</v>
      </c>
      <c r="C1146" s="261" t="s">
        <v>267</v>
      </c>
      <c r="D1146" s="261" t="s">
        <v>686</v>
      </c>
      <c r="E1146" s="261"/>
      <c r="F1146" s="261" t="s">
        <v>1288</v>
      </c>
      <c r="G1146" s="363" t="s">
        <v>1045</v>
      </c>
      <c r="H1146" s="261" t="s">
        <v>267</v>
      </c>
      <c r="I1146" s="261" t="s">
        <v>1046</v>
      </c>
      <c r="J1146" s="261" t="s">
        <v>1284</v>
      </c>
      <c r="K1146" s="253"/>
      <c r="L1146" s="253"/>
      <c r="M1146" s="253"/>
      <c r="N1146" s="253"/>
      <c r="O1146" s="253"/>
      <c r="P1146" s="253"/>
      <c r="Q1146" s="253"/>
      <c r="R1146" s="253"/>
      <c r="S1146" s="253"/>
    </row>
    <row r="1147" spans="1:19">
      <c r="A1147" s="261" t="s">
        <v>913</v>
      </c>
      <c r="B1147" s="261" t="s">
        <v>1047</v>
      </c>
      <c r="C1147" s="261" t="s">
        <v>267</v>
      </c>
      <c r="D1147" s="261" t="s">
        <v>686</v>
      </c>
      <c r="E1147" s="261"/>
      <c r="F1147" s="261" t="s">
        <v>1288</v>
      </c>
      <c r="G1147" s="363" t="s">
        <v>1047</v>
      </c>
      <c r="H1147" s="261" t="s">
        <v>267</v>
      </c>
      <c r="I1147" s="261" t="s">
        <v>1048</v>
      </c>
      <c r="J1147" s="261" t="s">
        <v>1284</v>
      </c>
      <c r="K1147" s="253"/>
      <c r="L1147" s="253"/>
      <c r="M1147" s="253"/>
      <c r="N1147" s="253"/>
      <c r="O1147" s="253"/>
      <c r="P1147" s="253"/>
      <c r="Q1147" s="253"/>
      <c r="R1147" s="253"/>
      <c r="S1147" s="253"/>
    </row>
    <row r="1148" spans="1:19">
      <c r="A1148" s="261" t="s">
        <v>913</v>
      </c>
      <c r="B1148" s="261" t="s">
        <v>1049</v>
      </c>
      <c r="C1148" s="261" t="s">
        <v>267</v>
      </c>
      <c r="D1148" s="261" t="s">
        <v>686</v>
      </c>
      <c r="E1148" s="261"/>
      <c r="F1148" s="261" t="s">
        <v>1288</v>
      </c>
      <c r="G1148" s="363" t="s">
        <v>1049</v>
      </c>
      <c r="H1148" s="261" t="s">
        <v>267</v>
      </c>
      <c r="I1148" s="261" t="s">
        <v>1050</v>
      </c>
      <c r="J1148" s="261" t="s">
        <v>1284</v>
      </c>
      <c r="K1148" s="253"/>
      <c r="L1148" s="253"/>
      <c r="M1148" s="253"/>
      <c r="N1148" s="253"/>
      <c r="O1148" s="253"/>
      <c r="P1148" s="253"/>
      <c r="Q1148" s="253"/>
      <c r="R1148" s="253"/>
      <c r="S1148" s="253"/>
    </row>
    <row r="1149" spans="1:19">
      <c r="A1149" s="261" t="s">
        <v>913</v>
      </c>
      <c r="B1149" s="261" t="s">
        <v>1051</v>
      </c>
      <c r="C1149" s="261" t="s">
        <v>267</v>
      </c>
      <c r="D1149" s="261" t="s">
        <v>686</v>
      </c>
      <c r="E1149" s="261"/>
      <c r="F1149" s="261" t="s">
        <v>1288</v>
      </c>
      <c r="G1149" s="363" t="s">
        <v>1051</v>
      </c>
      <c r="H1149" s="261" t="s">
        <v>267</v>
      </c>
      <c r="I1149" s="261" t="s">
        <v>1052</v>
      </c>
      <c r="J1149" s="261" t="s">
        <v>1284</v>
      </c>
      <c r="K1149" s="253"/>
      <c r="L1149" s="253"/>
      <c r="M1149" s="253"/>
      <c r="N1149" s="253"/>
      <c r="O1149" s="253"/>
      <c r="P1149" s="253"/>
      <c r="Q1149" s="253"/>
      <c r="R1149" s="253"/>
      <c r="S1149" s="253"/>
    </row>
    <row r="1150" spans="1:19">
      <c r="A1150" s="261" t="s">
        <v>913</v>
      </c>
      <c r="B1150" s="261" t="s">
        <v>1053</v>
      </c>
      <c r="C1150" s="261" t="s">
        <v>267</v>
      </c>
      <c r="D1150" s="261" t="s">
        <v>686</v>
      </c>
      <c r="E1150" s="261"/>
      <c r="F1150" s="261" t="s">
        <v>1288</v>
      </c>
      <c r="G1150" s="363" t="s">
        <v>1053</v>
      </c>
      <c r="H1150" s="261" t="s">
        <v>267</v>
      </c>
      <c r="I1150" s="261" t="s">
        <v>1054</v>
      </c>
      <c r="J1150" s="261" t="s">
        <v>1284</v>
      </c>
      <c r="K1150" s="253"/>
      <c r="L1150" s="253"/>
      <c r="M1150" s="253"/>
      <c r="N1150" s="253"/>
      <c r="O1150" s="253"/>
      <c r="P1150" s="253"/>
      <c r="Q1150" s="253"/>
      <c r="R1150" s="253"/>
      <c r="S1150" s="253"/>
    </row>
    <row r="1151" spans="1:19">
      <c r="A1151" s="261" t="s">
        <v>913</v>
      </c>
      <c r="B1151" s="261" t="s">
        <v>1055</v>
      </c>
      <c r="C1151" s="261" t="s">
        <v>267</v>
      </c>
      <c r="D1151" s="261" t="s">
        <v>686</v>
      </c>
      <c r="E1151" s="261"/>
      <c r="F1151" s="261" t="s">
        <v>1288</v>
      </c>
      <c r="G1151" s="363" t="s">
        <v>1055</v>
      </c>
      <c r="H1151" s="261" t="s">
        <v>267</v>
      </c>
      <c r="I1151" s="261" t="s">
        <v>1056</v>
      </c>
      <c r="J1151" s="261" t="s">
        <v>1284</v>
      </c>
      <c r="K1151" s="253"/>
      <c r="L1151" s="253"/>
      <c r="M1151" s="253"/>
      <c r="N1151" s="253"/>
      <c r="O1151" s="253"/>
      <c r="P1151" s="253"/>
      <c r="Q1151" s="253"/>
      <c r="R1151" s="253"/>
      <c r="S1151" s="253"/>
    </row>
    <row r="1152" spans="1:19">
      <c r="A1152" s="261" t="s">
        <v>913</v>
      </c>
      <c r="B1152" s="261" t="s">
        <v>1057</v>
      </c>
      <c r="C1152" s="261" t="s">
        <v>267</v>
      </c>
      <c r="D1152" s="261" t="s">
        <v>686</v>
      </c>
      <c r="E1152" s="261"/>
      <c r="F1152" s="261" t="s">
        <v>1288</v>
      </c>
      <c r="G1152" s="363" t="s">
        <v>1057</v>
      </c>
      <c r="H1152" s="261" t="s">
        <v>267</v>
      </c>
      <c r="I1152" s="261" t="s">
        <v>1058</v>
      </c>
      <c r="J1152" s="261" t="s">
        <v>1284</v>
      </c>
      <c r="K1152" s="253"/>
      <c r="L1152" s="253"/>
      <c r="M1152" s="253"/>
      <c r="N1152" s="253"/>
      <c r="O1152" s="253"/>
      <c r="P1152" s="253"/>
      <c r="Q1152" s="253"/>
      <c r="R1152" s="253"/>
      <c r="S1152" s="253"/>
    </row>
    <row r="1153" spans="1:19">
      <c r="A1153" s="261" t="s">
        <v>913</v>
      </c>
      <c r="B1153" s="261" t="s">
        <v>1059</v>
      </c>
      <c r="C1153" s="261" t="s">
        <v>267</v>
      </c>
      <c r="D1153" s="261" t="s">
        <v>686</v>
      </c>
      <c r="E1153" s="261"/>
      <c r="F1153" s="261" t="s">
        <v>1288</v>
      </c>
      <c r="G1153" s="363" t="s">
        <v>1059</v>
      </c>
      <c r="H1153" s="261" t="s">
        <v>267</v>
      </c>
      <c r="I1153" s="261" t="s">
        <v>1060</v>
      </c>
      <c r="J1153" s="261" t="s">
        <v>1284</v>
      </c>
      <c r="K1153" s="253"/>
      <c r="L1153" s="253"/>
      <c r="M1153" s="253"/>
      <c r="N1153" s="253"/>
      <c r="O1153" s="253"/>
      <c r="P1153" s="253"/>
      <c r="Q1153" s="253"/>
      <c r="R1153" s="253"/>
      <c r="S1153" s="253"/>
    </row>
    <row r="1154" spans="1:19">
      <c r="A1154" s="261" t="s">
        <v>913</v>
      </c>
      <c r="B1154" s="261" t="s">
        <v>1061</v>
      </c>
      <c r="C1154" s="261" t="s">
        <v>267</v>
      </c>
      <c r="D1154" s="261" t="s">
        <v>686</v>
      </c>
      <c r="E1154" s="261"/>
      <c r="F1154" s="261" t="s">
        <v>1288</v>
      </c>
      <c r="G1154" s="363" t="s">
        <v>1061</v>
      </c>
      <c r="H1154" s="261" t="s">
        <v>267</v>
      </c>
      <c r="I1154" s="261" t="s">
        <v>1062</v>
      </c>
      <c r="J1154" s="261" t="s">
        <v>1284</v>
      </c>
      <c r="K1154" s="253"/>
      <c r="L1154" s="253"/>
      <c r="M1154" s="253"/>
      <c r="N1154" s="253"/>
      <c r="O1154" s="253"/>
      <c r="P1154" s="253"/>
      <c r="Q1154" s="253"/>
      <c r="R1154" s="253"/>
      <c r="S1154" s="253"/>
    </row>
    <row r="1155" spans="1:19">
      <c r="A1155" s="261" t="s">
        <v>913</v>
      </c>
      <c r="B1155" s="261" t="s">
        <v>1063</v>
      </c>
      <c r="C1155" s="261" t="s">
        <v>267</v>
      </c>
      <c r="D1155" s="261" t="s">
        <v>686</v>
      </c>
      <c r="E1155" s="261"/>
      <c r="F1155" s="261" t="s">
        <v>1288</v>
      </c>
      <c r="G1155" s="363" t="s">
        <v>1063</v>
      </c>
      <c r="H1155" s="261" t="s">
        <v>267</v>
      </c>
      <c r="I1155" s="261" t="s">
        <v>1064</v>
      </c>
      <c r="J1155" s="261" t="s">
        <v>1284</v>
      </c>
      <c r="K1155" s="253"/>
      <c r="L1155" s="253"/>
      <c r="M1155" s="253"/>
      <c r="N1155" s="253"/>
      <c r="O1155" s="253"/>
      <c r="P1155" s="253"/>
      <c r="Q1155" s="253"/>
      <c r="R1155" s="253"/>
      <c r="S1155" s="253"/>
    </row>
    <row r="1156" spans="1:19">
      <c r="A1156" s="261" t="s">
        <v>913</v>
      </c>
      <c r="B1156" s="261" t="s">
        <v>1065</v>
      </c>
      <c r="C1156" s="261" t="s">
        <v>267</v>
      </c>
      <c r="D1156" s="261" t="s">
        <v>686</v>
      </c>
      <c r="E1156" s="261"/>
      <c r="F1156" s="261" t="s">
        <v>1288</v>
      </c>
      <c r="G1156" s="363" t="s">
        <v>1065</v>
      </c>
      <c r="H1156" s="261" t="s">
        <v>267</v>
      </c>
      <c r="I1156" s="261" t="s">
        <v>1066</v>
      </c>
      <c r="J1156" s="261" t="s">
        <v>1284</v>
      </c>
      <c r="K1156" s="253"/>
      <c r="L1156" s="253"/>
      <c r="M1156" s="253"/>
      <c r="N1156" s="253"/>
      <c r="O1156" s="253"/>
      <c r="P1156" s="253"/>
      <c r="Q1156" s="253"/>
      <c r="R1156" s="253"/>
      <c r="S1156" s="253"/>
    </row>
    <row r="1157" spans="1:19">
      <c r="A1157" s="261" t="s">
        <v>913</v>
      </c>
      <c r="B1157" s="261" t="s">
        <v>1067</v>
      </c>
      <c r="C1157" s="261" t="s">
        <v>267</v>
      </c>
      <c r="D1157" s="261" t="s">
        <v>686</v>
      </c>
      <c r="E1157" s="261"/>
      <c r="F1157" s="261" t="s">
        <v>1288</v>
      </c>
      <c r="G1157" s="363" t="s">
        <v>1067</v>
      </c>
      <c r="H1157" s="261" t="s">
        <v>267</v>
      </c>
      <c r="I1157" s="261" t="s">
        <v>1068</v>
      </c>
      <c r="J1157" s="261" t="s">
        <v>1284</v>
      </c>
      <c r="K1157" s="253"/>
      <c r="L1157" s="253"/>
      <c r="M1157" s="253"/>
      <c r="N1157" s="253"/>
      <c r="O1157" s="253"/>
      <c r="P1157" s="253"/>
      <c r="Q1157" s="253"/>
      <c r="R1157" s="253"/>
      <c r="S1157" s="253"/>
    </row>
    <row r="1158" spans="1:19">
      <c r="A1158" s="261" t="s">
        <v>913</v>
      </c>
      <c r="B1158" s="261" t="s">
        <v>1069</v>
      </c>
      <c r="C1158" s="261" t="s">
        <v>267</v>
      </c>
      <c r="D1158" s="261" t="s">
        <v>686</v>
      </c>
      <c r="E1158" s="261"/>
      <c r="F1158" s="261" t="s">
        <v>1288</v>
      </c>
      <c r="G1158" s="363" t="s">
        <v>1069</v>
      </c>
      <c r="H1158" s="261" t="s">
        <v>267</v>
      </c>
      <c r="I1158" s="261" t="s">
        <v>1070</v>
      </c>
      <c r="J1158" s="261" t="s">
        <v>1284</v>
      </c>
      <c r="K1158" s="253"/>
      <c r="L1158" s="253"/>
      <c r="M1158" s="253"/>
      <c r="N1158" s="253"/>
      <c r="O1158" s="253"/>
      <c r="P1158" s="253"/>
      <c r="Q1158" s="253"/>
      <c r="R1158" s="253"/>
      <c r="S1158" s="253"/>
    </row>
    <row r="1159" spans="1:19">
      <c r="A1159" s="261" t="s">
        <v>913</v>
      </c>
      <c r="B1159" s="261" t="s">
        <v>1071</v>
      </c>
      <c r="C1159" s="261" t="s">
        <v>267</v>
      </c>
      <c r="D1159" s="261" t="s">
        <v>686</v>
      </c>
      <c r="E1159" s="261"/>
      <c r="F1159" s="261" t="s">
        <v>1288</v>
      </c>
      <c r="G1159" s="363" t="s">
        <v>1071</v>
      </c>
      <c r="H1159" s="261" t="s">
        <v>267</v>
      </c>
      <c r="I1159" s="261" t="s">
        <v>1072</v>
      </c>
      <c r="J1159" s="261" t="s">
        <v>1284</v>
      </c>
      <c r="K1159" s="253"/>
      <c r="L1159" s="253"/>
      <c r="M1159" s="253"/>
      <c r="N1159" s="253"/>
      <c r="O1159" s="253"/>
      <c r="P1159" s="253"/>
      <c r="Q1159" s="253"/>
      <c r="R1159" s="253"/>
      <c r="S1159" s="253"/>
    </row>
    <row r="1160" spans="1:19">
      <c r="A1160" s="261" t="s">
        <v>913</v>
      </c>
      <c r="B1160" s="261" t="s">
        <v>1073</v>
      </c>
      <c r="C1160" s="261" t="s">
        <v>267</v>
      </c>
      <c r="D1160" s="261" t="s">
        <v>686</v>
      </c>
      <c r="E1160" s="261"/>
      <c r="F1160" s="261" t="s">
        <v>1288</v>
      </c>
      <c r="G1160" s="363" t="s">
        <v>1073</v>
      </c>
      <c r="H1160" s="261" t="s">
        <v>267</v>
      </c>
      <c r="I1160" s="261" t="s">
        <v>1074</v>
      </c>
      <c r="J1160" s="261" t="s">
        <v>1284</v>
      </c>
      <c r="K1160" s="253"/>
      <c r="L1160" s="253"/>
      <c r="M1160" s="253"/>
      <c r="N1160" s="253"/>
      <c r="O1160" s="253"/>
      <c r="P1160" s="253"/>
      <c r="Q1160" s="253"/>
      <c r="R1160" s="253"/>
      <c r="S1160" s="253"/>
    </row>
    <row r="1161" spans="1:19">
      <c r="A1161" s="261" t="s">
        <v>913</v>
      </c>
      <c r="B1161" s="261" t="s">
        <v>1075</v>
      </c>
      <c r="C1161" s="261" t="s">
        <v>267</v>
      </c>
      <c r="D1161" s="261" t="s">
        <v>686</v>
      </c>
      <c r="E1161" s="261"/>
      <c r="F1161" s="261" t="s">
        <v>1288</v>
      </c>
      <c r="G1161" s="363" t="s">
        <v>1075</v>
      </c>
      <c r="H1161" s="261" t="s">
        <v>267</v>
      </c>
      <c r="I1161" s="261" t="s">
        <v>1076</v>
      </c>
      <c r="J1161" s="261" t="s">
        <v>1284</v>
      </c>
      <c r="K1161" s="253"/>
      <c r="L1161" s="253"/>
      <c r="M1161" s="253"/>
      <c r="N1161" s="253"/>
      <c r="O1161" s="253"/>
      <c r="P1161" s="253"/>
      <c r="Q1161" s="253"/>
      <c r="R1161" s="253"/>
      <c r="S1161" s="253"/>
    </row>
    <row r="1162" spans="1:19">
      <c r="A1162" s="261" t="s">
        <v>913</v>
      </c>
      <c r="B1162" s="261" t="s">
        <v>1077</v>
      </c>
      <c r="C1162" s="261" t="s">
        <v>267</v>
      </c>
      <c r="D1162" s="261" t="s">
        <v>686</v>
      </c>
      <c r="E1162" s="261"/>
      <c r="F1162" s="261" t="s">
        <v>1288</v>
      </c>
      <c r="G1162" s="363" t="s">
        <v>1077</v>
      </c>
      <c r="H1162" s="261" t="s">
        <v>267</v>
      </c>
      <c r="I1162" s="261" t="s">
        <v>1078</v>
      </c>
      <c r="J1162" s="261" t="s">
        <v>1284</v>
      </c>
      <c r="K1162" s="253"/>
      <c r="L1162" s="253"/>
      <c r="M1162" s="253"/>
      <c r="N1162" s="253"/>
      <c r="O1162" s="253"/>
      <c r="P1162" s="253"/>
      <c r="Q1162" s="253"/>
      <c r="R1162" s="253"/>
      <c r="S1162" s="253"/>
    </row>
    <row r="1163" spans="1:19">
      <c r="A1163" s="261" t="s">
        <v>913</v>
      </c>
      <c r="B1163" s="261" t="s">
        <v>1079</v>
      </c>
      <c r="C1163" s="261" t="s">
        <v>267</v>
      </c>
      <c r="D1163" s="261" t="s">
        <v>686</v>
      </c>
      <c r="E1163" s="261"/>
      <c r="F1163" s="261" t="s">
        <v>1288</v>
      </c>
      <c r="G1163" s="363" t="s">
        <v>1079</v>
      </c>
      <c r="H1163" s="261" t="s">
        <v>267</v>
      </c>
      <c r="I1163" s="261" t="s">
        <v>1080</v>
      </c>
      <c r="J1163" s="261" t="s">
        <v>1284</v>
      </c>
      <c r="K1163" s="253"/>
      <c r="L1163" s="253"/>
      <c r="M1163" s="253"/>
      <c r="N1163" s="253"/>
      <c r="O1163" s="253"/>
      <c r="P1163" s="253"/>
      <c r="Q1163" s="253"/>
      <c r="R1163" s="253"/>
      <c r="S1163" s="253"/>
    </row>
    <row r="1164" spans="1:19">
      <c r="A1164" s="261" t="s">
        <v>913</v>
      </c>
      <c r="B1164" s="261" t="s">
        <v>1081</v>
      </c>
      <c r="C1164" s="261" t="s">
        <v>267</v>
      </c>
      <c r="D1164" s="261" t="s">
        <v>686</v>
      </c>
      <c r="E1164" s="261"/>
      <c r="F1164" s="261" t="s">
        <v>1288</v>
      </c>
      <c r="G1164" s="363" t="s">
        <v>1081</v>
      </c>
      <c r="H1164" s="261" t="s">
        <v>267</v>
      </c>
      <c r="I1164" s="261" t="s">
        <v>1082</v>
      </c>
      <c r="J1164" s="261" t="s">
        <v>1284</v>
      </c>
      <c r="K1164" s="253"/>
      <c r="L1164" s="253"/>
      <c r="M1164" s="253"/>
      <c r="N1164" s="253"/>
      <c r="O1164" s="253"/>
      <c r="P1164" s="253"/>
      <c r="Q1164" s="253"/>
      <c r="R1164" s="253"/>
      <c r="S1164" s="253"/>
    </row>
    <row r="1165" spans="1:19">
      <c r="A1165" s="261" t="s">
        <v>913</v>
      </c>
      <c r="B1165" s="261" t="s">
        <v>1083</v>
      </c>
      <c r="C1165" s="261" t="s">
        <v>267</v>
      </c>
      <c r="D1165" s="261" t="s">
        <v>686</v>
      </c>
      <c r="E1165" s="261"/>
      <c r="F1165" s="261" t="s">
        <v>1288</v>
      </c>
      <c r="G1165" s="363" t="s">
        <v>1083</v>
      </c>
      <c r="H1165" s="261" t="s">
        <v>267</v>
      </c>
      <c r="I1165" s="261" t="s">
        <v>1084</v>
      </c>
      <c r="J1165" s="261" t="s">
        <v>1284</v>
      </c>
      <c r="K1165" s="253"/>
      <c r="L1165" s="253"/>
      <c r="M1165" s="253"/>
      <c r="N1165" s="253"/>
      <c r="O1165" s="253"/>
      <c r="P1165" s="253"/>
      <c r="Q1165" s="253"/>
      <c r="R1165" s="253"/>
      <c r="S1165" s="253"/>
    </row>
    <row r="1166" spans="1:19">
      <c r="A1166" s="261" t="s">
        <v>913</v>
      </c>
      <c r="B1166" s="261" t="s">
        <v>1085</v>
      </c>
      <c r="C1166" s="261" t="s">
        <v>267</v>
      </c>
      <c r="D1166" s="261" t="s">
        <v>686</v>
      </c>
      <c r="E1166" s="261"/>
      <c r="F1166" s="261" t="s">
        <v>1288</v>
      </c>
      <c r="G1166" s="363" t="s">
        <v>1085</v>
      </c>
      <c r="H1166" s="261" t="s">
        <v>267</v>
      </c>
      <c r="I1166" s="261" t="s">
        <v>1086</v>
      </c>
      <c r="J1166" s="261" t="s">
        <v>1284</v>
      </c>
      <c r="K1166" s="253"/>
      <c r="L1166" s="253"/>
      <c r="M1166" s="253"/>
      <c r="N1166" s="253"/>
      <c r="O1166" s="253"/>
      <c r="P1166" s="253"/>
      <c r="Q1166" s="253"/>
      <c r="R1166" s="253"/>
      <c r="S1166" s="253"/>
    </row>
    <row r="1167" spans="1:19">
      <c r="A1167" s="261" t="s">
        <v>913</v>
      </c>
      <c r="B1167" s="357" t="s">
        <v>1094</v>
      </c>
      <c r="C1167" s="261" t="s">
        <v>267</v>
      </c>
      <c r="D1167" s="261" t="s">
        <v>686</v>
      </c>
      <c r="E1167" s="261"/>
      <c r="F1167" s="261" t="s">
        <v>1288</v>
      </c>
      <c r="G1167" s="364" t="s">
        <v>1094</v>
      </c>
      <c r="H1167" s="261" t="s">
        <v>267</v>
      </c>
      <c r="I1167" s="261" t="s">
        <v>1095</v>
      </c>
      <c r="J1167" s="261" t="s">
        <v>1284</v>
      </c>
      <c r="K1167" s="253"/>
      <c r="L1167" s="253"/>
      <c r="M1167" s="253"/>
      <c r="N1167" s="253"/>
      <c r="O1167" s="253"/>
      <c r="P1167" s="253"/>
      <c r="Q1167" s="253"/>
      <c r="R1167" s="253"/>
      <c r="S1167" s="253"/>
    </row>
    <row r="1168" spans="1:19">
      <c r="A1168" s="261" t="s">
        <v>913</v>
      </c>
      <c r="B1168" s="357" t="s">
        <v>1096</v>
      </c>
      <c r="C1168" s="261" t="s">
        <v>267</v>
      </c>
      <c r="D1168" s="261" t="s">
        <v>686</v>
      </c>
      <c r="E1168" s="261"/>
      <c r="F1168" s="261" t="s">
        <v>1288</v>
      </c>
      <c r="G1168" s="364" t="s">
        <v>1096</v>
      </c>
      <c r="H1168" s="261" t="s">
        <v>267</v>
      </c>
      <c r="I1168" s="261" t="s">
        <v>1097</v>
      </c>
      <c r="J1168" s="261" t="s">
        <v>1284</v>
      </c>
      <c r="K1168" s="253"/>
      <c r="L1168" s="253"/>
      <c r="M1168" s="253"/>
      <c r="N1168" s="253"/>
      <c r="O1168" s="253"/>
      <c r="P1168" s="253"/>
      <c r="Q1168" s="253"/>
      <c r="R1168" s="253"/>
      <c r="S1168" s="253"/>
    </row>
    <row r="1169" spans="1:19">
      <c r="A1169" s="261" t="s">
        <v>913</v>
      </c>
      <c r="B1169" s="358" t="s">
        <v>1098</v>
      </c>
      <c r="C1169" s="261" t="s">
        <v>267</v>
      </c>
      <c r="D1169" s="261" t="s">
        <v>686</v>
      </c>
      <c r="E1169" s="261"/>
      <c r="F1169" s="261" t="s">
        <v>1288</v>
      </c>
      <c r="G1169" s="365" t="s">
        <v>1098</v>
      </c>
      <c r="H1169" s="261" t="s">
        <v>267</v>
      </c>
      <c r="I1169" s="261" t="s">
        <v>1099</v>
      </c>
      <c r="J1169" s="261" t="s">
        <v>1284</v>
      </c>
      <c r="K1169" s="253"/>
      <c r="L1169" s="253"/>
      <c r="M1169" s="253"/>
      <c r="N1169" s="253"/>
      <c r="O1169" s="253"/>
      <c r="P1169" s="253"/>
      <c r="Q1169" s="253"/>
      <c r="R1169" s="253"/>
      <c r="S1169" s="253"/>
    </row>
    <row r="1170" spans="1:19">
      <c r="A1170" s="261" t="s">
        <v>913</v>
      </c>
      <c r="B1170" s="358" t="s">
        <v>1100</v>
      </c>
      <c r="C1170" s="261" t="s">
        <v>267</v>
      </c>
      <c r="D1170" s="261" t="s">
        <v>686</v>
      </c>
      <c r="E1170" s="261"/>
      <c r="F1170" s="261" t="s">
        <v>1288</v>
      </c>
      <c r="G1170" s="365" t="s">
        <v>1100</v>
      </c>
      <c r="H1170" s="261" t="s">
        <v>267</v>
      </c>
      <c r="I1170" s="261" t="s">
        <v>1101</v>
      </c>
      <c r="J1170" s="261" t="s">
        <v>1284</v>
      </c>
      <c r="K1170" s="253"/>
      <c r="L1170" s="253"/>
      <c r="M1170" s="253"/>
      <c r="N1170" s="253"/>
      <c r="O1170" s="253"/>
      <c r="P1170" s="253"/>
      <c r="Q1170" s="253"/>
      <c r="R1170" s="253"/>
      <c r="S1170" s="253"/>
    </row>
    <row r="1171" spans="1:19">
      <c r="A1171" s="261" t="s">
        <v>913</v>
      </c>
      <c r="B1171" s="359" t="s">
        <v>1102</v>
      </c>
      <c r="C1171" s="261" t="s">
        <v>267</v>
      </c>
      <c r="D1171" s="261" t="s">
        <v>686</v>
      </c>
      <c r="E1171" s="261"/>
      <c r="F1171" s="261" t="s">
        <v>1288</v>
      </c>
      <c r="G1171" s="366" t="s">
        <v>1102</v>
      </c>
      <c r="H1171" s="261" t="s">
        <v>267</v>
      </c>
      <c r="I1171" s="261" t="s">
        <v>1103</v>
      </c>
      <c r="J1171" s="261" t="s">
        <v>1284</v>
      </c>
      <c r="K1171" s="253"/>
      <c r="L1171" s="253"/>
      <c r="M1171" s="253"/>
      <c r="N1171" s="253"/>
      <c r="O1171" s="253"/>
      <c r="P1171" s="253"/>
      <c r="Q1171" s="253"/>
      <c r="R1171" s="253"/>
      <c r="S1171" s="253"/>
    </row>
    <row r="1172" spans="1:19">
      <c r="A1172" s="261" t="s">
        <v>913</v>
      </c>
      <c r="B1172" s="359" t="s">
        <v>1104</v>
      </c>
      <c r="C1172" s="261" t="s">
        <v>267</v>
      </c>
      <c r="D1172" s="261" t="s">
        <v>686</v>
      </c>
      <c r="E1172" s="261"/>
      <c r="F1172" s="261" t="s">
        <v>1288</v>
      </c>
      <c r="G1172" s="366" t="s">
        <v>1104</v>
      </c>
      <c r="H1172" s="261" t="s">
        <v>267</v>
      </c>
      <c r="I1172" s="261" t="s">
        <v>1105</v>
      </c>
      <c r="J1172" s="261" t="s">
        <v>1284</v>
      </c>
      <c r="K1172" s="253"/>
      <c r="L1172" s="253"/>
      <c r="M1172" s="253"/>
      <c r="N1172" s="253"/>
      <c r="O1172" s="253"/>
      <c r="P1172" s="253"/>
      <c r="Q1172" s="253"/>
      <c r="R1172" s="253"/>
      <c r="S1172" s="253"/>
    </row>
    <row r="1173" spans="1:19">
      <c r="A1173" s="261" t="s">
        <v>913</v>
      </c>
      <c r="B1173" s="359" t="s">
        <v>1106</v>
      </c>
      <c r="C1173" s="261" t="s">
        <v>267</v>
      </c>
      <c r="D1173" s="261" t="s">
        <v>686</v>
      </c>
      <c r="E1173" s="261"/>
      <c r="F1173" s="261" t="s">
        <v>1288</v>
      </c>
      <c r="G1173" s="366" t="s">
        <v>1106</v>
      </c>
      <c r="H1173" s="261" t="s">
        <v>267</v>
      </c>
      <c r="I1173" s="261" t="s">
        <v>1107</v>
      </c>
      <c r="J1173" s="261" t="s">
        <v>1284</v>
      </c>
      <c r="K1173" s="253"/>
      <c r="L1173" s="253"/>
      <c r="M1173" s="253"/>
      <c r="N1173" s="253"/>
      <c r="O1173" s="253"/>
      <c r="P1173" s="253"/>
      <c r="Q1173" s="253"/>
      <c r="R1173" s="253"/>
      <c r="S1173" s="253"/>
    </row>
    <row r="1174" spans="1:19">
      <c r="A1174" s="261" t="s">
        <v>913</v>
      </c>
      <c r="B1174" s="359" t="s">
        <v>1108</v>
      </c>
      <c r="C1174" s="261" t="s">
        <v>267</v>
      </c>
      <c r="D1174" s="261" t="s">
        <v>686</v>
      </c>
      <c r="E1174" s="261"/>
      <c r="F1174" s="261" t="s">
        <v>1288</v>
      </c>
      <c r="G1174" s="366" t="s">
        <v>1108</v>
      </c>
      <c r="H1174" s="261" t="s">
        <v>267</v>
      </c>
      <c r="I1174" s="261" t="s">
        <v>1109</v>
      </c>
      <c r="J1174" s="261" t="s">
        <v>1284</v>
      </c>
      <c r="K1174" s="253"/>
      <c r="L1174" s="253"/>
      <c r="M1174" s="253"/>
      <c r="N1174" s="253"/>
      <c r="O1174" s="253"/>
      <c r="P1174" s="253"/>
      <c r="Q1174" s="253"/>
      <c r="R1174" s="253"/>
      <c r="S1174" s="253"/>
    </row>
    <row r="1175" spans="1:19">
      <c r="A1175" s="367" t="s">
        <v>1287</v>
      </c>
      <c r="B1175" s="368" t="s">
        <v>92</v>
      </c>
      <c r="C1175" s="368" t="s">
        <v>267</v>
      </c>
      <c r="D1175" s="368" t="s">
        <v>686</v>
      </c>
      <c r="E1175" s="368" t="s">
        <v>1289</v>
      </c>
      <c r="F1175" s="261" t="s">
        <v>1288</v>
      </c>
      <c r="G1175" s="368" t="s">
        <v>1290</v>
      </c>
      <c r="H1175" s="368" t="s">
        <v>267</v>
      </c>
      <c r="I1175" s="261" t="s">
        <v>1291</v>
      </c>
      <c r="J1175" s="261" t="s">
        <v>1284</v>
      </c>
      <c r="K1175" s="253"/>
      <c r="L1175" s="253"/>
      <c r="M1175" s="253"/>
      <c r="N1175" s="253"/>
      <c r="O1175" s="253"/>
      <c r="P1175" s="253"/>
      <c r="Q1175" s="253"/>
      <c r="R1175" s="253"/>
      <c r="S1175" s="253"/>
    </row>
    <row r="1176" spans="1:19">
      <c r="A1176" s="367" t="s">
        <v>1287</v>
      </c>
      <c r="B1176" s="261" t="s">
        <v>92</v>
      </c>
      <c r="C1176" s="261" t="s">
        <v>1292</v>
      </c>
      <c r="D1176" s="261" t="s">
        <v>686</v>
      </c>
      <c r="E1176" s="261"/>
      <c r="F1176" s="261" t="s">
        <v>1288</v>
      </c>
      <c r="G1176" s="369" t="s">
        <v>92</v>
      </c>
      <c r="H1176" s="261" t="s">
        <v>1292</v>
      </c>
      <c r="I1176" s="261" t="s">
        <v>1110</v>
      </c>
      <c r="J1176" s="261" t="s">
        <v>1284</v>
      </c>
      <c r="K1176" s="291"/>
      <c r="L1176" s="291"/>
      <c r="M1176" s="291"/>
      <c r="N1176" s="291"/>
      <c r="O1176" s="291"/>
      <c r="P1176" s="291"/>
      <c r="Q1176" s="291"/>
      <c r="R1176" s="291"/>
      <c r="S1176" s="291"/>
    </row>
    <row r="1177" spans="1:19">
      <c r="A1177" s="261" t="s">
        <v>913</v>
      </c>
      <c r="B1177" s="261" t="s">
        <v>95</v>
      </c>
      <c r="C1177" s="261" t="s">
        <v>1292</v>
      </c>
      <c r="D1177" s="261" t="s">
        <v>686</v>
      </c>
      <c r="E1177" s="261"/>
      <c r="F1177" s="261" t="s">
        <v>1288</v>
      </c>
      <c r="G1177" s="363" t="s">
        <v>312</v>
      </c>
      <c r="H1177" s="261" t="s">
        <v>1292</v>
      </c>
      <c r="I1177" s="261" t="s">
        <v>1111</v>
      </c>
      <c r="J1177" s="261" t="s">
        <v>1284</v>
      </c>
      <c r="K1177" s="253"/>
      <c r="L1177" s="253"/>
      <c r="M1177" s="253"/>
      <c r="N1177" s="253"/>
      <c r="O1177" s="253"/>
      <c r="P1177" s="253"/>
      <c r="Q1177" s="253"/>
      <c r="R1177" s="253"/>
      <c r="S1177" s="253"/>
    </row>
    <row r="1178" spans="1:19">
      <c r="A1178" s="261" t="s">
        <v>913</v>
      </c>
      <c r="B1178" s="261" t="s">
        <v>98</v>
      </c>
      <c r="C1178" s="261" t="s">
        <v>1292</v>
      </c>
      <c r="D1178" s="261" t="s">
        <v>686</v>
      </c>
      <c r="E1178" s="261"/>
      <c r="F1178" s="261" t="s">
        <v>1288</v>
      </c>
      <c r="G1178" s="363" t="s">
        <v>270</v>
      </c>
      <c r="H1178" s="261" t="s">
        <v>1292</v>
      </c>
      <c r="I1178" s="261" t="s">
        <v>1112</v>
      </c>
      <c r="J1178" s="261" t="s">
        <v>1284</v>
      </c>
      <c r="K1178" s="253"/>
      <c r="L1178" s="253"/>
      <c r="M1178" s="253"/>
      <c r="N1178" s="253"/>
      <c r="O1178" s="253"/>
      <c r="P1178" s="253"/>
      <c r="Q1178" s="253"/>
      <c r="R1178" s="253"/>
      <c r="S1178" s="253"/>
    </row>
    <row r="1179" spans="1:19">
      <c r="A1179" s="261" t="s">
        <v>913</v>
      </c>
      <c r="B1179" s="261" t="s">
        <v>99</v>
      </c>
      <c r="C1179" s="261" t="s">
        <v>1292</v>
      </c>
      <c r="D1179" s="261" t="s">
        <v>686</v>
      </c>
      <c r="E1179" s="261"/>
      <c r="F1179" s="261" t="s">
        <v>1288</v>
      </c>
      <c r="G1179" s="363" t="s">
        <v>271</v>
      </c>
      <c r="H1179" s="261" t="s">
        <v>1292</v>
      </c>
      <c r="I1179" s="261" t="s">
        <v>1116</v>
      </c>
      <c r="J1179" s="261" t="s">
        <v>1284</v>
      </c>
      <c r="K1179" s="253"/>
      <c r="L1179" s="253"/>
      <c r="M1179" s="253"/>
      <c r="N1179" s="253"/>
      <c r="O1179" s="253"/>
      <c r="P1179" s="253"/>
      <c r="Q1179" s="253"/>
      <c r="R1179" s="253"/>
      <c r="S1179" s="253"/>
    </row>
    <row r="1180" spans="1:19">
      <c r="A1180" s="261" t="s">
        <v>913</v>
      </c>
      <c r="B1180" s="261" t="s">
        <v>391</v>
      </c>
      <c r="C1180" s="261" t="s">
        <v>1292</v>
      </c>
      <c r="D1180" s="261" t="s">
        <v>686</v>
      </c>
      <c r="E1180" s="261"/>
      <c r="F1180" s="261" t="s">
        <v>1288</v>
      </c>
      <c r="G1180" s="370" t="s">
        <v>1117</v>
      </c>
      <c r="H1180" s="261" t="s">
        <v>1292</v>
      </c>
      <c r="I1180" s="261" t="s">
        <v>391</v>
      </c>
      <c r="J1180" s="261" t="s">
        <v>1284</v>
      </c>
      <c r="K1180" s="253"/>
      <c r="L1180" s="253"/>
      <c r="M1180" s="253"/>
      <c r="N1180" s="253"/>
      <c r="O1180" s="253"/>
      <c r="P1180" s="253"/>
      <c r="Q1180" s="253"/>
      <c r="R1180" s="253"/>
      <c r="S1180" s="253"/>
    </row>
    <row r="1181" spans="1:19">
      <c r="A1181" s="263" t="s">
        <v>1118</v>
      </c>
      <c r="B1181" s="261" t="s">
        <v>1119</v>
      </c>
      <c r="C1181" s="261" t="s">
        <v>1293</v>
      </c>
      <c r="D1181" s="261" t="s">
        <v>686</v>
      </c>
      <c r="E1181" s="261"/>
      <c r="F1181" s="261" t="s">
        <v>1288</v>
      </c>
      <c r="G1181" s="363" t="s">
        <v>1120</v>
      </c>
      <c r="H1181" s="261" t="s">
        <v>1293</v>
      </c>
      <c r="I1181" s="261" t="s">
        <v>1121</v>
      </c>
      <c r="J1181" s="261" t="s">
        <v>1284</v>
      </c>
      <c r="K1181" s="253"/>
      <c r="L1181" s="253"/>
      <c r="M1181" s="253"/>
      <c r="N1181" s="253"/>
      <c r="O1181" s="253"/>
      <c r="P1181" s="253"/>
      <c r="Q1181" s="253"/>
      <c r="R1181" s="253"/>
      <c r="S1181" s="253"/>
    </row>
    <row r="1182" spans="1:19">
      <c r="A1182" s="263" t="s">
        <v>1118</v>
      </c>
      <c r="B1182" s="261" t="s">
        <v>1122</v>
      </c>
      <c r="C1182" s="261" t="s">
        <v>1292</v>
      </c>
      <c r="D1182" s="261" t="s">
        <v>686</v>
      </c>
      <c r="E1182" s="261"/>
      <c r="F1182" s="261" t="s">
        <v>1288</v>
      </c>
      <c r="G1182" s="363" t="s">
        <v>1123</v>
      </c>
      <c r="H1182" s="261" t="s">
        <v>1292</v>
      </c>
      <c r="I1182" s="261" t="s">
        <v>1124</v>
      </c>
      <c r="J1182" s="261" t="s">
        <v>1284</v>
      </c>
      <c r="K1182" s="253"/>
      <c r="L1182" s="253"/>
      <c r="M1182" s="253"/>
      <c r="N1182" s="253"/>
      <c r="O1182" s="253"/>
      <c r="P1182" s="253"/>
      <c r="Q1182" s="253"/>
      <c r="R1182" s="253"/>
      <c r="S1182" s="253"/>
    </row>
    <row r="1183" spans="1:19">
      <c r="A1183" s="261" t="s">
        <v>913</v>
      </c>
      <c r="B1183" s="261" t="s">
        <v>186</v>
      </c>
      <c r="C1183" s="261" t="s">
        <v>1292</v>
      </c>
      <c r="D1183" s="261" t="s">
        <v>686</v>
      </c>
      <c r="E1183" s="261"/>
      <c r="F1183" s="261" t="s">
        <v>1288</v>
      </c>
      <c r="G1183" s="371" t="s">
        <v>186</v>
      </c>
      <c r="H1183" s="261" t="s">
        <v>1292</v>
      </c>
      <c r="I1183" s="261" t="s">
        <v>1125</v>
      </c>
      <c r="J1183" s="261" t="s">
        <v>1284</v>
      </c>
      <c r="K1183" s="253"/>
      <c r="L1183" s="253"/>
      <c r="M1183" s="253"/>
      <c r="N1183" s="253"/>
      <c r="O1183" s="253"/>
      <c r="P1183" s="253"/>
      <c r="Q1183" s="253"/>
      <c r="R1183" s="253"/>
      <c r="S1183" s="253"/>
    </row>
    <row r="1184" spans="1:19">
      <c r="A1184" s="261" t="s">
        <v>913</v>
      </c>
      <c r="B1184" s="261" t="s">
        <v>187</v>
      </c>
      <c r="C1184" s="261" t="s">
        <v>1292</v>
      </c>
      <c r="D1184" s="261" t="s">
        <v>686</v>
      </c>
      <c r="E1184" s="261"/>
      <c r="F1184" s="261" t="s">
        <v>1288</v>
      </c>
      <c r="G1184" s="371" t="s">
        <v>187</v>
      </c>
      <c r="H1184" s="261" t="s">
        <v>1292</v>
      </c>
      <c r="I1184" s="261" t="s">
        <v>1126</v>
      </c>
      <c r="J1184" s="261" t="s">
        <v>1284</v>
      </c>
      <c r="K1184" s="253"/>
      <c r="L1184" s="253"/>
      <c r="M1184" s="253"/>
      <c r="N1184" s="253"/>
      <c r="O1184" s="253"/>
      <c r="P1184" s="253"/>
      <c r="Q1184" s="253"/>
      <c r="R1184" s="253"/>
      <c r="S1184" s="253"/>
    </row>
    <row r="1185" spans="1:19">
      <c r="A1185" s="261" t="s">
        <v>913</v>
      </c>
      <c r="B1185" s="261" t="s">
        <v>188</v>
      </c>
      <c r="C1185" s="261" t="s">
        <v>1292</v>
      </c>
      <c r="D1185" s="261" t="s">
        <v>686</v>
      </c>
      <c r="E1185" s="261"/>
      <c r="F1185" s="261" t="s">
        <v>1288</v>
      </c>
      <c r="G1185" s="371" t="s">
        <v>188</v>
      </c>
      <c r="H1185" s="261" t="s">
        <v>1292</v>
      </c>
      <c r="I1185" s="261" t="s">
        <v>1127</v>
      </c>
      <c r="J1185" s="261" t="s">
        <v>1284</v>
      </c>
      <c r="K1185" s="253"/>
      <c r="L1185" s="253"/>
      <c r="M1185" s="253"/>
      <c r="N1185" s="253"/>
      <c r="O1185" s="253"/>
      <c r="P1185" s="253"/>
      <c r="Q1185" s="253"/>
      <c r="R1185" s="253"/>
      <c r="S1185" s="253"/>
    </row>
    <row r="1186" spans="1:19">
      <c r="A1186" s="261" t="s">
        <v>913</v>
      </c>
      <c r="B1186" s="264" t="s">
        <v>193</v>
      </c>
      <c r="C1186" s="261" t="s">
        <v>1292</v>
      </c>
      <c r="D1186" s="261" t="s">
        <v>686</v>
      </c>
      <c r="E1186" s="261"/>
      <c r="F1186" s="261" t="s">
        <v>1288</v>
      </c>
      <c r="G1186" s="371" t="s">
        <v>193</v>
      </c>
      <c r="H1186" s="261" t="s">
        <v>267</v>
      </c>
      <c r="I1186" s="261" t="s">
        <v>1128</v>
      </c>
      <c r="J1186" s="261" t="s">
        <v>1284</v>
      </c>
      <c r="K1186" s="253"/>
      <c r="L1186" s="253"/>
      <c r="M1186" s="253"/>
      <c r="N1186" s="253"/>
      <c r="O1186" s="253"/>
      <c r="P1186" s="253"/>
      <c r="Q1186" s="253"/>
      <c r="R1186" s="253"/>
      <c r="S1186" s="253"/>
    </row>
    <row r="1187" spans="1:19">
      <c r="A1187" s="261" t="s">
        <v>913</v>
      </c>
      <c r="B1187" s="264" t="s">
        <v>194</v>
      </c>
      <c r="C1187" s="261" t="s">
        <v>1292</v>
      </c>
      <c r="D1187" s="261" t="s">
        <v>686</v>
      </c>
      <c r="E1187" s="261"/>
      <c r="F1187" s="261" t="s">
        <v>1288</v>
      </c>
      <c r="G1187" s="371" t="s">
        <v>194</v>
      </c>
      <c r="H1187" s="261" t="s">
        <v>267</v>
      </c>
      <c r="I1187" s="261" t="s">
        <v>1129</v>
      </c>
      <c r="J1187" s="261" t="s">
        <v>1284</v>
      </c>
      <c r="K1187" s="253"/>
      <c r="L1187" s="253"/>
      <c r="M1187" s="253"/>
      <c r="N1187" s="253"/>
      <c r="O1187" s="253"/>
      <c r="P1187" s="253"/>
      <c r="Q1187" s="253"/>
      <c r="R1187" s="253"/>
      <c r="S1187" s="253"/>
    </row>
    <row r="1188" spans="1:19">
      <c r="A1188" s="261" t="s">
        <v>913</v>
      </c>
      <c r="B1188" s="264" t="s">
        <v>195</v>
      </c>
      <c r="C1188" s="261" t="s">
        <v>1292</v>
      </c>
      <c r="D1188" s="261" t="s">
        <v>686</v>
      </c>
      <c r="E1188" s="261"/>
      <c r="F1188" s="261" t="s">
        <v>1288</v>
      </c>
      <c r="G1188" s="371" t="s">
        <v>195</v>
      </c>
      <c r="H1188" s="261" t="s">
        <v>267</v>
      </c>
      <c r="I1188" s="261" t="s">
        <v>1130</v>
      </c>
      <c r="J1188" s="261" t="s">
        <v>1284</v>
      </c>
      <c r="K1188" s="253"/>
      <c r="L1188" s="253"/>
      <c r="M1188" s="253"/>
      <c r="N1188" s="253"/>
      <c r="O1188" s="253"/>
      <c r="P1188" s="253"/>
      <c r="Q1188" s="253"/>
      <c r="R1188" s="253"/>
      <c r="S1188" s="253"/>
    </row>
    <row r="1189" spans="1:19">
      <c r="A1189" s="261" t="s">
        <v>1136</v>
      </c>
      <c r="B1189" s="261" t="s">
        <v>1178</v>
      </c>
      <c r="C1189" s="261" t="s">
        <v>1292</v>
      </c>
      <c r="D1189" s="261" t="s">
        <v>686</v>
      </c>
      <c r="E1189" s="261"/>
      <c r="F1189" s="261" t="s">
        <v>1288</v>
      </c>
      <c r="G1189" s="363" t="s">
        <v>1178</v>
      </c>
      <c r="H1189" s="261" t="s">
        <v>267</v>
      </c>
      <c r="I1189" s="261" t="s">
        <v>1179</v>
      </c>
      <c r="J1189" s="261" t="s">
        <v>1284</v>
      </c>
      <c r="K1189" s="253"/>
      <c r="L1189" s="253"/>
      <c r="M1189" s="253"/>
      <c r="N1189" s="253"/>
      <c r="O1189" s="253"/>
      <c r="P1189" s="253"/>
      <c r="Q1189" s="253"/>
      <c r="R1189" s="253"/>
      <c r="S1189" s="253"/>
    </row>
    <row r="1190" spans="1:19">
      <c r="A1190" s="261" t="s">
        <v>913</v>
      </c>
      <c r="B1190" s="261" t="s">
        <v>426</v>
      </c>
      <c r="C1190" s="261" t="s">
        <v>1292</v>
      </c>
      <c r="D1190" s="261" t="s">
        <v>686</v>
      </c>
      <c r="E1190" s="261"/>
      <c r="F1190" s="261" t="s">
        <v>1288</v>
      </c>
      <c r="G1190" s="363" t="s">
        <v>1131</v>
      </c>
      <c r="H1190" s="261" t="s">
        <v>1292</v>
      </c>
      <c r="I1190" s="261" t="s">
        <v>1132</v>
      </c>
      <c r="J1190" s="261" t="s">
        <v>1284</v>
      </c>
      <c r="K1190" s="253"/>
      <c r="L1190" s="253"/>
      <c r="M1190" s="253"/>
      <c r="N1190" s="253"/>
      <c r="O1190" s="253"/>
      <c r="P1190" s="253"/>
      <c r="Q1190" s="253"/>
      <c r="R1190" s="253"/>
      <c r="S1190" s="253"/>
    </row>
    <row r="1191" spans="1:19">
      <c r="A1191" s="261" t="s">
        <v>913</v>
      </c>
      <c r="B1191" s="261" t="s">
        <v>1133</v>
      </c>
      <c r="C1191" s="261" t="s">
        <v>1292</v>
      </c>
      <c r="D1191" s="261" t="s">
        <v>686</v>
      </c>
      <c r="E1191" s="261"/>
      <c r="F1191" s="261" t="s">
        <v>1288</v>
      </c>
      <c r="G1191" s="371" t="s">
        <v>1134</v>
      </c>
      <c r="H1191" s="261" t="s">
        <v>1292</v>
      </c>
      <c r="I1191" s="261" t="s">
        <v>1135</v>
      </c>
      <c r="J1191" s="261" t="s">
        <v>1284</v>
      </c>
      <c r="K1191" s="253"/>
      <c r="L1191" s="253"/>
      <c r="M1191" s="253"/>
      <c r="N1191" s="253"/>
      <c r="O1191" s="253"/>
      <c r="P1191" s="253"/>
      <c r="Q1191" s="253"/>
      <c r="R1191" s="253"/>
      <c r="S1191" s="253"/>
    </row>
    <row r="1192" spans="1:19">
      <c r="A1192" s="261" t="s">
        <v>1136</v>
      </c>
      <c r="B1192" s="261" t="s">
        <v>441</v>
      </c>
      <c r="C1192" s="261" t="s">
        <v>1292</v>
      </c>
      <c r="D1192" s="261" t="s">
        <v>686</v>
      </c>
      <c r="E1192" s="261"/>
      <c r="F1192" s="261" t="s">
        <v>1288</v>
      </c>
      <c r="G1192" s="363" t="s">
        <v>443</v>
      </c>
      <c r="H1192" s="261" t="s">
        <v>1292</v>
      </c>
      <c r="I1192" s="261" t="s">
        <v>1137</v>
      </c>
      <c r="J1192" s="261" t="s">
        <v>1284</v>
      </c>
      <c r="K1192" s="253"/>
      <c r="L1192" s="253"/>
      <c r="M1192" s="253"/>
      <c r="N1192" s="253"/>
      <c r="O1192" s="253"/>
      <c r="P1192" s="253"/>
      <c r="Q1192" s="253"/>
      <c r="R1192" s="253"/>
      <c r="S1192" s="253"/>
    </row>
    <row r="1193" spans="1:19">
      <c r="A1193" s="261" t="s">
        <v>1136</v>
      </c>
      <c r="B1193" s="261" t="s">
        <v>401</v>
      </c>
      <c r="C1193" s="261" t="s">
        <v>1292</v>
      </c>
      <c r="D1193" s="261" t="s">
        <v>686</v>
      </c>
      <c r="E1193" s="261"/>
      <c r="F1193" s="261" t="s">
        <v>1288</v>
      </c>
      <c r="G1193" s="363" t="s">
        <v>403</v>
      </c>
      <c r="H1193" s="261" t="s">
        <v>1292</v>
      </c>
      <c r="I1193" s="261" t="s">
        <v>1138</v>
      </c>
      <c r="J1193" s="261" t="s">
        <v>1284</v>
      </c>
      <c r="K1193" s="253"/>
      <c r="L1193" s="253"/>
      <c r="M1193" s="253"/>
      <c r="N1193" s="253"/>
      <c r="O1193" s="253"/>
      <c r="P1193" s="253"/>
      <c r="Q1193" s="253"/>
      <c r="R1193" s="253"/>
      <c r="S1193" s="253"/>
    </row>
    <row r="1194" spans="1:19">
      <c r="A1194" s="261" t="s">
        <v>913</v>
      </c>
      <c r="B1194" s="261" t="s">
        <v>1139</v>
      </c>
      <c r="C1194" s="261" t="s">
        <v>1292</v>
      </c>
      <c r="D1194" s="261" t="s">
        <v>686</v>
      </c>
      <c r="E1194" s="261"/>
      <c r="F1194" s="261" t="s">
        <v>1288</v>
      </c>
      <c r="G1194" s="363" t="s">
        <v>1140</v>
      </c>
      <c r="H1194" s="261" t="s">
        <v>1292</v>
      </c>
      <c r="I1194" s="261" t="s">
        <v>1141</v>
      </c>
      <c r="J1194" s="261" t="s">
        <v>1284</v>
      </c>
      <c r="K1194" s="253"/>
      <c r="L1194" s="253"/>
      <c r="M1194" s="253"/>
      <c r="N1194" s="253"/>
      <c r="O1194" s="253"/>
      <c r="P1194" s="253"/>
      <c r="Q1194" s="253"/>
      <c r="R1194" s="253"/>
      <c r="S1194" s="253"/>
    </row>
    <row r="1195" spans="1:19">
      <c r="A1195" s="261" t="s">
        <v>913</v>
      </c>
      <c r="B1195" s="261" t="s">
        <v>380</v>
      </c>
      <c r="C1195" s="261" t="s">
        <v>1292</v>
      </c>
      <c r="D1195" s="261" t="s">
        <v>686</v>
      </c>
      <c r="E1195" s="261"/>
      <c r="F1195" s="261" t="s">
        <v>1288</v>
      </c>
      <c r="G1195" s="363" t="s">
        <v>170</v>
      </c>
      <c r="H1195" s="261" t="s">
        <v>1292</v>
      </c>
      <c r="I1195" s="261" t="s">
        <v>1142</v>
      </c>
      <c r="J1195" s="261" t="s">
        <v>1284</v>
      </c>
      <c r="K1195" s="253"/>
      <c r="L1195" s="253"/>
      <c r="M1195" s="253"/>
      <c r="N1195" s="253"/>
      <c r="O1195" s="253"/>
      <c r="P1195" s="253"/>
      <c r="Q1195" s="253"/>
      <c r="R1195" s="253"/>
      <c r="S1195" s="253"/>
    </row>
    <row r="1196" spans="1:19">
      <c r="A1196" s="261" t="s">
        <v>1287</v>
      </c>
      <c r="B1196" s="359" t="s">
        <v>1294</v>
      </c>
      <c r="C1196" s="261" t="s">
        <v>1292</v>
      </c>
      <c r="D1196" s="261" t="s">
        <v>686</v>
      </c>
      <c r="E1196" s="261"/>
      <c r="F1196" s="261" t="s">
        <v>1288</v>
      </c>
      <c r="G1196" s="363" t="s">
        <v>1295</v>
      </c>
      <c r="H1196" s="261" t="s">
        <v>1292</v>
      </c>
      <c r="I1196" s="261" t="s">
        <v>1296</v>
      </c>
      <c r="J1196" s="261" t="s">
        <v>1284</v>
      </c>
      <c r="K1196" s="253"/>
      <c r="L1196" s="253"/>
      <c r="M1196" s="253"/>
      <c r="N1196" s="253"/>
      <c r="O1196" s="253"/>
      <c r="P1196" s="253"/>
      <c r="Q1196" s="253"/>
      <c r="R1196" s="253"/>
      <c r="S1196" s="253"/>
    </row>
    <row r="1197" spans="1:19">
      <c r="A1197" s="261" t="s">
        <v>1287</v>
      </c>
      <c r="B1197" s="359" t="s">
        <v>1297</v>
      </c>
      <c r="C1197" s="261" t="s">
        <v>1292</v>
      </c>
      <c r="D1197" s="261" t="s">
        <v>686</v>
      </c>
      <c r="E1197" s="261"/>
      <c r="F1197" s="261" t="s">
        <v>1288</v>
      </c>
      <c r="G1197" s="363" t="s">
        <v>1298</v>
      </c>
      <c r="H1197" s="261" t="s">
        <v>1292</v>
      </c>
      <c r="I1197" s="261" t="s">
        <v>1299</v>
      </c>
      <c r="J1197" s="261" t="s">
        <v>1284</v>
      </c>
      <c r="K1197" s="253"/>
      <c r="L1197" s="253"/>
      <c r="M1197" s="253"/>
      <c r="N1197" s="253"/>
      <c r="O1197" s="253"/>
      <c r="P1197" s="253"/>
      <c r="Q1197" s="253"/>
      <c r="R1197" s="253"/>
      <c r="S1197" s="253"/>
    </row>
    <row r="1198" spans="1:19">
      <c r="A1198" s="261" t="s">
        <v>1287</v>
      </c>
      <c r="B1198" s="359" t="s">
        <v>1300</v>
      </c>
      <c r="C1198" s="261" t="s">
        <v>1292</v>
      </c>
      <c r="D1198" s="261" t="s">
        <v>686</v>
      </c>
      <c r="E1198" s="261"/>
      <c r="F1198" s="261" t="s">
        <v>1288</v>
      </c>
      <c r="G1198" s="363" t="s">
        <v>1301</v>
      </c>
      <c r="H1198" s="261" t="s">
        <v>1292</v>
      </c>
      <c r="I1198" s="261" t="s">
        <v>1302</v>
      </c>
      <c r="J1198" s="261" t="s">
        <v>1284</v>
      </c>
      <c r="K1198" s="253"/>
      <c r="L1198" s="253"/>
      <c r="M1198" s="253"/>
      <c r="N1198" s="253"/>
      <c r="O1198" s="253"/>
      <c r="P1198" s="253"/>
      <c r="Q1198" s="253"/>
      <c r="R1198" s="253"/>
      <c r="S1198" s="253"/>
    </row>
    <row r="1199" spans="1:19">
      <c r="A1199" s="261" t="s">
        <v>1287</v>
      </c>
      <c r="B1199" s="359" t="s">
        <v>1303</v>
      </c>
      <c r="C1199" s="261" t="s">
        <v>1292</v>
      </c>
      <c r="D1199" s="261" t="s">
        <v>686</v>
      </c>
      <c r="E1199" s="261"/>
      <c r="F1199" s="261" t="s">
        <v>1288</v>
      </c>
      <c r="G1199" s="363" t="s">
        <v>1304</v>
      </c>
      <c r="H1199" s="261" t="s">
        <v>1292</v>
      </c>
      <c r="I1199" s="261" t="s">
        <v>1305</v>
      </c>
      <c r="J1199" s="261" t="s">
        <v>1284</v>
      </c>
      <c r="K1199" s="253"/>
      <c r="L1199" s="253"/>
      <c r="M1199" s="253"/>
      <c r="N1199" s="253"/>
      <c r="O1199" s="253"/>
      <c r="P1199" s="253"/>
      <c r="Q1199" s="253"/>
      <c r="R1199" s="253"/>
      <c r="S1199" s="253"/>
    </row>
    <row r="1200" spans="1:19">
      <c r="A1200" s="261" t="s">
        <v>1287</v>
      </c>
      <c r="B1200" s="359" t="s">
        <v>1306</v>
      </c>
      <c r="C1200" s="261" t="s">
        <v>1292</v>
      </c>
      <c r="D1200" s="261" t="s">
        <v>686</v>
      </c>
      <c r="E1200" s="261"/>
      <c r="F1200" s="261" t="s">
        <v>1288</v>
      </c>
      <c r="G1200" s="363" t="s">
        <v>1307</v>
      </c>
      <c r="H1200" s="261" t="s">
        <v>1292</v>
      </c>
      <c r="I1200" s="261" t="s">
        <v>1308</v>
      </c>
      <c r="J1200" s="261" t="s">
        <v>1284</v>
      </c>
      <c r="K1200" s="253"/>
      <c r="L1200" s="253"/>
      <c r="M1200" s="253"/>
      <c r="N1200" s="253"/>
      <c r="O1200" s="253"/>
      <c r="P1200" s="253"/>
      <c r="Q1200" s="253"/>
      <c r="R1200" s="253"/>
      <c r="S1200" s="253"/>
    </row>
    <row r="1201" spans="1:19">
      <c r="A1201" s="261"/>
      <c r="B1201" s="359"/>
      <c r="C1201" s="261" t="s">
        <v>1292</v>
      </c>
      <c r="D1201" s="261" t="s">
        <v>1309</v>
      </c>
      <c r="E1201" s="372" t="s">
        <v>119</v>
      </c>
      <c r="F1201" s="261" t="s">
        <v>1288</v>
      </c>
      <c r="G1201" s="363" t="s">
        <v>1310</v>
      </c>
      <c r="H1201" s="261" t="s">
        <v>1292</v>
      </c>
      <c r="I1201" s="261" t="s">
        <v>1311</v>
      </c>
      <c r="J1201" s="261" t="s">
        <v>1284</v>
      </c>
      <c r="K1201" s="253"/>
      <c r="L1201" s="253"/>
      <c r="M1201" s="253"/>
      <c r="N1201" s="253"/>
      <c r="O1201" s="253"/>
      <c r="P1201" s="253"/>
      <c r="Q1201" s="253"/>
      <c r="R1201" s="253"/>
      <c r="S1201" s="253"/>
    </row>
    <row r="1202" spans="1:19">
      <c r="A1202" s="261"/>
      <c r="B1202" s="359"/>
      <c r="C1202" s="261" t="s">
        <v>1292</v>
      </c>
      <c r="D1202" s="261" t="s">
        <v>1309</v>
      </c>
      <c r="E1202" s="372" t="s">
        <v>119</v>
      </c>
      <c r="F1202" s="261" t="s">
        <v>1288</v>
      </c>
      <c r="G1202" s="363" t="s">
        <v>1312</v>
      </c>
      <c r="H1202" s="261" t="s">
        <v>1292</v>
      </c>
      <c r="I1202" s="261" t="s">
        <v>1313</v>
      </c>
      <c r="J1202" s="261" t="s">
        <v>1284</v>
      </c>
      <c r="K1202" s="253"/>
      <c r="L1202" s="253"/>
      <c r="M1202" s="253"/>
      <c r="N1202" s="253"/>
      <c r="O1202" s="253"/>
      <c r="P1202" s="253"/>
      <c r="Q1202" s="253"/>
      <c r="R1202" s="253"/>
      <c r="S1202" s="253"/>
    </row>
    <row r="1203" spans="1:19">
      <c r="A1203" s="261" t="s">
        <v>1118</v>
      </c>
      <c r="B1203" s="359" t="s">
        <v>1167</v>
      </c>
      <c r="C1203" s="261" t="s">
        <v>1292</v>
      </c>
      <c r="D1203" s="261" t="s">
        <v>686</v>
      </c>
      <c r="E1203" s="261"/>
      <c r="F1203" s="261" t="s">
        <v>1288</v>
      </c>
      <c r="G1203" s="363" t="s">
        <v>1168</v>
      </c>
      <c r="H1203" s="261" t="s">
        <v>1292</v>
      </c>
      <c r="I1203" s="261" t="s">
        <v>1169</v>
      </c>
      <c r="J1203" s="261" t="s">
        <v>1284</v>
      </c>
      <c r="K1203" s="253"/>
      <c r="L1203" s="253"/>
      <c r="M1203" s="253"/>
      <c r="N1203" s="253"/>
      <c r="O1203" s="253"/>
      <c r="P1203" s="253"/>
      <c r="Q1203" s="253"/>
      <c r="R1203" s="253"/>
      <c r="S1203" s="253"/>
    </row>
    <row r="1204" spans="1:19">
      <c r="A1204" s="261" t="s">
        <v>913</v>
      </c>
      <c r="B1204" s="359" t="s">
        <v>1164</v>
      </c>
      <c r="C1204" s="261" t="s">
        <v>1292</v>
      </c>
      <c r="D1204" s="261" t="s">
        <v>686</v>
      </c>
      <c r="E1204" s="261"/>
      <c r="F1204" s="261" t="s">
        <v>1288</v>
      </c>
      <c r="G1204" s="363" t="s">
        <v>1165</v>
      </c>
      <c r="H1204" s="261" t="s">
        <v>1292</v>
      </c>
      <c r="I1204" s="261" t="s">
        <v>1166</v>
      </c>
      <c r="J1204" s="261" t="s">
        <v>1284</v>
      </c>
      <c r="K1204" s="253"/>
      <c r="L1204" s="253"/>
      <c r="M1204" s="253"/>
      <c r="N1204" s="253"/>
      <c r="O1204" s="253"/>
      <c r="P1204" s="253"/>
      <c r="Q1204" s="253"/>
      <c r="R1204" s="253"/>
      <c r="S1204" s="253"/>
    </row>
    <row r="1205" spans="1:19">
      <c r="A1205" s="261" t="s">
        <v>913</v>
      </c>
      <c r="B1205" s="359" t="s">
        <v>1113</v>
      </c>
      <c r="C1205" s="261" t="s">
        <v>1292</v>
      </c>
      <c r="D1205" s="261" t="s">
        <v>686</v>
      </c>
      <c r="E1205" s="261"/>
      <c r="F1205" s="261" t="s">
        <v>1288</v>
      </c>
      <c r="G1205" s="363" t="s">
        <v>1114</v>
      </c>
      <c r="H1205" s="261" t="s">
        <v>1292</v>
      </c>
      <c r="I1205" s="261" t="s">
        <v>1115</v>
      </c>
      <c r="J1205" s="261" t="s">
        <v>1284</v>
      </c>
      <c r="K1205" s="253"/>
      <c r="L1205" s="253"/>
      <c r="M1205" s="253"/>
      <c r="N1205" s="253"/>
      <c r="O1205" s="253"/>
      <c r="P1205" s="253"/>
      <c r="Q1205" s="253"/>
      <c r="R1205" s="253"/>
      <c r="S1205" s="253"/>
    </row>
    <row r="1206" spans="1:19">
      <c r="A1206" s="261" t="s">
        <v>913</v>
      </c>
      <c r="B1206" s="359" t="s">
        <v>1143</v>
      </c>
      <c r="C1206" s="261" t="s">
        <v>1292</v>
      </c>
      <c r="D1206" s="261" t="s">
        <v>686</v>
      </c>
      <c r="E1206" s="261"/>
      <c r="F1206" s="261" t="s">
        <v>1288</v>
      </c>
      <c r="G1206" s="363" t="s">
        <v>1144</v>
      </c>
      <c r="H1206" s="261" t="s">
        <v>1292</v>
      </c>
      <c r="I1206" s="261" t="s">
        <v>1145</v>
      </c>
      <c r="J1206" s="261" t="s">
        <v>1284</v>
      </c>
      <c r="K1206" s="253"/>
      <c r="L1206" s="253"/>
      <c r="M1206" s="253"/>
      <c r="N1206" s="253"/>
      <c r="O1206" s="253"/>
      <c r="P1206" s="253"/>
      <c r="Q1206" s="253"/>
      <c r="R1206" s="253"/>
      <c r="S1206" s="253"/>
    </row>
    <row r="1207" spans="1:19">
      <c r="A1207" s="263" t="s">
        <v>1118</v>
      </c>
      <c r="B1207" s="359" t="s">
        <v>1146</v>
      </c>
      <c r="C1207" s="261" t="s">
        <v>267</v>
      </c>
      <c r="D1207" s="261" t="s">
        <v>686</v>
      </c>
      <c r="E1207" s="261"/>
      <c r="F1207" s="261" t="s">
        <v>1288</v>
      </c>
      <c r="G1207" s="363" t="s">
        <v>1147</v>
      </c>
      <c r="H1207" s="261" t="s">
        <v>1292</v>
      </c>
      <c r="I1207" s="261" t="s">
        <v>1148</v>
      </c>
      <c r="J1207" s="261" t="s">
        <v>1284</v>
      </c>
      <c r="K1207" s="253"/>
      <c r="L1207" s="253"/>
      <c r="M1207" s="253"/>
      <c r="N1207" s="253"/>
      <c r="O1207" s="253"/>
      <c r="P1207" s="253"/>
      <c r="Q1207" s="253"/>
      <c r="R1207" s="253"/>
      <c r="S1207" s="253"/>
    </row>
    <row r="1208" spans="1:19">
      <c r="A1208" s="263" t="s">
        <v>1118</v>
      </c>
      <c r="B1208" s="359" t="s">
        <v>1149</v>
      </c>
      <c r="C1208" s="261" t="s">
        <v>267</v>
      </c>
      <c r="D1208" s="261" t="s">
        <v>686</v>
      </c>
      <c r="E1208" s="261"/>
      <c r="F1208" s="261" t="s">
        <v>1288</v>
      </c>
      <c r="G1208" s="363" t="s">
        <v>1150</v>
      </c>
      <c r="H1208" s="261" t="s">
        <v>1292</v>
      </c>
      <c r="I1208" s="261" t="s">
        <v>1151</v>
      </c>
      <c r="J1208" s="261" t="s">
        <v>1284</v>
      </c>
      <c r="K1208" s="253"/>
      <c r="L1208" s="253"/>
      <c r="M1208" s="253"/>
      <c r="N1208" s="253"/>
      <c r="O1208" s="253"/>
      <c r="P1208" s="253"/>
      <c r="Q1208" s="253"/>
      <c r="R1208" s="253"/>
      <c r="S1208" s="253"/>
    </row>
    <row r="1209" spans="1:19">
      <c r="A1209" s="263" t="s">
        <v>1118</v>
      </c>
      <c r="B1209" s="359" t="s">
        <v>1152</v>
      </c>
      <c r="C1209" s="261" t="s">
        <v>267</v>
      </c>
      <c r="D1209" s="261" t="s">
        <v>686</v>
      </c>
      <c r="E1209" s="261"/>
      <c r="F1209" s="261" t="s">
        <v>1288</v>
      </c>
      <c r="G1209" s="363" t="s">
        <v>1153</v>
      </c>
      <c r="H1209" s="261" t="s">
        <v>1292</v>
      </c>
      <c r="I1209" s="261" t="s">
        <v>1154</v>
      </c>
      <c r="J1209" s="261" t="s">
        <v>1284</v>
      </c>
      <c r="K1209" s="253"/>
      <c r="L1209" s="253"/>
      <c r="M1209" s="253"/>
      <c r="N1209" s="253"/>
      <c r="O1209" s="253"/>
      <c r="P1209" s="253"/>
      <c r="Q1209" s="253"/>
      <c r="R1209" s="253"/>
      <c r="S1209" s="253"/>
    </row>
    <row r="1210" spans="1:19">
      <c r="A1210" s="261" t="s">
        <v>913</v>
      </c>
      <c r="B1210" s="359" t="s">
        <v>419</v>
      </c>
      <c r="C1210" s="261" t="s">
        <v>1293</v>
      </c>
      <c r="D1210" s="261" t="s">
        <v>686</v>
      </c>
      <c r="E1210" s="261"/>
      <c r="F1210" s="261" t="s">
        <v>1288</v>
      </c>
      <c r="G1210" s="363" t="s">
        <v>1155</v>
      </c>
      <c r="H1210" s="261" t="s">
        <v>1293</v>
      </c>
      <c r="I1210" s="261" t="s">
        <v>1156</v>
      </c>
      <c r="J1210" s="261" t="s">
        <v>1284</v>
      </c>
      <c r="K1210" s="253"/>
      <c r="L1210" s="253"/>
      <c r="M1210" s="253"/>
      <c r="N1210" s="253"/>
      <c r="O1210" s="253"/>
      <c r="P1210" s="253"/>
      <c r="Q1210" s="253"/>
      <c r="R1210" s="253"/>
      <c r="S1210" s="253"/>
    </row>
    <row r="1211" spans="1:19">
      <c r="A1211" s="261" t="s">
        <v>913</v>
      </c>
      <c r="B1211" s="359" t="s">
        <v>385</v>
      </c>
      <c r="C1211" s="261" t="s">
        <v>267</v>
      </c>
      <c r="D1211" s="261" t="s">
        <v>686</v>
      </c>
      <c r="E1211" s="261"/>
      <c r="F1211" s="261" t="s">
        <v>1288</v>
      </c>
      <c r="G1211" s="363" t="s">
        <v>110</v>
      </c>
      <c r="H1211" s="261" t="s">
        <v>267</v>
      </c>
      <c r="I1211" s="261" t="s">
        <v>1157</v>
      </c>
      <c r="J1211" s="261" t="s">
        <v>1284</v>
      </c>
      <c r="K1211" s="253"/>
      <c r="L1211" s="253"/>
      <c r="M1211" s="253"/>
      <c r="N1211" s="253"/>
      <c r="O1211" s="253"/>
      <c r="P1211" s="253"/>
      <c r="Q1211" s="253"/>
      <c r="R1211" s="253"/>
      <c r="S1211" s="253"/>
    </row>
    <row r="1212" spans="1:19">
      <c r="A1212" s="261" t="s">
        <v>913</v>
      </c>
      <c r="B1212" s="268" t="s">
        <v>100</v>
      </c>
      <c r="C1212" s="268" t="s">
        <v>267</v>
      </c>
      <c r="D1212" s="299" t="s">
        <v>686</v>
      </c>
      <c r="E1212" s="299"/>
      <c r="F1212" s="261" t="s">
        <v>1288</v>
      </c>
      <c r="G1212" s="268" t="s">
        <v>100</v>
      </c>
      <c r="H1212" s="291" t="s">
        <v>267</v>
      </c>
      <c r="J1212" s="261" t="s">
        <v>1284</v>
      </c>
      <c r="K1212" s="291"/>
      <c r="L1212" s="291"/>
      <c r="M1212" s="291"/>
      <c r="N1212" s="291"/>
      <c r="O1212" s="291"/>
      <c r="P1212" s="291"/>
      <c r="Q1212" s="291"/>
      <c r="R1212" s="291"/>
      <c r="S1212" s="291"/>
    </row>
    <row r="1213" spans="1:19">
      <c r="A1213" s="261" t="s">
        <v>913</v>
      </c>
      <c r="B1213" s="261" t="s">
        <v>1170</v>
      </c>
      <c r="C1213" s="261" t="s">
        <v>267</v>
      </c>
      <c r="D1213" s="261" t="s">
        <v>686</v>
      </c>
      <c r="E1213" s="261"/>
      <c r="F1213" s="261" t="s">
        <v>1288</v>
      </c>
      <c r="G1213" s="363" t="s">
        <v>1171</v>
      </c>
      <c r="H1213" s="261" t="s">
        <v>267</v>
      </c>
      <c r="I1213" s="261" t="s">
        <v>1172</v>
      </c>
      <c r="J1213" s="261" t="s">
        <v>1284</v>
      </c>
      <c r="K1213" s="253"/>
      <c r="L1213" s="253"/>
      <c r="M1213" s="253"/>
      <c r="N1213" s="253"/>
      <c r="O1213" s="253"/>
      <c r="P1213" s="253"/>
      <c r="Q1213" s="253"/>
      <c r="R1213" s="253"/>
      <c r="S1213" s="253"/>
    </row>
    <row r="1214" spans="1:19">
      <c r="A1214" s="261" t="s">
        <v>913</v>
      </c>
      <c r="B1214" s="261" t="s">
        <v>1173</v>
      </c>
      <c r="C1214" s="261" t="s">
        <v>267</v>
      </c>
      <c r="D1214" s="261" t="s">
        <v>922</v>
      </c>
      <c r="E1214" s="261" t="s">
        <v>1314</v>
      </c>
      <c r="F1214" s="261" t="s">
        <v>1288</v>
      </c>
      <c r="G1214" s="363" t="s">
        <v>905</v>
      </c>
      <c r="H1214" s="261" t="s">
        <v>267</v>
      </c>
      <c r="I1214" s="261" t="s">
        <v>1175</v>
      </c>
      <c r="J1214" s="261" t="s">
        <v>1284</v>
      </c>
      <c r="K1214" s="253"/>
      <c r="L1214" s="253"/>
      <c r="M1214" s="253"/>
      <c r="N1214" s="253"/>
      <c r="O1214" s="253"/>
      <c r="P1214" s="253"/>
      <c r="Q1214" s="253"/>
      <c r="R1214" s="253"/>
      <c r="S1214" s="253"/>
    </row>
    <row r="1215" spans="1:19" ht="50">
      <c r="A1215" s="373" t="s">
        <v>1118</v>
      </c>
      <c r="B1215" s="374" t="s">
        <v>1315</v>
      </c>
      <c r="C1215" s="261" t="s">
        <v>267</v>
      </c>
      <c r="D1215" s="261" t="s">
        <v>686</v>
      </c>
      <c r="E1215" s="268" t="s">
        <v>1316</v>
      </c>
      <c r="F1215" s="261" t="s">
        <v>1288</v>
      </c>
      <c r="G1215" s="363" t="s">
        <v>1223</v>
      </c>
      <c r="H1215" s="261" t="s">
        <v>267</v>
      </c>
      <c r="I1215" s="261" t="s">
        <v>1224</v>
      </c>
      <c r="J1215" s="261" t="s">
        <v>1284</v>
      </c>
      <c r="K1215" s="253"/>
      <c r="L1215" s="253"/>
      <c r="M1215" s="253"/>
      <c r="N1215" s="253"/>
      <c r="O1215" s="253"/>
      <c r="P1215" s="253"/>
      <c r="Q1215" s="253"/>
      <c r="R1215" s="253"/>
      <c r="S1215" s="253"/>
    </row>
    <row r="1216" spans="1:19" ht="50">
      <c r="A1216" s="261" t="s">
        <v>1317</v>
      </c>
      <c r="B1216" s="374" t="s">
        <v>1318</v>
      </c>
      <c r="C1216" s="261" t="s">
        <v>267</v>
      </c>
      <c r="D1216" s="261" t="s">
        <v>922</v>
      </c>
      <c r="E1216" s="268" t="s">
        <v>1319</v>
      </c>
      <c r="F1216" s="261" t="s">
        <v>1288</v>
      </c>
      <c r="G1216" s="363" t="s">
        <v>1320</v>
      </c>
      <c r="H1216" s="261" t="s">
        <v>1293</v>
      </c>
      <c r="I1216" s="261" t="s">
        <v>1321</v>
      </c>
      <c r="J1216" s="261" t="s">
        <v>1284</v>
      </c>
      <c r="K1216" s="291"/>
      <c r="L1216" s="291"/>
      <c r="M1216" s="291"/>
      <c r="N1216" s="291"/>
      <c r="O1216" s="291"/>
      <c r="P1216" s="291"/>
      <c r="Q1216" s="291"/>
      <c r="R1216" s="291"/>
      <c r="S1216" s="291"/>
    </row>
    <row r="1217" spans="1:19" ht="37.5">
      <c r="A1217" s="261" t="s">
        <v>1136</v>
      </c>
      <c r="B1217" s="268" t="s">
        <v>1322</v>
      </c>
      <c r="C1217" s="261"/>
      <c r="D1217" s="261" t="s">
        <v>922</v>
      </c>
      <c r="E1217" s="268" t="s">
        <v>1323</v>
      </c>
      <c r="F1217" s="261" t="s">
        <v>1288</v>
      </c>
      <c r="G1217" s="363" t="s">
        <v>1324</v>
      </c>
      <c r="H1217" s="261" t="s">
        <v>1293</v>
      </c>
      <c r="I1217" s="261" t="s">
        <v>1325</v>
      </c>
      <c r="J1217" s="261" t="s">
        <v>1284</v>
      </c>
      <c r="K1217" s="253"/>
      <c r="L1217" s="253"/>
      <c r="M1217" s="253"/>
      <c r="N1217" s="253"/>
      <c r="O1217" s="253"/>
      <c r="P1217" s="253"/>
      <c r="Q1217" s="253"/>
      <c r="R1217" s="253"/>
      <c r="S1217" s="253"/>
    </row>
    <row r="1218" spans="1:19" ht="37.5">
      <c r="A1218" s="261" t="s">
        <v>1287</v>
      </c>
      <c r="B1218" s="359" t="s">
        <v>1326</v>
      </c>
      <c r="C1218" s="261" t="s">
        <v>1327</v>
      </c>
      <c r="D1218" s="261" t="s">
        <v>922</v>
      </c>
      <c r="E1218" s="360" t="s">
        <v>1328</v>
      </c>
      <c r="F1218" s="261" t="s">
        <v>1288</v>
      </c>
      <c r="G1218" s="363" t="s">
        <v>1329</v>
      </c>
      <c r="H1218" s="261" t="s">
        <v>1327</v>
      </c>
      <c r="I1218" s="261" t="s">
        <v>1330</v>
      </c>
      <c r="J1218" s="261" t="s">
        <v>1284</v>
      </c>
      <c r="K1218" s="253"/>
      <c r="L1218" s="253"/>
      <c r="M1218" s="253"/>
      <c r="N1218" s="253"/>
      <c r="O1218" s="253"/>
      <c r="P1218" s="253"/>
      <c r="Q1218" s="253"/>
      <c r="R1218" s="253"/>
      <c r="S1218" s="253"/>
    </row>
    <row r="1219" spans="1:19" ht="37.5">
      <c r="A1219" s="261" t="s">
        <v>1287</v>
      </c>
      <c r="B1219" s="359" t="s">
        <v>1331</v>
      </c>
      <c r="C1219" s="261" t="s">
        <v>1327</v>
      </c>
      <c r="D1219" s="261" t="s">
        <v>922</v>
      </c>
      <c r="E1219" s="263" t="s">
        <v>1332</v>
      </c>
      <c r="F1219" s="261" t="s">
        <v>1288</v>
      </c>
      <c r="G1219" s="363" t="s">
        <v>1333</v>
      </c>
      <c r="H1219" s="261" t="s">
        <v>1327</v>
      </c>
      <c r="I1219" s="261" t="s">
        <v>1334</v>
      </c>
      <c r="J1219" s="261" t="s">
        <v>1284</v>
      </c>
      <c r="K1219" s="253"/>
      <c r="L1219" s="253"/>
      <c r="M1219" s="253"/>
      <c r="N1219" s="253"/>
      <c r="O1219" s="253"/>
      <c r="P1219" s="253"/>
      <c r="Q1219" s="253"/>
      <c r="R1219" s="253"/>
      <c r="S1219" s="253"/>
    </row>
    <row r="1220" spans="1:19" ht="25">
      <c r="A1220" s="261" t="s">
        <v>1287</v>
      </c>
      <c r="B1220" s="263" t="s">
        <v>1335</v>
      </c>
      <c r="C1220" s="261" t="s">
        <v>1327</v>
      </c>
      <c r="D1220" s="261" t="s">
        <v>922</v>
      </c>
      <c r="E1220" s="268" t="s">
        <v>1336</v>
      </c>
      <c r="F1220" s="261" t="s">
        <v>1288</v>
      </c>
      <c r="G1220" s="363" t="s">
        <v>1337</v>
      </c>
      <c r="H1220" s="261" t="s">
        <v>1327</v>
      </c>
      <c r="I1220" s="261" t="s">
        <v>1338</v>
      </c>
      <c r="J1220" s="261" t="s">
        <v>1284</v>
      </c>
      <c r="K1220" s="253"/>
      <c r="L1220" s="253"/>
      <c r="M1220" s="253"/>
      <c r="N1220" s="253"/>
      <c r="O1220" s="253"/>
      <c r="P1220" s="253"/>
      <c r="Q1220" s="253"/>
      <c r="R1220" s="253"/>
      <c r="S1220" s="253"/>
    </row>
    <row r="1221" spans="1:19" ht="25">
      <c r="A1221" s="261"/>
      <c r="B1221" s="268" t="s">
        <v>1339</v>
      </c>
      <c r="C1221" s="261"/>
      <c r="D1221" s="261" t="s">
        <v>922</v>
      </c>
      <c r="E1221" s="268" t="s">
        <v>1340</v>
      </c>
      <c r="F1221" s="261" t="s">
        <v>1288</v>
      </c>
      <c r="G1221" s="363" t="s">
        <v>1341</v>
      </c>
      <c r="H1221" s="261" t="s">
        <v>1327</v>
      </c>
      <c r="I1221" s="261" t="s">
        <v>1342</v>
      </c>
      <c r="J1221" s="261" t="s">
        <v>1284</v>
      </c>
      <c r="K1221" s="253"/>
      <c r="L1221" s="253"/>
      <c r="M1221" s="253"/>
      <c r="N1221" s="253"/>
      <c r="O1221" s="253"/>
      <c r="P1221" s="253"/>
      <c r="Q1221" s="253"/>
      <c r="R1221" s="253"/>
      <c r="S1221" s="253"/>
    </row>
    <row r="1222" spans="1:19" ht="25">
      <c r="A1222" s="261"/>
      <c r="B1222" s="268" t="s">
        <v>1339</v>
      </c>
      <c r="C1222" s="261"/>
      <c r="D1222" s="261" t="s">
        <v>922</v>
      </c>
      <c r="E1222" s="268" t="s">
        <v>1343</v>
      </c>
      <c r="F1222" s="261" t="s">
        <v>1288</v>
      </c>
      <c r="G1222" s="363" t="s">
        <v>1344</v>
      </c>
      <c r="H1222" s="261" t="s">
        <v>1327</v>
      </c>
      <c r="I1222" s="261" t="s">
        <v>1345</v>
      </c>
      <c r="J1222" s="261" t="s">
        <v>1284</v>
      </c>
      <c r="K1222" s="253"/>
      <c r="L1222" s="253"/>
      <c r="M1222" s="253"/>
      <c r="N1222" s="253"/>
      <c r="O1222" s="253"/>
      <c r="P1222" s="253"/>
      <c r="Q1222" s="253"/>
      <c r="R1222" s="253"/>
      <c r="S1222" s="253"/>
    </row>
    <row r="1223" spans="1:19" ht="25">
      <c r="A1223" s="261"/>
      <c r="B1223" s="268" t="s">
        <v>1339</v>
      </c>
      <c r="C1223" s="261"/>
      <c r="D1223" s="261" t="s">
        <v>922</v>
      </c>
      <c r="E1223" s="268" t="s">
        <v>1346</v>
      </c>
      <c r="F1223" s="261" t="s">
        <v>1288</v>
      </c>
      <c r="G1223" s="363" t="s">
        <v>1347</v>
      </c>
      <c r="H1223" s="261" t="s">
        <v>1327</v>
      </c>
      <c r="I1223" s="261" t="s">
        <v>1348</v>
      </c>
      <c r="J1223" s="261" t="s">
        <v>1284</v>
      </c>
      <c r="K1223" s="253"/>
      <c r="L1223" s="253"/>
      <c r="M1223" s="253"/>
      <c r="N1223" s="253"/>
      <c r="O1223" s="253"/>
      <c r="P1223" s="253"/>
      <c r="Q1223" s="253"/>
      <c r="R1223" s="253"/>
      <c r="S1223" s="253"/>
    </row>
    <row r="1224" spans="1:19" ht="37.5">
      <c r="A1224" s="360" t="s">
        <v>1349</v>
      </c>
      <c r="B1224" s="268" t="s">
        <v>1350</v>
      </c>
      <c r="C1224" s="261"/>
      <c r="D1224" s="261" t="s">
        <v>922</v>
      </c>
      <c r="E1224" s="268" t="s">
        <v>1351</v>
      </c>
      <c r="F1224" s="261" t="s">
        <v>1288</v>
      </c>
      <c r="G1224" s="363" t="s">
        <v>1352</v>
      </c>
      <c r="H1224" s="261" t="s">
        <v>1293</v>
      </c>
      <c r="I1224" s="261" t="s">
        <v>1353</v>
      </c>
      <c r="J1224" s="261" t="s">
        <v>1284</v>
      </c>
      <c r="K1224" s="253"/>
      <c r="L1224" s="253"/>
      <c r="M1224" s="253"/>
      <c r="N1224" s="253"/>
      <c r="O1224" s="253"/>
      <c r="P1224" s="253"/>
      <c r="Q1224" s="253"/>
      <c r="R1224" s="253"/>
      <c r="S1224" s="253"/>
    </row>
    <row r="1225" spans="1:19" ht="62.5">
      <c r="A1225" s="261" t="s">
        <v>913</v>
      </c>
      <c r="B1225" s="268" t="s">
        <v>312</v>
      </c>
      <c r="C1225" s="268" t="s">
        <v>267</v>
      </c>
      <c r="D1225" s="268" t="s">
        <v>922</v>
      </c>
      <c r="E1225" s="268" t="s">
        <v>1354</v>
      </c>
      <c r="F1225" s="261" t="s">
        <v>1288</v>
      </c>
      <c r="G1225" s="105" t="s">
        <v>1355</v>
      </c>
      <c r="H1225" s="261" t="s">
        <v>1293</v>
      </c>
      <c r="I1225" s="105"/>
      <c r="J1225" s="261" t="s">
        <v>1284</v>
      </c>
      <c r="K1225" s="253"/>
      <c r="L1225" s="253"/>
      <c r="M1225" s="253"/>
      <c r="N1225" s="253"/>
      <c r="O1225" s="253"/>
      <c r="P1225" s="253"/>
      <c r="Q1225" s="253"/>
      <c r="R1225" s="253"/>
      <c r="S1225" s="253"/>
    </row>
    <row r="1226" spans="1:19">
      <c r="K1226" s="253"/>
      <c r="L1226" s="253"/>
      <c r="M1226" s="253"/>
      <c r="N1226" s="253"/>
      <c r="O1226" s="253"/>
      <c r="P1226" s="253"/>
      <c r="Q1226" s="253"/>
      <c r="R1226" s="253"/>
      <c r="S1226" s="253"/>
    </row>
    <row r="1227" spans="1:19">
      <c r="A1227" s="291"/>
      <c r="B1227" s="299"/>
      <c r="C1227" s="299"/>
      <c r="D1227" s="299"/>
      <c r="E1227" s="299"/>
      <c r="F1227" s="291"/>
      <c r="H1227" s="291"/>
      <c r="J1227" s="291"/>
      <c r="K1227" s="253"/>
      <c r="L1227" s="253"/>
      <c r="M1227" s="253"/>
      <c r="N1227" s="253"/>
      <c r="O1227" s="253"/>
      <c r="P1227" s="253"/>
      <c r="Q1227" s="253"/>
      <c r="R1227" s="253"/>
      <c r="S1227" s="253"/>
    </row>
    <row r="1228" spans="1:19">
      <c r="A1228" s="291"/>
      <c r="B1228" s="299"/>
      <c r="C1228" s="299"/>
      <c r="D1228" s="299"/>
      <c r="E1228" s="299"/>
      <c r="F1228" s="291"/>
      <c r="H1228" s="291"/>
      <c r="J1228" s="291"/>
      <c r="K1228" s="253"/>
      <c r="L1228" s="253"/>
      <c r="M1228" s="253"/>
      <c r="N1228" s="253"/>
      <c r="O1228" s="253"/>
      <c r="P1228" s="253"/>
      <c r="Q1228" s="253"/>
      <c r="R1228" s="253"/>
      <c r="S1228" s="253"/>
    </row>
    <row r="1229" spans="1:19">
      <c r="A1229" s="291"/>
      <c r="B1229" s="299"/>
      <c r="C1229" s="299"/>
      <c r="D1229" s="299"/>
      <c r="E1229" s="299"/>
      <c r="F1229" s="291"/>
      <c r="H1229" s="291"/>
      <c r="J1229" s="291"/>
      <c r="K1229" s="253"/>
      <c r="L1229" s="253"/>
      <c r="M1229" s="253"/>
      <c r="N1229" s="253"/>
      <c r="O1229" s="253"/>
      <c r="P1229" s="253"/>
      <c r="Q1229" s="253"/>
      <c r="R1229" s="253"/>
      <c r="S1229" s="253"/>
    </row>
    <row r="1230" spans="1:19">
      <c r="K1230" s="253"/>
      <c r="L1230" s="253"/>
      <c r="M1230" s="253"/>
      <c r="N1230" s="253"/>
      <c r="O1230" s="253"/>
      <c r="P1230" s="253"/>
      <c r="Q1230" s="253"/>
      <c r="R1230" s="253"/>
      <c r="S1230" s="253"/>
    </row>
    <row r="1231" spans="1:19" ht="14">
      <c r="A1231" s="529" t="s">
        <v>1356</v>
      </c>
      <c r="B1231" s="529"/>
      <c r="C1231" s="529"/>
      <c r="D1231" s="529" t="s">
        <v>906</v>
      </c>
      <c r="E1231" s="529"/>
      <c r="F1231" s="529"/>
      <c r="G1231" s="529"/>
      <c r="H1231" s="529"/>
      <c r="I1231" s="529"/>
      <c r="J1231" s="529"/>
      <c r="K1231" s="253"/>
      <c r="L1231" s="253"/>
      <c r="M1231" s="253"/>
      <c r="N1231" s="253"/>
      <c r="O1231" s="253"/>
      <c r="P1231" s="253"/>
      <c r="Q1231" s="253"/>
      <c r="R1231" s="253"/>
      <c r="S1231" s="253"/>
    </row>
    <row r="1232" spans="1:19">
      <c r="K1232" s="253"/>
      <c r="L1232" s="253"/>
      <c r="M1232" s="253"/>
      <c r="N1232" s="253"/>
      <c r="O1232" s="253"/>
      <c r="P1232" s="253"/>
      <c r="Q1232" s="253"/>
      <c r="R1232" s="253"/>
      <c r="S1232" s="253"/>
    </row>
    <row r="1233" spans="1:19">
      <c r="K1233" s="253"/>
      <c r="L1233" s="253"/>
      <c r="M1233" s="253"/>
      <c r="N1233" s="253"/>
      <c r="O1233" s="253"/>
      <c r="P1233" s="253"/>
      <c r="Q1233" s="253"/>
      <c r="R1233" s="253"/>
      <c r="S1233" s="253"/>
    </row>
    <row r="1234" spans="1:19" ht="12.65" customHeight="1">
      <c r="A1234" s="540" t="s">
        <v>1357</v>
      </c>
      <c r="B1234" s="540"/>
      <c r="C1234" s="540"/>
      <c r="D1234" s="540"/>
      <c r="E1234" s="540"/>
      <c r="F1234" s="540"/>
      <c r="G1234" s="540"/>
      <c r="H1234" s="540"/>
      <c r="I1234" s="552"/>
      <c r="J1234" s="552"/>
      <c r="K1234" s="253"/>
      <c r="L1234" s="253"/>
      <c r="M1234" s="253"/>
      <c r="N1234" s="253"/>
      <c r="O1234" s="253"/>
      <c r="P1234" s="253"/>
      <c r="Q1234" s="253"/>
      <c r="R1234" s="253"/>
      <c r="S1234" s="253"/>
    </row>
    <row r="1235" spans="1:19">
      <c r="A1235" s="540"/>
      <c r="B1235" s="540"/>
      <c r="C1235" s="540"/>
      <c r="D1235" s="540"/>
      <c r="E1235" s="540"/>
      <c r="F1235" s="540"/>
      <c r="G1235" s="540"/>
      <c r="H1235" s="540"/>
      <c r="I1235" s="552"/>
      <c r="J1235" s="552"/>
      <c r="K1235" s="253"/>
      <c r="L1235" s="253"/>
      <c r="M1235" s="253"/>
      <c r="N1235" s="253"/>
      <c r="O1235" s="253"/>
      <c r="P1235" s="253"/>
      <c r="Q1235" s="253"/>
      <c r="R1235" s="253"/>
      <c r="S1235" s="253"/>
    </row>
    <row r="1236" spans="1:19">
      <c r="A1236" s="540"/>
      <c r="B1236" s="540"/>
      <c r="C1236" s="540"/>
      <c r="D1236" s="540"/>
      <c r="E1236" s="540"/>
      <c r="F1236" s="540"/>
      <c r="G1236" s="540"/>
      <c r="H1236" s="540"/>
      <c r="I1236" s="552"/>
      <c r="J1236" s="552"/>
      <c r="K1236" s="253"/>
      <c r="L1236" s="253"/>
      <c r="M1236" s="253"/>
      <c r="N1236" s="253"/>
      <c r="O1236" s="253"/>
      <c r="P1236" s="253"/>
      <c r="Q1236" s="253"/>
      <c r="R1236" s="253"/>
      <c r="S1236" s="253"/>
    </row>
    <row r="1237" spans="1:19" ht="117" customHeight="1">
      <c r="A1237" s="551"/>
      <c r="B1237" s="551"/>
      <c r="C1237" s="551"/>
      <c r="D1237" s="551"/>
      <c r="E1237" s="551"/>
      <c r="F1237" s="551"/>
      <c r="G1237" s="551"/>
      <c r="H1237" s="551"/>
      <c r="I1237" s="552"/>
      <c r="J1237" s="552"/>
      <c r="K1237" s="253"/>
      <c r="L1237" s="253"/>
      <c r="M1237" s="253"/>
      <c r="N1237" s="253"/>
      <c r="O1237" s="253"/>
      <c r="P1237" s="253"/>
      <c r="Q1237" s="253"/>
      <c r="R1237" s="253"/>
      <c r="S1237" s="253"/>
    </row>
    <row r="1238" spans="1:19" ht="13">
      <c r="A1238" s="186" t="s">
        <v>73</v>
      </c>
      <c r="B1238" s="153" t="s">
        <v>74</v>
      </c>
      <c r="C1238" s="185" t="s">
        <v>75</v>
      </c>
      <c r="D1238" s="185" t="s">
        <v>76</v>
      </c>
      <c r="E1238" s="249" t="s">
        <v>77</v>
      </c>
      <c r="F1238" s="185" t="s">
        <v>78</v>
      </c>
      <c r="G1238" s="185" t="s">
        <v>79</v>
      </c>
      <c r="H1238" s="112" t="s">
        <v>80</v>
      </c>
      <c r="I1238" s="290" t="s">
        <v>683</v>
      </c>
      <c r="J1238" s="290" t="s">
        <v>261</v>
      </c>
      <c r="K1238" s="253"/>
      <c r="L1238" s="253"/>
      <c r="M1238" s="253"/>
      <c r="N1238" s="253"/>
      <c r="O1238" s="253"/>
      <c r="P1238" s="253"/>
      <c r="Q1238" s="253"/>
      <c r="R1238" s="253"/>
      <c r="S1238" s="253"/>
    </row>
    <row r="1239" spans="1:19" s="299" customFormat="1" ht="25">
      <c r="A1239" s="268" t="s">
        <v>1358</v>
      </c>
      <c r="B1239" s="268" t="s">
        <v>87</v>
      </c>
      <c r="C1239" s="268" t="s">
        <v>274</v>
      </c>
      <c r="D1239" s="268" t="s">
        <v>686</v>
      </c>
      <c r="E1239" s="268" t="s">
        <v>909</v>
      </c>
      <c r="F1239" s="268" t="s">
        <v>1359</v>
      </c>
      <c r="G1239" s="268" t="s">
        <v>911</v>
      </c>
      <c r="H1239" s="268" t="s">
        <v>262</v>
      </c>
      <c r="I1239" s="268" t="s">
        <v>912</v>
      </c>
      <c r="J1239" s="268" t="s">
        <v>1356</v>
      </c>
    </row>
    <row r="1240" spans="1:19" s="299" customFormat="1">
      <c r="A1240" s="268" t="s">
        <v>913</v>
      </c>
      <c r="B1240" s="268" t="s">
        <v>914</v>
      </c>
      <c r="C1240" s="261" t="s">
        <v>267</v>
      </c>
      <c r="D1240" s="261" t="s">
        <v>922</v>
      </c>
      <c r="E1240" s="348"/>
      <c r="F1240" s="268" t="s">
        <v>1359</v>
      </c>
      <c r="G1240" s="268" t="s">
        <v>914</v>
      </c>
      <c r="H1240" s="268" t="s">
        <v>267</v>
      </c>
      <c r="I1240" s="268" t="s">
        <v>915</v>
      </c>
      <c r="J1240" s="268" t="s">
        <v>1356</v>
      </c>
    </row>
    <row r="1241" spans="1:19" s="299" customFormat="1">
      <c r="A1241" s="268" t="s">
        <v>913</v>
      </c>
      <c r="B1241" s="268" t="s">
        <v>916</v>
      </c>
      <c r="C1241" s="261" t="s">
        <v>267</v>
      </c>
      <c r="D1241" s="261" t="s">
        <v>922</v>
      </c>
      <c r="E1241" s="348"/>
      <c r="F1241" s="268" t="s">
        <v>1359</v>
      </c>
      <c r="G1241" s="268" t="s">
        <v>916</v>
      </c>
      <c r="H1241" s="268" t="s">
        <v>267</v>
      </c>
      <c r="I1241" s="268" t="s">
        <v>917</v>
      </c>
      <c r="J1241" s="268" t="s">
        <v>1356</v>
      </c>
    </row>
    <row r="1242" spans="1:19" s="299" customFormat="1">
      <c r="A1242" s="268" t="s">
        <v>913</v>
      </c>
      <c r="B1242" s="268" t="s">
        <v>918</v>
      </c>
      <c r="C1242" s="261" t="s">
        <v>267</v>
      </c>
      <c r="D1242" s="261" t="s">
        <v>922</v>
      </c>
      <c r="E1242" s="348"/>
      <c r="F1242" s="268" t="s">
        <v>1359</v>
      </c>
      <c r="G1242" s="268" t="s">
        <v>918</v>
      </c>
      <c r="H1242" s="268" t="s">
        <v>267</v>
      </c>
      <c r="I1242" s="268" t="s">
        <v>919</v>
      </c>
      <c r="J1242" s="268" t="s">
        <v>1356</v>
      </c>
    </row>
    <row r="1243" spans="1:19" s="299" customFormat="1">
      <c r="A1243" s="268" t="s">
        <v>913</v>
      </c>
      <c r="B1243" s="268" t="s">
        <v>920</v>
      </c>
      <c r="C1243" s="261" t="s">
        <v>267</v>
      </c>
      <c r="D1243" s="261" t="s">
        <v>922</v>
      </c>
      <c r="E1243" s="348"/>
      <c r="F1243" s="268" t="s">
        <v>1359</v>
      </c>
      <c r="G1243" s="268" t="s">
        <v>920</v>
      </c>
      <c r="H1243" s="268" t="s">
        <v>267</v>
      </c>
      <c r="I1243" s="268" t="s">
        <v>921</v>
      </c>
      <c r="J1243" s="268" t="s">
        <v>1356</v>
      </c>
    </row>
    <row r="1244" spans="1:19" s="299" customFormat="1" ht="25">
      <c r="A1244" s="268" t="s">
        <v>1358</v>
      </c>
      <c r="B1244" s="261" t="s">
        <v>312</v>
      </c>
      <c r="C1244" s="261" t="s">
        <v>267</v>
      </c>
      <c r="D1244" s="261" t="s">
        <v>922</v>
      </c>
      <c r="E1244" s="158" t="s">
        <v>923</v>
      </c>
      <c r="F1244" s="268" t="s">
        <v>1359</v>
      </c>
      <c r="G1244" s="268" t="s">
        <v>924</v>
      </c>
      <c r="H1244" s="268" t="s">
        <v>267</v>
      </c>
      <c r="I1244" s="268" t="s">
        <v>925</v>
      </c>
      <c r="J1244" s="268" t="s">
        <v>1356</v>
      </c>
    </row>
    <row r="1245" spans="1:19" s="299" customFormat="1">
      <c r="A1245" s="268" t="s">
        <v>1358</v>
      </c>
      <c r="B1245" s="261" t="s">
        <v>312</v>
      </c>
      <c r="C1245" s="261" t="s">
        <v>267</v>
      </c>
      <c r="D1245" s="261" t="s">
        <v>922</v>
      </c>
      <c r="E1245" s="158" t="s">
        <v>926</v>
      </c>
      <c r="F1245" s="268" t="s">
        <v>1359</v>
      </c>
      <c r="G1245" s="268" t="s">
        <v>927</v>
      </c>
      <c r="H1245" s="268" t="s">
        <v>267</v>
      </c>
      <c r="I1245" s="268" t="s">
        <v>928</v>
      </c>
      <c r="J1245" s="268" t="s">
        <v>1356</v>
      </c>
    </row>
    <row r="1246" spans="1:19" s="299" customFormat="1">
      <c r="A1246" s="268" t="s">
        <v>913</v>
      </c>
      <c r="B1246" s="268" t="s">
        <v>929</v>
      </c>
      <c r="C1246" s="268" t="s">
        <v>267</v>
      </c>
      <c r="D1246" s="268" t="s">
        <v>686</v>
      </c>
      <c r="E1246" s="268"/>
      <c r="F1246" s="268" t="s">
        <v>1359</v>
      </c>
      <c r="G1246" s="268" t="s">
        <v>929</v>
      </c>
      <c r="H1246" s="268" t="s">
        <v>267</v>
      </c>
      <c r="I1246" s="268" t="s">
        <v>930</v>
      </c>
      <c r="J1246" s="268" t="s">
        <v>1356</v>
      </c>
    </row>
    <row r="1247" spans="1:19" s="299" customFormat="1">
      <c r="A1247" s="268" t="s">
        <v>913</v>
      </c>
      <c r="B1247" s="268" t="s">
        <v>931</v>
      </c>
      <c r="C1247" s="268" t="s">
        <v>267</v>
      </c>
      <c r="D1247" s="268" t="s">
        <v>686</v>
      </c>
      <c r="E1247" s="268"/>
      <c r="F1247" s="268" t="s">
        <v>1359</v>
      </c>
      <c r="G1247" s="268" t="s">
        <v>931</v>
      </c>
      <c r="H1247" s="268" t="s">
        <v>267</v>
      </c>
      <c r="I1247" s="268" t="s">
        <v>932</v>
      </c>
      <c r="J1247" s="268" t="s">
        <v>1356</v>
      </c>
    </row>
    <row r="1248" spans="1:19" s="299" customFormat="1">
      <c r="A1248" s="268" t="s">
        <v>913</v>
      </c>
      <c r="B1248" s="268" t="s">
        <v>933</v>
      </c>
      <c r="C1248" s="268" t="s">
        <v>267</v>
      </c>
      <c r="D1248" s="268" t="s">
        <v>686</v>
      </c>
      <c r="E1248" s="268"/>
      <c r="F1248" s="268" t="s">
        <v>1359</v>
      </c>
      <c r="G1248" s="268" t="s">
        <v>933</v>
      </c>
      <c r="H1248" s="268" t="s">
        <v>267</v>
      </c>
      <c r="I1248" s="268" t="s">
        <v>934</v>
      </c>
      <c r="J1248" s="268" t="s">
        <v>1356</v>
      </c>
    </row>
    <row r="1249" spans="1:10" s="299" customFormat="1">
      <c r="A1249" s="268" t="s">
        <v>913</v>
      </c>
      <c r="B1249" s="268" t="s">
        <v>935</v>
      </c>
      <c r="C1249" s="268" t="s">
        <v>267</v>
      </c>
      <c r="D1249" s="268" t="s">
        <v>686</v>
      </c>
      <c r="E1249" s="268"/>
      <c r="F1249" s="268" t="s">
        <v>1359</v>
      </c>
      <c r="G1249" s="268" t="s">
        <v>935</v>
      </c>
      <c r="H1249" s="268" t="s">
        <v>267</v>
      </c>
      <c r="I1249" s="268" t="s">
        <v>936</v>
      </c>
      <c r="J1249" s="268" t="s">
        <v>1356</v>
      </c>
    </row>
    <row r="1250" spans="1:10" s="299" customFormat="1">
      <c r="A1250" s="268" t="s">
        <v>913</v>
      </c>
      <c r="B1250" s="268" t="s">
        <v>937</v>
      </c>
      <c r="C1250" s="268" t="s">
        <v>267</v>
      </c>
      <c r="D1250" s="268" t="s">
        <v>686</v>
      </c>
      <c r="E1250" s="268"/>
      <c r="F1250" s="268" t="s">
        <v>1359</v>
      </c>
      <c r="G1250" s="268" t="s">
        <v>937</v>
      </c>
      <c r="H1250" s="268" t="s">
        <v>267</v>
      </c>
      <c r="I1250" s="268" t="s">
        <v>938</v>
      </c>
      <c r="J1250" s="268" t="s">
        <v>1356</v>
      </c>
    </row>
    <row r="1251" spans="1:10" s="299" customFormat="1">
      <c r="A1251" s="268" t="s">
        <v>913</v>
      </c>
      <c r="B1251" s="268" t="s">
        <v>939</v>
      </c>
      <c r="C1251" s="268" t="s">
        <v>267</v>
      </c>
      <c r="D1251" s="268" t="s">
        <v>686</v>
      </c>
      <c r="E1251" s="268"/>
      <c r="F1251" s="268" t="s">
        <v>1359</v>
      </c>
      <c r="G1251" s="268" t="s">
        <v>939</v>
      </c>
      <c r="H1251" s="268" t="s">
        <v>267</v>
      </c>
      <c r="I1251" s="268" t="s">
        <v>940</v>
      </c>
      <c r="J1251" s="268" t="s">
        <v>1356</v>
      </c>
    </row>
    <row r="1252" spans="1:10" s="299" customFormat="1">
      <c r="A1252" s="268" t="s">
        <v>913</v>
      </c>
      <c r="B1252" s="268" t="s">
        <v>941</v>
      </c>
      <c r="C1252" s="268" t="s">
        <v>267</v>
      </c>
      <c r="D1252" s="268" t="s">
        <v>686</v>
      </c>
      <c r="E1252" s="268"/>
      <c r="F1252" s="268" t="s">
        <v>1359</v>
      </c>
      <c r="G1252" s="268" t="s">
        <v>941</v>
      </c>
      <c r="H1252" s="268" t="s">
        <v>267</v>
      </c>
      <c r="I1252" s="268" t="s">
        <v>942</v>
      </c>
      <c r="J1252" s="268" t="s">
        <v>1356</v>
      </c>
    </row>
    <row r="1253" spans="1:10" s="299" customFormat="1">
      <c r="A1253" s="268" t="s">
        <v>913</v>
      </c>
      <c r="B1253" s="268" t="s">
        <v>943</v>
      </c>
      <c r="C1253" s="268" t="s">
        <v>267</v>
      </c>
      <c r="D1253" s="268" t="s">
        <v>686</v>
      </c>
      <c r="E1253" s="268"/>
      <c r="F1253" s="268" t="s">
        <v>1359</v>
      </c>
      <c r="G1253" s="268" t="s">
        <v>943</v>
      </c>
      <c r="H1253" s="268" t="s">
        <v>267</v>
      </c>
      <c r="I1253" s="268" t="s">
        <v>944</v>
      </c>
      <c r="J1253" s="268" t="s">
        <v>1356</v>
      </c>
    </row>
    <row r="1254" spans="1:10" s="299" customFormat="1">
      <c r="A1254" s="268" t="s">
        <v>913</v>
      </c>
      <c r="B1254" s="268" t="s">
        <v>945</v>
      </c>
      <c r="C1254" s="268" t="s">
        <v>267</v>
      </c>
      <c r="D1254" s="268" t="s">
        <v>686</v>
      </c>
      <c r="E1254" s="268"/>
      <c r="F1254" s="268" t="s">
        <v>1359</v>
      </c>
      <c r="G1254" s="268" t="s">
        <v>945</v>
      </c>
      <c r="H1254" s="268" t="s">
        <v>267</v>
      </c>
      <c r="I1254" s="268" t="s">
        <v>946</v>
      </c>
      <c r="J1254" s="268" t="s">
        <v>1356</v>
      </c>
    </row>
    <row r="1255" spans="1:10" s="299" customFormat="1">
      <c r="A1255" s="268" t="s">
        <v>913</v>
      </c>
      <c r="B1255" s="268" t="s">
        <v>947</v>
      </c>
      <c r="C1255" s="268" t="s">
        <v>267</v>
      </c>
      <c r="D1255" s="268" t="s">
        <v>686</v>
      </c>
      <c r="E1255" s="268"/>
      <c r="F1255" s="268" t="s">
        <v>1359</v>
      </c>
      <c r="G1255" s="268" t="s">
        <v>947</v>
      </c>
      <c r="H1255" s="268" t="s">
        <v>267</v>
      </c>
      <c r="I1255" s="268" t="s">
        <v>948</v>
      </c>
      <c r="J1255" s="268" t="s">
        <v>1356</v>
      </c>
    </row>
    <row r="1256" spans="1:10" s="299" customFormat="1">
      <c r="A1256" s="268" t="s">
        <v>913</v>
      </c>
      <c r="B1256" s="268" t="s">
        <v>949</v>
      </c>
      <c r="C1256" s="268" t="s">
        <v>267</v>
      </c>
      <c r="D1256" s="268" t="s">
        <v>686</v>
      </c>
      <c r="E1256" s="268"/>
      <c r="F1256" s="268" t="s">
        <v>1359</v>
      </c>
      <c r="G1256" s="268" t="s">
        <v>949</v>
      </c>
      <c r="H1256" s="268" t="s">
        <v>267</v>
      </c>
      <c r="I1256" s="268" t="s">
        <v>950</v>
      </c>
      <c r="J1256" s="268" t="s">
        <v>1356</v>
      </c>
    </row>
    <row r="1257" spans="1:10" s="299" customFormat="1">
      <c r="A1257" s="268" t="s">
        <v>913</v>
      </c>
      <c r="B1257" s="268" t="s">
        <v>951</v>
      </c>
      <c r="C1257" s="268" t="s">
        <v>267</v>
      </c>
      <c r="D1257" s="268" t="s">
        <v>686</v>
      </c>
      <c r="E1257" s="268"/>
      <c r="F1257" s="268" t="s">
        <v>1359</v>
      </c>
      <c r="G1257" s="268" t="s">
        <v>951</v>
      </c>
      <c r="H1257" s="268" t="s">
        <v>267</v>
      </c>
      <c r="I1257" s="268" t="s">
        <v>952</v>
      </c>
      <c r="J1257" s="268" t="s">
        <v>1356</v>
      </c>
    </row>
    <row r="1258" spans="1:10" s="299" customFormat="1">
      <c r="A1258" s="268" t="s">
        <v>913</v>
      </c>
      <c r="B1258" s="268" t="s">
        <v>953</v>
      </c>
      <c r="C1258" s="268" t="s">
        <v>267</v>
      </c>
      <c r="D1258" s="268" t="s">
        <v>686</v>
      </c>
      <c r="E1258" s="268"/>
      <c r="F1258" s="268" t="s">
        <v>1359</v>
      </c>
      <c r="G1258" s="268" t="s">
        <v>953</v>
      </c>
      <c r="H1258" s="268" t="s">
        <v>267</v>
      </c>
      <c r="I1258" s="268" t="s">
        <v>954</v>
      </c>
      <c r="J1258" s="268" t="s">
        <v>1356</v>
      </c>
    </row>
    <row r="1259" spans="1:10" s="299" customFormat="1">
      <c r="A1259" s="268" t="s">
        <v>913</v>
      </c>
      <c r="B1259" s="268" t="s">
        <v>955</v>
      </c>
      <c r="C1259" s="268" t="s">
        <v>267</v>
      </c>
      <c r="D1259" s="268" t="s">
        <v>686</v>
      </c>
      <c r="E1259" s="268"/>
      <c r="F1259" s="268" t="s">
        <v>1359</v>
      </c>
      <c r="G1259" s="268" t="s">
        <v>955</v>
      </c>
      <c r="H1259" s="268" t="s">
        <v>267</v>
      </c>
      <c r="I1259" s="268" t="s">
        <v>956</v>
      </c>
      <c r="J1259" s="268" t="s">
        <v>1356</v>
      </c>
    </row>
    <row r="1260" spans="1:10" s="299" customFormat="1">
      <c r="A1260" s="268" t="s">
        <v>913</v>
      </c>
      <c r="B1260" s="268" t="s">
        <v>957</v>
      </c>
      <c r="C1260" s="268" t="s">
        <v>267</v>
      </c>
      <c r="D1260" s="268" t="s">
        <v>686</v>
      </c>
      <c r="E1260" s="268"/>
      <c r="F1260" s="268" t="s">
        <v>1359</v>
      </c>
      <c r="G1260" s="268" t="s">
        <v>957</v>
      </c>
      <c r="H1260" s="268" t="s">
        <v>267</v>
      </c>
      <c r="I1260" s="268" t="s">
        <v>958</v>
      </c>
      <c r="J1260" s="268" t="s">
        <v>1356</v>
      </c>
    </row>
    <row r="1261" spans="1:10" s="299" customFormat="1">
      <c r="A1261" s="268" t="s">
        <v>913</v>
      </c>
      <c r="B1261" s="268" t="s">
        <v>959</v>
      </c>
      <c r="C1261" s="268" t="s">
        <v>267</v>
      </c>
      <c r="D1261" s="268" t="s">
        <v>686</v>
      </c>
      <c r="E1261" s="268"/>
      <c r="F1261" s="268" t="s">
        <v>1359</v>
      </c>
      <c r="G1261" s="268" t="s">
        <v>959</v>
      </c>
      <c r="H1261" s="268" t="s">
        <v>267</v>
      </c>
      <c r="I1261" s="268" t="s">
        <v>960</v>
      </c>
      <c r="J1261" s="268" t="s">
        <v>1356</v>
      </c>
    </row>
    <row r="1262" spans="1:10" s="299" customFormat="1">
      <c r="A1262" s="268" t="s">
        <v>913</v>
      </c>
      <c r="B1262" s="268" t="s">
        <v>961</v>
      </c>
      <c r="C1262" s="268" t="s">
        <v>267</v>
      </c>
      <c r="D1262" s="268" t="s">
        <v>686</v>
      </c>
      <c r="E1262" s="268"/>
      <c r="F1262" s="268" t="s">
        <v>1359</v>
      </c>
      <c r="G1262" s="268" t="s">
        <v>961</v>
      </c>
      <c r="H1262" s="268" t="s">
        <v>267</v>
      </c>
      <c r="I1262" s="268" t="s">
        <v>962</v>
      </c>
      <c r="J1262" s="268" t="s">
        <v>1356</v>
      </c>
    </row>
    <row r="1263" spans="1:10" s="299" customFormat="1">
      <c r="A1263" s="268" t="s">
        <v>913</v>
      </c>
      <c r="B1263" s="268" t="s">
        <v>963</v>
      </c>
      <c r="C1263" s="268" t="s">
        <v>267</v>
      </c>
      <c r="D1263" s="268" t="s">
        <v>686</v>
      </c>
      <c r="E1263" s="268"/>
      <c r="F1263" s="268" t="s">
        <v>1359</v>
      </c>
      <c r="G1263" s="268" t="s">
        <v>963</v>
      </c>
      <c r="H1263" s="268" t="s">
        <v>267</v>
      </c>
      <c r="I1263" s="268" t="s">
        <v>964</v>
      </c>
      <c r="J1263" s="268" t="s">
        <v>1356</v>
      </c>
    </row>
    <row r="1264" spans="1:10" s="299" customFormat="1">
      <c r="A1264" s="268" t="s">
        <v>913</v>
      </c>
      <c r="B1264" s="268" t="s">
        <v>965</v>
      </c>
      <c r="C1264" s="268" t="s">
        <v>267</v>
      </c>
      <c r="D1264" s="268" t="s">
        <v>686</v>
      </c>
      <c r="E1264" s="268"/>
      <c r="F1264" s="268" t="s">
        <v>1359</v>
      </c>
      <c r="G1264" s="268" t="s">
        <v>965</v>
      </c>
      <c r="H1264" s="268" t="s">
        <v>267</v>
      </c>
      <c r="I1264" s="268" t="s">
        <v>966</v>
      </c>
      <c r="J1264" s="268" t="s">
        <v>1356</v>
      </c>
    </row>
    <row r="1265" spans="1:10" s="299" customFormat="1">
      <c r="A1265" s="268" t="s">
        <v>913</v>
      </c>
      <c r="B1265" s="268" t="s">
        <v>967</v>
      </c>
      <c r="C1265" s="268" t="s">
        <v>267</v>
      </c>
      <c r="D1265" s="268" t="s">
        <v>686</v>
      </c>
      <c r="E1265" s="268"/>
      <c r="F1265" s="268" t="s">
        <v>1359</v>
      </c>
      <c r="G1265" s="268" t="s">
        <v>967</v>
      </c>
      <c r="H1265" s="268" t="s">
        <v>267</v>
      </c>
      <c r="I1265" s="268" t="s">
        <v>968</v>
      </c>
      <c r="J1265" s="268" t="s">
        <v>1356</v>
      </c>
    </row>
    <row r="1266" spans="1:10" s="299" customFormat="1">
      <c r="A1266" s="268" t="s">
        <v>913</v>
      </c>
      <c r="B1266" s="268" t="s">
        <v>969</v>
      </c>
      <c r="C1266" s="268" t="s">
        <v>267</v>
      </c>
      <c r="D1266" s="268" t="s">
        <v>686</v>
      </c>
      <c r="E1266" s="268"/>
      <c r="F1266" s="268" t="s">
        <v>1359</v>
      </c>
      <c r="G1266" s="268" t="s">
        <v>969</v>
      </c>
      <c r="H1266" s="268" t="s">
        <v>267</v>
      </c>
      <c r="I1266" s="268" t="s">
        <v>970</v>
      </c>
      <c r="J1266" s="268" t="s">
        <v>1356</v>
      </c>
    </row>
    <row r="1267" spans="1:10" s="299" customFormat="1">
      <c r="A1267" s="268" t="s">
        <v>913</v>
      </c>
      <c r="B1267" s="268" t="s">
        <v>971</v>
      </c>
      <c r="C1267" s="268" t="s">
        <v>267</v>
      </c>
      <c r="D1267" s="268" t="s">
        <v>686</v>
      </c>
      <c r="E1267" s="268"/>
      <c r="F1267" s="268" t="s">
        <v>1359</v>
      </c>
      <c r="G1267" s="268" t="s">
        <v>971</v>
      </c>
      <c r="H1267" s="268" t="s">
        <v>267</v>
      </c>
      <c r="I1267" s="268" t="s">
        <v>972</v>
      </c>
      <c r="J1267" s="268" t="s">
        <v>1356</v>
      </c>
    </row>
    <row r="1268" spans="1:10" s="299" customFormat="1">
      <c r="A1268" s="268" t="s">
        <v>913</v>
      </c>
      <c r="B1268" s="268" t="s">
        <v>973</v>
      </c>
      <c r="C1268" s="268" t="s">
        <v>267</v>
      </c>
      <c r="D1268" s="268" t="s">
        <v>686</v>
      </c>
      <c r="E1268" s="268"/>
      <c r="F1268" s="268" t="s">
        <v>1359</v>
      </c>
      <c r="G1268" s="268" t="s">
        <v>973</v>
      </c>
      <c r="H1268" s="268" t="s">
        <v>267</v>
      </c>
      <c r="I1268" s="268" t="s">
        <v>974</v>
      </c>
      <c r="J1268" s="268" t="s">
        <v>1356</v>
      </c>
    </row>
    <row r="1269" spans="1:10" s="299" customFormat="1">
      <c r="A1269" s="268" t="s">
        <v>913</v>
      </c>
      <c r="B1269" s="268" t="s">
        <v>975</v>
      </c>
      <c r="C1269" s="268" t="s">
        <v>267</v>
      </c>
      <c r="D1269" s="268" t="s">
        <v>686</v>
      </c>
      <c r="E1269" s="268"/>
      <c r="F1269" s="268" t="s">
        <v>1359</v>
      </c>
      <c r="G1269" s="268" t="s">
        <v>975</v>
      </c>
      <c r="H1269" s="268" t="s">
        <v>267</v>
      </c>
      <c r="I1269" s="268" t="s">
        <v>976</v>
      </c>
      <c r="J1269" s="268" t="s">
        <v>1356</v>
      </c>
    </row>
    <row r="1270" spans="1:10" s="299" customFormat="1">
      <c r="A1270" s="268" t="s">
        <v>913</v>
      </c>
      <c r="B1270" s="268" t="s">
        <v>977</v>
      </c>
      <c r="C1270" s="268" t="s">
        <v>267</v>
      </c>
      <c r="D1270" s="268" t="s">
        <v>686</v>
      </c>
      <c r="E1270" s="268"/>
      <c r="F1270" s="268" t="s">
        <v>1359</v>
      </c>
      <c r="G1270" s="268" t="s">
        <v>977</v>
      </c>
      <c r="H1270" s="268" t="s">
        <v>267</v>
      </c>
      <c r="I1270" s="268" t="s">
        <v>978</v>
      </c>
      <c r="J1270" s="268" t="s">
        <v>1356</v>
      </c>
    </row>
    <row r="1271" spans="1:10" s="299" customFormat="1">
      <c r="A1271" s="268" t="s">
        <v>913</v>
      </c>
      <c r="B1271" s="268" t="s">
        <v>979</v>
      </c>
      <c r="C1271" s="268" t="s">
        <v>267</v>
      </c>
      <c r="D1271" s="268" t="s">
        <v>686</v>
      </c>
      <c r="E1271" s="268"/>
      <c r="F1271" s="268" t="s">
        <v>1359</v>
      </c>
      <c r="G1271" s="268" t="s">
        <v>979</v>
      </c>
      <c r="H1271" s="268" t="s">
        <v>267</v>
      </c>
      <c r="I1271" s="268" t="s">
        <v>980</v>
      </c>
      <c r="J1271" s="268" t="s">
        <v>1356</v>
      </c>
    </row>
    <row r="1272" spans="1:10" s="299" customFormat="1">
      <c r="A1272" s="268" t="s">
        <v>913</v>
      </c>
      <c r="B1272" s="268" t="s">
        <v>981</v>
      </c>
      <c r="C1272" s="268" t="s">
        <v>267</v>
      </c>
      <c r="D1272" s="268" t="s">
        <v>686</v>
      </c>
      <c r="E1272" s="268"/>
      <c r="F1272" s="268" t="s">
        <v>1359</v>
      </c>
      <c r="G1272" s="268" t="s">
        <v>981</v>
      </c>
      <c r="H1272" s="268" t="s">
        <v>267</v>
      </c>
      <c r="I1272" s="268" t="s">
        <v>982</v>
      </c>
      <c r="J1272" s="268" t="s">
        <v>1356</v>
      </c>
    </row>
    <row r="1273" spans="1:10" s="299" customFormat="1">
      <c r="A1273" s="268" t="s">
        <v>913</v>
      </c>
      <c r="B1273" s="268" t="s">
        <v>983</v>
      </c>
      <c r="C1273" s="268" t="s">
        <v>267</v>
      </c>
      <c r="D1273" s="268" t="s">
        <v>686</v>
      </c>
      <c r="E1273" s="268"/>
      <c r="F1273" s="268" t="s">
        <v>1359</v>
      </c>
      <c r="G1273" s="268" t="s">
        <v>983</v>
      </c>
      <c r="H1273" s="268" t="s">
        <v>267</v>
      </c>
      <c r="I1273" s="268" t="s">
        <v>984</v>
      </c>
      <c r="J1273" s="268" t="s">
        <v>1356</v>
      </c>
    </row>
    <row r="1274" spans="1:10" s="299" customFormat="1">
      <c r="A1274" s="268" t="s">
        <v>913</v>
      </c>
      <c r="B1274" s="268" t="s">
        <v>985</v>
      </c>
      <c r="C1274" s="268" t="s">
        <v>267</v>
      </c>
      <c r="D1274" s="268" t="s">
        <v>686</v>
      </c>
      <c r="E1274" s="268"/>
      <c r="F1274" s="268" t="s">
        <v>1359</v>
      </c>
      <c r="G1274" s="268" t="s">
        <v>985</v>
      </c>
      <c r="H1274" s="268" t="s">
        <v>267</v>
      </c>
      <c r="I1274" s="268" t="s">
        <v>986</v>
      </c>
      <c r="J1274" s="268" t="s">
        <v>1356</v>
      </c>
    </row>
    <row r="1275" spans="1:10" s="299" customFormat="1">
      <c r="A1275" s="268" t="s">
        <v>913</v>
      </c>
      <c r="B1275" s="268" t="s">
        <v>987</v>
      </c>
      <c r="C1275" s="268" t="s">
        <v>267</v>
      </c>
      <c r="D1275" s="268" t="s">
        <v>686</v>
      </c>
      <c r="E1275" s="268"/>
      <c r="F1275" s="268" t="s">
        <v>1359</v>
      </c>
      <c r="G1275" s="268" t="s">
        <v>987</v>
      </c>
      <c r="H1275" s="268" t="s">
        <v>267</v>
      </c>
      <c r="I1275" s="268" t="s">
        <v>988</v>
      </c>
      <c r="J1275" s="268" t="s">
        <v>1356</v>
      </c>
    </row>
    <row r="1276" spans="1:10" s="299" customFormat="1">
      <c r="A1276" s="268" t="s">
        <v>913</v>
      </c>
      <c r="B1276" s="268" t="s">
        <v>989</v>
      </c>
      <c r="C1276" s="268" t="s">
        <v>267</v>
      </c>
      <c r="D1276" s="268" t="s">
        <v>686</v>
      </c>
      <c r="E1276" s="268"/>
      <c r="F1276" s="268" t="s">
        <v>1359</v>
      </c>
      <c r="G1276" s="268" t="s">
        <v>989</v>
      </c>
      <c r="H1276" s="268" t="s">
        <v>267</v>
      </c>
      <c r="I1276" s="268" t="s">
        <v>990</v>
      </c>
      <c r="J1276" s="268" t="s">
        <v>1356</v>
      </c>
    </row>
    <row r="1277" spans="1:10" s="299" customFormat="1">
      <c r="A1277" s="268" t="s">
        <v>913</v>
      </c>
      <c r="B1277" s="268" t="s">
        <v>991</v>
      </c>
      <c r="C1277" s="268" t="s">
        <v>267</v>
      </c>
      <c r="D1277" s="268" t="s">
        <v>686</v>
      </c>
      <c r="E1277" s="268"/>
      <c r="F1277" s="268" t="s">
        <v>1359</v>
      </c>
      <c r="G1277" s="268" t="s">
        <v>991</v>
      </c>
      <c r="H1277" s="268" t="s">
        <v>267</v>
      </c>
      <c r="I1277" s="268" t="s">
        <v>992</v>
      </c>
      <c r="J1277" s="268" t="s">
        <v>1356</v>
      </c>
    </row>
    <row r="1278" spans="1:10" s="299" customFormat="1">
      <c r="A1278" s="268" t="s">
        <v>913</v>
      </c>
      <c r="B1278" s="268" t="s">
        <v>993</v>
      </c>
      <c r="C1278" s="268" t="s">
        <v>267</v>
      </c>
      <c r="D1278" s="268" t="s">
        <v>686</v>
      </c>
      <c r="E1278" s="268"/>
      <c r="F1278" s="268" t="s">
        <v>1359</v>
      </c>
      <c r="G1278" s="268" t="s">
        <v>993</v>
      </c>
      <c r="H1278" s="268" t="s">
        <v>267</v>
      </c>
      <c r="I1278" s="268" t="s">
        <v>994</v>
      </c>
      <c r="J1278" s="268" t="s">
        <v>1356</v>
      </c>
    </row>
    <row r="1279" spans="1:10" s="299" customFormat="1">
      <c r="A1279" s="268" t="s">
        <v>913</v>
      </c>
      <c r="B1279" s="268" t="s">
        <v>995</v>
      </c>
      <c r="C1279" s="268" t="s">
        <v>267</v>
      </c>
      <c r="D1279" s="268" t="s">
        <v>686</v>
      </c>
      <c r="E1279" s="268"/>
      <c r="F1279" s="268" t="s">
        <v>1359</v>
      </c>
      <c r="G1279" s="268" t="s">
        <v>995</v>
      </c>
      <c r="H1279" s="268" t="s">
        <v>267</v>
      </c>
      <c r="I1279" s="268" t="s">
        <v>996</v>
      </c>
      <c r="J1279" s="268" t="s">
        <v>1356</v>
      </c>
    </row>
    <row r="1280" spans="1:10" s="299" customFormat="1">
      <c r="A1280" s="268" t="s">
        <v>913</v>
      </c>
      <c r="B1280" s="268" t="s">
        <v>997</v>
      </c>
      <c r="C1280" s="268" t="s">
        <v>267</v>
      </c>
      <c r="D1280" s="268" t="s">
        <v>686</v>
      </c>
      <c r="E1280" s="268"/>
      <c r="F1280" s="268" t="s">
        <v>1359</v>
      </c>
      <c r="G1280" s="268" t="s">
        <v>997</v>
      </c>
      <c r="H1280" s="268" t="s">
        <v>267</v>
      </c>
      <c r="I1280" s="268" t="s">
        <v>998</v>
      </c>
      <c r="J1280" s="268" t="s">
        <v>1356</v>
      </c>
    </row>
    <row r="1281" spans="1:10" s="299" customFormat="1">
      <c r="A1281" s="268" t="s">
        <v>913</v>
      </c>
      <c r="B1281" s="268" t="s">
        <v>999</v>
      </c>
      <c r="C1281" s="268" t="s">
        <v>267</v>
      </c>
      <c r="D1281" s="268" t="s">
        <v>686</v>
      </c>
      <c r="E1281" s="268"/>
      <c r="F1281" s="268" t="s">
        <v>1359</v>
      </c>
      <c r="G1281" s="268" t="s">
        <v>999</v>
      </c>
      <c r="H1281" s="268" t="s">
        <v>267</v>
      </c>
      <c r="I1281" s="268" t="s">
        <v>1000</v>
      </c>
      <c r="J1281" s="268" t="s">
        <v>1356</v>
      </c>
    </row>
    <row r="1282" spans="1:10" s="299" customFormat="1">
      <c r="A1282" s="268" t="s">
        <v>913</v>
      </c>
      <c r="B1282" s="268" t="s">
        <v>1001</v>
      </c>
      <c r="C1282" s="268" t="s">
        <v>267</v>
      </c>
      <c r="D1282" s="268" t="s">
        <v>686</v>
      </c>
      <c r="E1282" s="268"/>
      <c r="F1282" s="268" t="s">
        <v>1359</v>
      </c>
      <c r="G1282" s="268" t="s">
        <v>1001</v>
      </c>
      <c r="H1282" s="268" t="s">
        <v>267</v>
      </c>
      <c r="I1282" s="268" t="s">
        <v>1002</v>
      </c>
      <c r="J1282" s="268" t="s">
        <v>1356</v>
      </c>
    </row>
    <row r="1283" spans="1:10" s="299" customFormat="1">
      <c r="A1283" s="268" t="s">
        <v>913</v>
      </c>
      <c r="B1283" s="268" t="s">
        <v>1003</v>
      </c>
      <c r="C1283" s="268" t="s">
        <v>267</v>
      </c>
      <c r="D1283" s="268" t="s">
        <v>686</v>
      </c>
      <c r="E1283" s="268"/>
      <c r="F1283" s="268" t="s">
        <v>1359</v>
      </c>
      <c r="G1283" s="268" t="s">
        <v>1003</v>
      </c>
      <c r="H1283" s="268" t="s">
        <v>267</v>
      </c>
      <c r="I1283" s="268" t="s">
        <v>1004</v>
      </c>
      <c r="J1283" s="268" t="s">
        <v>1356</v>
      </c>
    </row>
    <row r="1284" spans="1:10" s="299" customFormat="1">
      <c r="A1284" s="268" t="s">
        <v>913</v>
      </c>
      <c r="B1284" s="268" t="s">
        <v>1005</v>
      </c>
      <c r="C1284" s="268" t="s">
        <v>267</v>
      </c>
      <c r="D1284" s="268" t="s">
        <v>686</v>
      </c>
      <c r="E1284" s="268"/>
      <c r="F1284" s="268" t="s">
        <v>1359</v>
      </c>
      <c r="G1284" s="268" t="s">
        <v>1005</v>
      </c>
      <c r="H1284" s="268" t="s">
        <v>267</v>
      </c>
      <c r="I1284" s="268" t="s">
        <v>1006</v>
      </c>
      <c r="J1284" s="268" t="s">
        <v>1356</v>
      </c>
    </row>
    <row r="1285" spans="1:10" s="299" customFormat="1">
      <c r="A1285" s="268" t="s">
        <v>913</v>
      </c>
      <c r="B1285" s="268" t="s">
        <v>1007</v>
      </c>
      <c r="C1285" s="268" t="s">
        <v>267</v>
      </c>
      <c r="D1285" s="268" t="s">
        <v>686</v>
      </c>
      <c r="E1285" s="268"/>
      <c r="F1285" s="268" t="s">
        <v>1359</v>
      </c>
      <c r="G1285" s="268" t="s">
        <v>1007</v>
      </c>
      <c r="H1285" s="268" t="s">
        <v>267</v>
      </c>
      <c r="I1285" s="268" t="s">
        <v>1008</v>
      </c>
      <c r="J1285" s="268" t="s">
        <v>1356</v>
      </c>
    </row>
    <row r="1286" spans="1:10" s="299" customFormat="1">
      <c r="A1286" s="268" t="s">
        <v>913</v>
      </c>
      <c r="B1286" s="268" t="s">
        <v>1009</v>
      </c>
      <c r="C1286" s="268" t="s">
        <v>267</v>
      </c>
      <c r="D1286" s="268" t="s">
        <v>686</v>
      </c>
      <c r="E1286" s="268"/>
      <c r="F1286" s="268" t="s">
        <v>1359</v>
      </c>
      <c r="G1286" s="268" t="s">
        <v>1009</v>
      </c>
      <c r="H1286" s="268" t="s">
        <v>267</v>
      </c>
      <c r="I1286" s="268" t="s">
        <v>1010</v>
      </c>
      <c r="J1286" s="268" t="s">
        <v>1356</v>
      </c>
    </row>
    <row r="1287" spans="1:10" s="299" customFormat="1">
      <c r="A1287" s="268" t="s">
        <v>913</v>
      </c>
      <c r="B1287" s="268" t="s">
        <v>1011</v>
      </c>
      <c r="C1287" s="268" t="s">
        <v>267</v>
      </c>
      <c r="D1287" s="268" t="s">
        <v>686</v>
      </c>
      <c r="E1287" s="268"/>
      <c r="F1287" s="268" t="s">
        <v>1359</v>
      </c>
      <c r="G1287" s="268" t="s">
        <v>1011</v>
      </c>
      <c r="H1287" s="268" t="s">
        <v>267</v>
      </c>
      <c r="I1287" s="268" t="s">
        <v>1012</v>
      </c>
      <c r="J1287" s="268" t="s">
        <v>1356</v>
      </c>
    </row>
    <row r="1288" spans="1:10" s="299" customFormat="1">
      <c r="A1288" s="268" t="s">
        <v>913</v>
      </c>
      <c r="B1288" s="268" t="s">
        <v>1013</v>
      </c>
      <c r="C1288" s="268" t="s">
        <v>267</v>
      </c>
      <c r="D1288" s="268" t="s">
        <v>686</v>
      </c>
      <c r="E1288" s="268"/>
      <c r="F1288" s="268" t="s">
        <v>1359</v>
      </c>
      <c r="G1288" s="268" t="s">
        <v>1013</v>
      </c>
      <c r="H1288" s="268" t="s">
        <v>267</v>
      </c>
      <c r="I1288" s="268" t="s">
        <v>1014</v>
      </c>
      <c r="J1288" s="268" t="s">
        <v>1356</v>
      </c>
    </row>
    <row r="1289" spans="1:10" s="299" customFormat="1">
      <c r="A1289" s="268" t="s">
        <v>913</v>
      </c>
      <c r="B1289" s="268" t="s">
        <v>1015</v>
      </c>
      <c r="C1289" s="268" t="s">
        <v>267</v>
      </c>
      <c r="D1289" s="268" t="s">
        <v>686</v>
      </c>
      <c r="E1289" s="268"/>
      <c r="F1289" s="268" t="s">
        <v>1359</v>
      </c>
      <c r="G1289" s="268" t="s">
        <v>1015</v>
      </c>
      <c r="H1289" s="268" t="s">
        <v>267</v>
      </c>
      <c r="I1289" s="268" t="s">
        <v>1016</v>
      </c>
      <c r="J1289" s="268" t="s">
        <v>1356</v>
      </c>
    </row>
    <row r="1290" spans="1:10" s="299" customFormat="1">
      <c r="A1290" s="268" t="s">
        <v>913</v>
      </c>
      <c r="B1290" s="268" t="s">
        <v>1017</v>
      </c>
      <c r="C1290" s="268" t="s">
        <v>267</v>
      </c>
      <c r="D1290" s="268" t="s">
        <v>686</v>
      </c>
      <c r="E1290" s="268"/>
      <c r="F1290" s="268" t="s">
        <v>1359</v>
      </c>
      <c r="G1290" s="268" t="s">
        <v>1017</v>
      </c>
      <c r="H1290" s="268" t="s">
        <v>267</v>
      </c>
      <c r="I1290" s="268" t="s">
        <v>1018</v>
      </c>
      <c r="J1290" s="268" t="s">
        <v>1356</v>
      </c>
    </row>
    <row r="1291" spans="1:10" s="299" customFormat="1">
      <c r="A1291" s="268" t="s">
        <v>913</v>
      </c>
      <c r="B1291" s="268" t="s">
        <v>1019</v>
      </c>
      <c r="C1291" s="268" t="s">
        <v>267</v>
      </c>
      <c r="D1291" s="268" t="s">
        <v>686</v>
      </c>
      <c r="E1291" s="268"/>
      <c r="F1291" s="268" t="s">
        <v>1359</v>
      </c>
      <c r="G1291" s="268" t="s">
        <v>1019</v>
      </c>
      <c r="H1291" s="268" t="s">
        <v>267</v>
      </c>
      <c r="I1291" s="268" t="s">
        <v>1020</v>
      </c>
      <c r="J1291" s="268" t="s">
        <v>1356</v>
      </c>
    </row>
    <row r="1292" spans="1:10" s="299" customFormat="1">
      <c r="A1292" s="268" t="s">
        <v>913</v>
      </c>
      <c r="B1292" s="268" t="s">
        <v>1021</v>
      </c>
      <c r="C1292" s="268" t="s">
        <v>267</v>
      </c>
      <c r="D1292" s="268" t="s">
        <v>686</v>
      </c>
      <c r="E1292" s="268"/>
      <c r="F1292" s="268" t="s">
        <v>1359</v>
      </c>
      <c r="G1292" s="268" t="s">
        <v>1021</v>
      </c>
      <c r="H1292" s="268" t="s">
        <v>267</v>
      </c>
      <c r="I1292" s="268" t="s">
        <v>1022</v>
      </c>
      <c r="J1292" s="268" t="s">
        <v>1356</v>
      </c>
    </row>
    <row r="1293" spans="1:10" s="299" customFormat="1">
      <c r="A1293" s="268" t="s">
        <v>913</v>
      </c>
      <c r="B1293" s="268" t="s">
        <v>1023</v>
      </c>
      <c r="C1293" s="268" t="s">
        <v>267</v>
      </c>
      <c r="D1293" s="268" t="s">
        <v>686</v>
      </c>
      <c r="E1293" s="268"/>
      <c r="F1293" s="268" t="s">
        <v>1359</v>
      </c>
      <c r="G1293" s="268" t="s">
        <v>1023</v>
      </c>
      <c r="H1293" s="268" t="s">
        <v>267</v>
      </c>
      <c r="I1293" s="268" t="s">
        <v>1024</v>
      </c>
      <c r="J1293" s="268" t="s">
        <v>1356</v>
      </c>
    </row>
    <row r="1294" spans="1:10" s="299" customFormat="1">
      <c r="A1294" s="268" t="s">
        <v>913</v>
      </c>
      <c r="B1294" s="268" t="s">
        <v>1025</v>
      </c>
      <c r="C1294" s="268" t="s">
        <v>267</v>
      </c>
      <c r="D1294" s="268" t="s">
        <v>686</v>
      </c>
      <c r="E1294" s="268"/>
      <c r="F1294" s="268" t="s">
        <v>1359</v>
      </c>
      <c r="G1294" s="268" t="s">
        <v>1025</v>
      </c>
      <c r="H1294" s="268" t="s">
        <v>267</v>
      </c>
      <c r="I1294" s="268" t="s">
        <v>1026</v>
      </c>
      <c r="J1294" s="268" t="s">
        <v>1356</v>
      </c>
    </row>
    <row r="1295" spans="1:10" s="299" customFormat="1">
      <c r="A1295" s="268" t="s">
        <v>913</v>
      </c>
      <c r="B1295" s="268" t="s">
        <v>1027</v>
      </c>
      <c r="C1295" s="268" t="s">
        <v>267</v>
      </c>
      <c r="D1295" s="268" t="s">
        <v>686</v>
      </c>
      <c r="E1295" s="268"/>
      <c r="F1295" s="268" t="s">
        <v>1359</v>
      </c>
      <c r="G1295" s="268" t="s">
        <v>1027</v>
      </c>
      <c r="H1295" s="268" t="s">
        <v>267</v>
      </c>
      <c r="I1295" s="268" t="s">
        <v>1028</v>
      </c>
      <c r="J1295" s="268" t="s">
        <v>1356</v>
      </c>
    </row>
    <row r="1296" spans="1:10" s="299" customFormat="1">
      <c r="A1296" s="268" t="s">
        <v>913</v>
      </c>
      <c r="B1296" s="268" t="s">
        <v>1029</v>
      </c>
      <c r="C1296" s="268" t="s">
        <v>267</v>
      </c>
      <c r="D1296" s="268" t="s">
        <v>686</v>
      </c>
      <c r="E1296" s="268"/>
      <c r="F1296" s="268" t="s">
        <v>1359</v>
      </c>
      <c r="G1296" s="268" t="s">
        <v>1029</v>
      </c>
      <c r="H1296" s="268" t="s">
        <v>267</v>
      </c>
      <c r="I1296" s="268" t="s">
        <v>1030</v>
      </c>
      <c r="J1296" s="268" t="s">
        <v>1356</v>
      </c>
    </row>
    <row r="1297" spans="1:10" s="299" customFormat="1">
      <c r="A1297" s="268" t="s">
        <v>913</v>
      </c>
      <c r="B1297" s="268" t="s">
        <v>1031</v>
      </c>
      <c r="C1297" s="268" t="s">
        <v>267</v>
      </c>
      <c r="D1297" s="268" t="s">
        <v>686</v>
      </c>
      <c r="E1297" s="268"/>
      <c r="F1297" s="268" t="s">
        <v>1359</v>
      </c>
      <c r="G1297" s="268" t="s">
        <v>1031</v>
      </c>
      <c r="H1297" s="268" t="s">
        <v>267</v>
      </c>
      <c r="I1297" s="268" t="s">
        <v>1032</v>
      </c>
      <c r="J1297" s="268" t="s">
        <v>1356</v>
      </c>
    </row>
    <row r="1298" spans="1:10" s="299" customFormat="1">
      <c r="A1298" s="268" t="s">
        <v>913</v>
      </c>
      <c r="B1298" s="268" t="s">
        <v>1033</v>
      </c>
      <c r="C1298" s="268" t="s">
        <v>267</v>
      </c>
      <c r="D1298" s="268" t="s">
        <v>686</v>
      </c>
      <c r="E1298" s="268"/>
      <c r="F1298" s="268" t="s">
        <v>1359</v>
      </c>
      <c r="G1298" s="268" t="s">
        <v>1033</v>
      </c>
      <c r="H1298" s="268" t="s">
        <v>267</v>
      </c>
      <c r="I1298" s="268" t="s">
        <v>1034</v>
      </c>
      <c r="J1298" s="268" t="s">
        <v>1356</v>
      </c>
    </row>
    <row r="1299" spans="1:10" s="299" customFormat="1">
      <c r="A1299" s="268" t="s">
        <v>913</v>
      </c>
      <c r="B1299" s="268" t="s">
        <v>1035</v>
      </c>
      <c r="C1299" s="268" t="s">
        <v>267</v>
      </c>
      <c r="D1299" s="268" t="s">
        <v>686</v>
      </c>
      <c r="E1299" s="268"/>
      <c r="F1299" s="268" t="s">
        <v>1359</v>
      </c>
      <c r="G1299" s="268" t="s">
        <v>1035</v>
      </c>
      <c r="H1299" s="268" t="s">
        <v>267</v>
      </c>
      <c r="I1299" s="268" t="s">
        <v>1036</v>
      </c>
      <c r="J1299" s="268" t="s">
        <v>1356</v>
      </c>
    </row>
    <row r="1300" spans="1:10" s="299" customFormat="1">
      <c r="A1300" s="268" t="s">
        <v>913</v>
      </c>
      <c r="B1300" s="268" t="s">
        <v>1037</v>
      </c>
      <c r="C1300" s="268" t="s">
        <v>267</v>
      </c>
      <c r="D1300" s="268" t="s">
        <v>686</v>
      </c>
      <c r="E1300" s="268"/>
      <c r="F1300" s="268" t="s">
        <v>1359</v>
      </c>
      <c r="G1300" s="268" t="s">
        <v>1037</v>
      </c>
      <c r="H1300" s="268" t="s">
        <v>267</v>
      </c>
      <c r="I1300" s="268" t="s">
        <v>1038</v>
      </c>
      <c r="J1300" s="268" t="s">
        <v>1356</v>
      </c>
    </row>
    <row r="1301" spans="1:10" s="299" customFormat="1">
      <c r="A1301" s="268" t="s">
        <v>913</v>
      </c>
      <c r="B1301" s="268" t="s">
        <v>1039</v>
      </c>
      <c r="C1301" s="268" t="s">
        <v>267</v>
      </c>
      <c r="D1301" s="268" t="s">
        <v>686</v>
      </c>
      <c r="E1301" s="268"/>
      <c r="F1301" s="268" t="s">
        <v>1359</v>
      </c>
      <c r="G1301" s="268" t="s">
        <v>1039</v>
      </c>
      <c r="H1301" s="268" t="s">
        <v>267</v>
      </c>
      <c r="I1301" s="268" t="s">
        <v>1040</v>
      </c>
      <c r="J1301" s="268" t="s">
        <v>1356</v>
      </c>
    </row>
    <row r="1302" spans="1:10" s="299" customFormat="1">
      <c r="A1302" s="268" t="s">
        <v>913</v>
      </c>
      <c r="B1302" s="268" t="s">
        <v>1041</v>
      </c>
      <c r="C1302" s="268" t="s">
        <v>267</v>
      </c>
      <c r="D1302" s="268" t="s">
        <v>686</v>
      </c>
      <c r="E1302" s="268"/>
      <c r="F1302" s="268" t="s">
        <v>1359</v>
      </c>
      <c r="G1302" s="268" t="s">
        <v>1041</v>
      </c>
      <c r="H1302" s="268" t="s">
        <v>267</v>
      </c>
      <c r="I1302" s="268" t="s">
        <v>1042</v>
      </c>
      <c r="J1302" s="268" t="s">
        <v>1356</v>
      </c>
    </row>
    <row r="1303" spans="1:10" s="299" customFormat="1">
      <c r="A1303" s="268" t="s">
        <v>913</v>
      </c>
      <c r="B1303" s="268" t="s">
        <v>1043</v>
      </c>
      <c r="C1303" s="268" t="s">
        <v>267</v>
      </c>
      <c r="D1303" s="268" t="s">
        <v>686</v>
      </c>
      <c r="E1303" s="268"/>
      <c r="F1303" s="268" t="s">
        <v>1359</v>
      </c>
      <c r="G1303" s="268" t="s">
        <v>1043</v>
      </c>
      <c r="H1303" s="268" t="s">
        <v>267</v>
      </c>
      <c r="I1303" s="268" t="s">
        <v>1044</v>
      </c>
      <c r="J1303" s="268" t="s">
        <v>1356</v>
      </c>
    </row>
    <row r="1304" spans="1:10" s="299" customFormat="1">
      <c r="A1304" s="268" t="s">
        <v>913</v>
      </c>
      <c r="B1304" s="268" t="s">
        <v>1045</v>
      </c>
      <c r="C1304" s="268" t="s">
        <v>267</v>
      </c>
      <c r="D1304" s="268" t="s">
        <v>686</v>
      </c>
      <c r="E1304" s="268"/>
      <c r="F1304" s="268" t="s">
        <v>1359</v>
      </c>
      <c r="G1304" s="268" t="s">
        <v>1045</v>
      </c>
      <c r="H1304" s="268" t="s">
        <v>267</v>
      </c>
      <c r="I1304" s="268" t="s">
        <v>1046</v>
      </c>
      <c r="J1304" s="268" t="s">
        <v>1356</v>
      </c>
    </row>
    <row r="1305" spans="1:10" s="299" customFormat="1">
      <c r="A1305" s="268" t="s">
        <v>913</v>
      </c>
      <c r="B1305" s="268" t="s">
        <v>1047</v>
      </c>
      <c r="C1305" s="268" t="s">
        <v>267</v>
      </c>
      <c r="D1305" s="268" t="s">
        <v>686</v>
      </c>
      <c r="E1305" s="268"/>
      <c r="F1305" s="268" t="s">
        <v>1359</v>
      </c>
      <c r="G1305" s="268" t="s">
        <v>1047</v>
      </c>
      <c r="H1305" s="268" t="s">
        <v>267</v>
      </c>
      <c r="I1305" s="268" t="s">
        <v>1048</v>
      </c>
      <c r="J1305" s="268" t="s">
        <v>1356</v>
      </c>
    </row>
    <row r="1306" spans="1:10" s="299" customFormat="1">
      <c r="A1306" s="268" t="s">
        <v>913</v>
      </c>
      <c r="B1306" s="268" t="s">
        <v>1049</v>
      </c>
      <c r="C1306" s="268" t="s">
        <v>267</v>
      </c>
      <c r="D1306" s="268" t="s">
        <v>686</v>
      </c>
      <c r="E1306" s="268"/>
      <c r="F1306" s="268" t="s">
        <v>1359</v>
      </c>
      <c r="G1306" s="268" t="s">
        <v>1049</v>
      </c>
      <c r="H1306" s="268" t="s">
        <v>267</v>
      </c>
      <c r="I1306" s="268" t="s">
        <v>1050</v>
      </c>
      <c r="J1306" s="268" t="s">
        <v>1356</v>
      </c>
    </row>
    <row r="1307" spans="1:10" s="299" customFormat="1">
      <c r="A1307" s="268" t="s">
        <v>913</v>
      </c>
      <c r="B1307" s="268" t="s">
        <v>1051</v>
      </c>
      <c r="C1307" s="268" t="s">
        <v>267</v>
      </c>
      <c r="D1307" s="268" t="s">
        <v>686</v>
      </c>
      <c r="E1307" s="268"/>
      <c r="F1307" s="268" t="s">
        <v>1359</v>
      </c>
      <c r="G1307" s="268" t="s">
        <v>1051</v>
      </c>
      <c r="H1307" s="268" t="s">
        <v>267</v>
      </c>
      <c r="I1307" s="268" t="s">
        <v>1052</v>
      </c>
      <c r="J1307" s="268" t="s">
        <v>1356</v>
      </c>
    </row>
    <row r="1308" spans="1:10" s="299" customFormat="1">
      <c r="A1308" s="268" t="s">
        <v>913</v>
      </c>
      <c r="B1308" s="268" t="s">
        <v>1053</v>
      </c>
      <c r="C1308" s="268" t="s">
        <v>267</v>
      </c>
      <c r="D1308" s="268" t="s">
        <v>686</v>
      </c>
      <c r="E1308" s="268"/>
      <c r="F1308" s="268" t="s">
        <v>1359</v>
      </c>
      <c r="G1308" s="268" t="s">
        <v>1053</v>
      </c>
      <c r="H1308" s="268" t="s">
        <v>267</v>
      </c>
      <c r="I1308" s="268" t="s">
        <v>1054</v>
      </c>
      <c r="J1308" s="268" t="s">
        <v>1356</v>
      </c>
    </row>
    <row r="1309" spans="1:10" s="299" customFormat="1">
      <c r="A1309" s="268" t="s">
        <v>913</v>
      </c>
      <c r="B1309" s="268" t="s">
        <v>1055</v>
      </c>
      <c r="C1309" s="268" t="s">
        <v>267</v>
      </c>
      <c r="D1309" s="268" t="s">
        <v>686</v>
      </c>
      <c r="E1309" s="268"/>
      <c r="F1309" s="268" t="s">
        <v>1359</v>
      </c>
      <c r="G1309" s="268" t="s">
        <v>1055</v>
      </c>
      <c r="H1309" s="268" t="s">
        <v>267</v>
      </c>
      <c r="I1309" s="268" t="s">
        <v>1056</v>
      </c>
      <c r="J1309" s="268" t="s">
        <v>1356</v>
      </c>
    </row>
    <row r="1310" spans="1:10" s="299" customFormat="1">
      <c r="A1310" s="268" t="s">
        <v>913</v>
      </c>
      <c r="B1310" s="268" t="s">
        <v>1057</v>
      </c>
      <c r="C1310" s="268" t="s">
        <v>267</v>
      </c>
      <c r="D1310" s="268" t="s">
        <v>686</v>
      </c>
      <c r="E1310" s="268"/>
      <c r="F1310" s="268" t="s">
        <v>1359</v>
      </c>
      <c r="G1310" s="268" t="s">
        <v>1057</v>
      </c>
      <c r="H1310" s="268" t="s">
        <v>267</v>
      </c>
      <c r="I1310" s="268" t="s">
        <v>1058</v>
      </c>
      <c r="J1310" s="268" t="s">
        <v>1356</v>
      </c>
    </row>
    <row r="1311" spans="1:10" s="299" customFormat="1">
      <c r="A1311" s="268" t="s">
        <v>913</v>
      </c>
      <c r="B1311" s="268" t="s">
        <v>1059</v>
      </c>
      <c r="C1311" s="268" t="s">
        <v>267</v>
      </c>
      <c r="D1311" s="268" t="s">
        <v>686</v>
      </c>
      <c r="E1311" s="268"/>
      <c r="F1311" s="268" t="s">
        <v>1359</v>
      </c>
      <c r="G1311" s="268" t="s">
        <v>1059</v>
      </c>
      <c r="H1311" s="268" t="s">
        <v>267</v>
      </c>
      <c r="I1311" s="268" t="s">
        <v>1060</v>
      </c>
      <c r="J1311" s="268" t="s">
        <v>1356</v>
      </c>
    </row>
    <row r="1312" spans="1:10" s="299" customFormat="1">
      <c r="A1312" s="268" t="s">
        <v>913</v>
      </c>
      <c r="B1312" s="268" t="s">
        <v>1061</v>
      </c>
      <c r="C1312" s="268" t="s">
        <v>267</v>
      </c>
      <c r="D1312" s="268" t="s">
        <v>686</v>
      </c>
      <c r="E1312" s="268"/>
      <c r="F1312" s="268" t="s">
        <v>1359</v>
      </c>
      <c r="G1312" s="268" t="s">
        <v>1061</v>
      </c>
      <c r="H1312" s="268" t="s">
        <v>267</v>
      </c>
      <c r="I1312" s="268" t="s">
        <v>1062</v>
      </c>
      <c r="J1312" s="268" t="s">
        <v>1356</v>
      </c>
    </row>
    <row r="1313" spans="1:10" s="299" customFormat="1">
      <c r="A1313" s="268" t="s">
        <v>913</v>
      </c>
      <c r="B1313" s="268" t="s">
        <v>1063</v>
      </c>
      <c r="C1313" s="268" t="s">
        <v>267</v>
      </c>
      <c r="D1313" s="268" t="s">
        <v>686</v>
      </c>
      <c r="E1313" s="268"/>
      <c r="F1313" s="268" t="s">
        <v>1359</v>
      </c>
      <c r="G1313" s="268" t="s">
        <v>1063</v>
      </c>
      <c r="H1313" s="268" t="s">
        <v>267</v>
      </c>
      <c r="I1313" s="268" t="s">
        <v>1064</v>
      </c>
      <c r="J1313" s="268" t="s">
        <v>1356</v>
      </c>
    </row>
    <row r="1314" spans="1:10" s="299" customFormat="1">
      <c r="A1314" s="268" t="s">
        <v>913</v>
      </c>
      <c r="B1314" s="268" t="s">
        <v>1065</v>
      </c>
      <c r="C1314" s="268" t="s">
        <v>267</v>
      </c>
      <c r="D1314" s="268" t="s">
        <v>686</v>
      </c>
      <c r="E1314" s="268"/>
      <c r="F1314" s="268" t="s">
        <v>1359</v>
      </c>
      <c r="G1314" s="268" t="s">
        <v>1065</v>
      </c>
      <c r="H1314" s="268" t="s">
        <v>267</v>
      </c>
      <c r="I1314" s="268" t="s">
        <v>1066</v>
      </c>
      <c r="J1314" s="268" t="s">
        <v>1356</v>
      </c>
    </row>
    <row r="1315" spans="1:10" s="299" customFormat="1">
      <c r="A1315" s="268" t="s">
        <v>913</v>
      </c>
      <c r="B1315" s="268" t="s">
        <v>1067</v>
      </c>
      <c r="C1315" s="268" t="s">
        <v>267</v>
      </c>
      <c r="D1315" s="268" t="s">
        <v>686</v>
      </c>
      <c r="E1315" s="268"/>
      <c r="F1315" s="268" t="s">
        <v>1359</v>
      </c>
      <c r="G1315" s="268" t="s">
        <v>1067</v>
      </c>
      <c r="H1315" s="268" t="s">
        <v>267</v>
      </c>
      <c r="I1315" s="268" t="s">
        <v>1068</v>
      </c>
      <c r="J1315" s="268" t="s">
        <v>1356</v>
      </c>
    </row>
    <row r="1316" spans="1:10" s="299" customFormat="1">
      <c r="A1316" s="268" t="s">
        <v>913</v>
      </c>
      <c r="B1316" s="268" t="s">
        <v>1069</v>
      </c>
      <c r="C1316" s="268" t="s">
        <v>267</v>
      </c>
      <c r="D1316" s="268" t="s">
        <v>686</v>
      </c>
      <c r="E1316" s="268"/>
      <c r="F1316" s="268" t="s">
        <v>1359</v>
      </c>
      <c r="G1316" s="268" t="s">
        <v>1069</v>
      </c>
      <c r="H1316" s="268" t="s">
        <v>267</v>
      </c>
      <c r="I1316" s="268" t="s">
        <v>1070</v>
      </c>
      <c r="J1316" s="268" t="s">
        <v>1356</v>
      </c>
    </row>
    <row r="1317" spans="1:10" s="299" customFormat="1">
      <c r="A1317" s="268" t="s">
        <v>913</v>
      </c>
      <c r="B1317" s="268" t="s">
        <v>1071</v>
      </c>
      <c r="C1317" s="268" t="s">
        <v>267</v>
      </c>
      <c r="D1317" s="268" t="s">
        <v>686</v>
      </c>
      <c r="E1317" s="268"/>
      <c r="F1317" s="268" t="s">
        <v>1359</v>
      </c>
      <c r="G1317" s="268" t="s">
        <v>1071</v>
      </c>
      <c r="H1317" s="268" t="s">
        <v>267</v>
      </c>
      <c r="I1317" s="268" t="s">
        <v>1072</v>
      </c>
      <c r="J1317" s="268" t="s">
        <v>1356</v>
      </c>
    </row>
    <row r="1318" spans="1:10" s="299" customFormat="1">
      <c r="A1318" s="268" t="s">
        <v>913</v>
      </c>
      <c r="B1318" s="268" t="s">
        <v>1073</v>
      </c>
      <c r="C1318" s="268" t="s">
        <v>267</v>
      </c>
      <c r="D1318" s="268" t="s">
        <v>686</v>
      </c>
      <c r="E1318" s="268"/>
      <c r="F1318" s="268" t="s">
        <v>1359</v>
      </c>
      <c r="G1318" s="268" t="s">
        <v>1073</v>
      </c>
      <c r="H1318" s="268" t="s">
        <v>267</v>
      </c>
      <c r="I1318" s="268" t="s">
        <v>1074</v>
      </c>
      <c r="J1318" s="268" t="s">
        <v>1356</v>
      </c>
    </row>
    <row r="1319" spans="1:10" s="299" customFormat="1">
      <c r="A1319" s="268" t="s">
        <v>913</v>
      </c>
      <c r="B1319" s="268" t="s">
        <v>1075</v>
      </c>
      <c r="C1319" s="268" t="s">
        <v>267</v>
      </c>
      <c r="D1319" s="268" t="s">
        <v>686</v>
      </c>
      <c r="E1319" s="268"/>
      <c r="F1319" s="268" t="s">
        <v>1359</v>
      </c>
      <c r="G1319" s="268" t="s">
        <v>1075</v>
      </c>
      <c r="H1319" s="268" t="s">
        <v>267</v>
      </c>
      <c r="I1319" s="268" t="s">
        <v>1076</v>
      </c>
      <c r="J1319" s="268" t="s">
        <v>1356</v>
      </c>
    </row>
    <row r="1320" spans="1:10" s="299" customFormat="1">
      <c r="A1320" s="268" t="s">
        <v>913</v>
      </c>
      <c r="B1320" s="268" t="s">
        <v>1077</v>
      </c>
      <c r="C1320" s="268" t="s">
        <v>267</v>
      </c>
      <c r="D1320" s="268" t="s">
        <v>686</v>
      </c>
      <c r="E1320" s="268"/>
      <c r="F1320" s="268" t="s">
        <v>1359</v>
      </c>
      <c r="G1320" s="268" t="s">
        <v>1077</v>
      </c>
      <c r="H1320" s="268" t="s">
        <v>267</v>
      </c>
      <c r="I1320" s="268" t="s">
        <v>1078</v>
      </c>
      <c r="J1320" s="268" t="s">
        <v>1356</v>
      </c>
    </row>
    <row r="1321" spans="1:10" s="299" customFormat="1">
      <c r="A1321" s="268" t="s">
        <v>913</v>
      </c>
      <c r="B1321" s="268" t="s">
        <v>1079</v>
      </c>
      <c r="C1321" s="268" t="s">
        <v>267</v>
      </c>
      <c r="D1321" s="268" t="s">
        <v>686</v>
      </c>
      <c r="E1321" s="268"/>
      <c r="F1321" s="268" t="s">
        <v>1359</v>
      </c>
      <c r="G1321" s="268" t="s">
        <v>1079</v>
      </c>
      <c r="H1321" s="268" t="s">
        <v>267</v>
      </c>
      <c r="I1321" s="268" t="s">
        <v>1080</v>
      </c>
      <c r="J1321" s="268" t="s">
        <v>1356</v>
      </c>
    </row>
    <row r="1322" spans="1:10" s="299" customFormat="1">
      <c r="A1322" s="268" t="s">
        <v>913</v>
      </c>
      <c r="B1322" s="268" t="s">
        <v>1081</v>
      </c>
      <c r="C1322" s="268" t="s">
        <v>267</v>
      </c>
      <c r="D1322" s="268" t="s">
        <v>686</v>
      </c>
      <c r="E1322" s="268"/>
      <c r="F1322" s="268" t="s">
        <v>1359</v>
      </c>
      <c r="G1322" s="268" t="s">
        <v>1081</v>
      </c>
      <c r="H1322" s="268" t="s">
        <v>267</v>
      </c>
      <c r="I1322" s="268" t="s">
        <v>1082</v>
      </c>
      <c r="J1322" s="268" t="s">
        <v>1356</v>
      </c>
    </row>
    <row r="1323" spans="1:10" s="299" customFormat="1">
      <c r="A1323" s="268" t="s">
        <v>913</v>
      </c>
      <c r="B1323" s="268" t="s">
        <v>1083</v>
      </c>
      <c r="C1323" s="268" t="s">
        <v>267</v>
      </c>
      <c r="D1323" s="268" t="s">
        <v>686</v>
      </c>
      <c r="E1323" s="268"/>
      <c r="F1323" s="268" t="s">
        <v>1359</v>
      </c>
      <c r="G1323" s="268" t="s">
        <v>1083</v>
      </c>
      <c r="H1323" s="268" t="s">
        <v>267</v>
      </c>
      <c r="I1323" s="268" t="s">
        <v>1084</v>
      </c>
      <c r="J1323" s="268" t="s">
        <v>1356</v>
      </c>
    </row>
    <row r="1324" spans="1:10" s="299" customFormat="1">
      <c r="A1324" s="268" t="s">
        <v>913</v>
      </c>
      <c r="B1324" s="268" t="s">
        <v>1085</v>
      </c>
      <c r="C1324" s="268" t="s">
        <v>267</v>
      </c>
      <c r="D1324" s="268" t="s">
        <v>686</v>
      </c>
      <c r="E1324" s="268"/>
      <c r="F1324" s="268" t="s">
        <v>1359</v>
      </c>
      <c r="G1324" s="268" t="s">
        <v>1085</v>
      </c>
      <c r="H1324" s="268" t="s">
        <v>267</v>
      </c>
      <c r="I1324" s="268" t="s">
        <v>1086</v>
      </c>
      <c r="J1324" s="268" t="s">
        <v>1356</v>
      </c>
    </row>
    <row r="1325" spans="1:10" s="299" customFormat="1">
      <c r="A1325" s="268" t="s">
        <v>913</v>
      </c>
      <c r="B1325" s="268" t="s">
        <v>1094</v>
      </c>
      <c r="C1325" s="268" t="s">
        <v>267</v>
      </c>
      <c r="D1325" s="268" t="s">
        <v>686</v>
      </c>
      <c r="E1325" s="268"/>
      <c r="F1325" s="268" t="s">
        <v>1359</v>
      </c>
      <c r="G1325" s="268" t="s">
        <v>1094</v>
      </c>
      <c r="H1325" s="268" t="s">
        <v>267</v>
      </c>
      <c r="I1325" s="268" t="s">
        <v>1095</v>
      </c>
      <c r="J1325" s="268" t="s">
        <v>1356</v>
      </c>
    </row>
    <row r="1326" spans="1:10" s="299" customFormat="1">
      <c r="A1326" s="268" t="s">
        <v>913</v>
      </c>
      <c r="B1326" s="268" t="s">
        <v>1096</v>
      </c>
      <c r="C1326" s="268" t="s">
        <v>267</v>
      </c>
      <c r="D1326" s="268" t="s">
        <v>686</v>
      </c>
      <c r="E1326" s="268"/>
      <c r="F1326" s="268" t="s">
        <v>1359</v>
      </c>
      <c r="G1326" s="268" t="s">
        <v>1096</v>
      </c>
      <c r="H1326" s="268" t="s">
        <v>267</v>
      </c>
      <c r="I1326" s="268" t="s">
        <v>1097</v>
      </c>
      <c r="J1326" s="268" t="s">
        <v>1356</v>
      </c>
    </row>
    <row r="1327" spans="1:10" s="299" customFormat="1" ht="250">
      <c r="A1327" s="268" t="s">
        <v>1360</v>
      </c>
      <c r="B1327" s="268" t="s">
        <v>1361</v>
      </c>
      <c r="C1327" s="268" t="s">
        <v>267</v>
      </c>
      <c r="D1327" s="268" t="s">
        <v>922</v>
      </c>
      <c r="E1327" s="268"/>
      <c r="F1327" s="268" t="s">
        <v>1359</v>
      </c>
      <c r="G1327" s="268" t="s">
        <v>1098</v>
      </c>
      <c r="H1327" s="268" t="s">
        <v>267</v>
      </c>
      <c r="I1327" s="268" t="s">
        <v>1099</v>
      </c>
      <c r="J1327" s="268" t="s">
        <v>1356</v>
      </c>
    </row>
    <row r="1328" spans="1:10" s="299" customFormat="1" ht="250">
      <c r="A1328" s="268" t="s">
        <v>1362</v>
      </c>
      <c r="B1328" s="268" t="s">
        <v>1361</v>
      </c>
      <c r="C1328" s="268" t="s">
        <v>267</v>
      </c>
      <c r="D1328" s="268" t="s">
        <v>922</v>
      </c>
      <c r="E1328" s="268"/>
      <c r="F1328" s="268" t="s">
        <v>1359</v>
      </c>
      <c r="G1328" s="268" t="s">
        <v>1100</v>
      </c>
      <c r="H1328" s="268" t="s">
        <v>267</v>
      </c>
      <c r="I1328" s="268" t="s">
        <v>1101</v>
      </c>
      <c r="J1328" s="268" t="s">
        <v>1356</v>
      </c>
    </row>
    <row r="1329" spans="1:10" s="299" customFormat="1">
      <c r="A1329" s="268" t="s">
        <v>913</v>
      </c>
      <c r="B1329" s="268" t="s">
        <v>1102</v>
      </c>
      <c r="C1329" s="268" t="s">
        <v>267</v>
      </c>
      <c r="D1329" s="268" t="s">
        <v>686</v>
      </c>
      <c r="E1329" s="268"/>
      <c r="F1329" s="268" t="s">
        <v>1359</v>
      </c>
      <c r="G1329" s="268" t="s">
        <v>1102</v>
      </c>
      <c r="H1329" s="268" t="s">
        <v>267</v>
      </c>
      <c r="I1329" s="268" t="s">
        <v>1103</v>
      </c>
      <c r="J1329" s="268" t="s">
        <v>1356</v>
      </c>
    </row>
    <row r="1330" spans="1:10" s="299" customFormat="1">
      <c r="A1330" s="268" t="s">
        <v>913</v>
      </c>
      <c r="B1330" s="268" t="s">
        <v>1104</v>
      </c>
      <c r="C1330" s="268" t="s">
        <v>267</v>
      </c>
      <c r="D1330" s="268" t="s">
        <v>686</v>
      </c>
      <c r="E1330" s="268"/>
      <c r="F1330" s="268" t="s">
        <v>1359</v>
      </c>
      <c r="G1330" s="268" t="s">
        <v>1104</v>
      </c>
      <c r="H1330" s="268" t="s">
        <v>267</v>
      </c>
      <c r="I1330" s="268" t="s">
        <v>1105</v>
      </c>
      <c r="J1330" s="268" t="s">
        <v>1356</v>
      </c>
    </row>
    <row r="1331" spans="1:10" s="299" customFormat="1">
      <c r="A1331" s="268" t="s">
        <v>913</v>
      </c>
      <c r="B1331" s="268" t="s">
        <v>1106</v>
      </c>
      <c r="C1331" s="268" t="s">
        <v>267</v>
      </c>
      <c r="D1331" s="268" t="s">
        <v>686</v>
      </c>
      <c r="E1331" s="268"/>
      <c r="F1331" s="268" t="s">
        <v>1359</v>
      </c>
      <c r="G1331" s="268" t="s">
        <v>1106</v>
      </c>
      <c r="H1331" s="268" t="s">
        <v>267</v>
      </c>
      <c r="I1331" s="268" t="s">
        <v>1107</v>
      </c>
      <c r="J1331" s="268" t="s">
        <v>1356</v>
      </c>
    </row>
    <row r="1332" spans="1:10" s="299" customFormat="1">
      <c r="A1332" s="268" t="s">
        <v>913</v>
      </c>
      <c r="B1332" s="268" t="s">
        <v>1108</v>
      </c>
      <c r="C1332" s="268" t="s">
        <v>267</v>
      </c>
      <c r="D1332" s="268" t="s">
        <v>686</v>
      </c>
      <c r="E1332" s="268"/>
      <c r="F1332" s="268" t="s">
        <v>1359</v>
      </c>
      <c r="G1332" s="268" t="s">
        <v>1108</v>
      </c>
      <c r="H1332" s="268" t="s">
        <v>267</v>
      </c>
      <c r="I1332" s="268" t="s">
        <v>1109</v>
      </c>
      <c r="J1332" s="268" t="s">
        <v>1356</v>
      </c>
    </row>
    <row r="1333" spans="1:10" s="299" customFormat="1">
      <c r="A1333" s="268" t="s">
        <v>1358</v>
      </c>
      <c r="B1333" s="268" t="s">
        <v>1363</v>
      </c>
      <c r="C1333" s="268" t="s">
        <v>267</v>
      </c>
      <c r="D1333" s="268" t="s">
        <v>922</v>
      </c>
      <c r="E1333" s="268" t="s">
        <v>1364</v>
      </c>
      <c r="F1333" s="268" t="s">
        <v>1359</v>
      </c>
      <c r="G1333" s="268" t="s">
        <v>1365</v>
      </c>
      <c r="H1333" s="268" t="s">
        <v>274</v>
      </c>
      <c r="I1333" s="268" t="s">
        <v>1366</v>
      </c>
      <c r="J1333" s="268" t="s">
        <v>1356</v>
      </c>
    </row>
    <row r="1334" spans="1:10" s="299" customFormat="1">
      <c r="A1334" s="268" t="s">
        <v>1358</v>
      </c>
      <c r="B1334" s="268" t="s">
        <v>1363</v>
      </c>
      <c r="C1334" s="268" t="s">
        <v>267</v>
      </c>
      <c r="D1334" s="268" t="s">
        <v>686</v>
      </c>
      <c r="E1334" s="268"/>
      <c r="F1334" s="268" t="s">
        <v>1359</v>
      </c>
      <c r="G1334" s="268" t="s">
        <v>1367</v>
      </c>
      <c r="H1334" s="268" t="s">
        <v>262</v>
      </c>
      <c r="I1334" s="268" t="s">
        <v>1368</v>
      </c>
      <c r="J1334" s="268" t="s">
        <v>1356</v>
      </c>
    </row>
    <row r="1335" spans="1:10" s="299" customFormat="1">
      <c r="A1335" s="268" t="s">
        <v>913</v>
      </c>
      <c r="B1335" s="268" t="s">
        <v>92</v>
      </c>
      <c r="C1335" s="268" t="s">
        <v>267</v>
      </c>
      <c r="D1335" s="268" t="s">
        <v>686</v>
      </c>
      <c r="E1335" s="268"/>
      <c r="F1335" s="268" t="s">
        <v>1359</v>
      </c>
      <c r="G1335" s="268" t="s">
        <v>310</v>
      </c>
      <c r="H1335" s="268" t="s">
        <v>267</v>
      </c>
      <c r="I1335" s="268" t="s">
        <v>1110</v>
      </c>
      <c r="J1335" s="268" t="s">
        <v>1356</v>
      </c>
    </row>
    <row r="1336" spans="1:10" s="299" customFormat="1">
      <c r="A1336" s="268" t="s">
        <v>1358</v>
      </c>
      <c r="B1336" s="268" t="s">
        <v>95</v>
      </c>
      <c r="C1336" s="268" t="s">
        <v>267</v>
      </c>
      <c r="D1336" s="268" t="s">
        <v>686</v>
      </c>
      <c r="E1336" s="268"/>
      <c r="F1336" s="268" t="s">
        <v>1359</v>
      </c>
      <c r="G1336" s="268" t="s">
        <v>312</v>
      </c>
      <c r="H1336" s="268" t="s">
        <v>267</v>
      </c>
      <c r="I1336" s="268" t="s">
        <v>1111</v>
      </c>
      <c r="J1336" s="268" t="s">
        <v>1356</v>
      </c>
    </row>
    <row r="1337" spans="1:10" s="299" customFormat="1">
      <c r="A1337" s="268" t="s">
        <v>913</v>
      </c>
      <c r="B1337" s="268" t="s">
        <v>98</v>
      </c>
      <c r="C1337" s="268" t="s">
        <v>267</v>
      </c>
      <c r="D1337" s="268" t="s">
        <v>686</v>
      </c>
      <c r="E1337" s="268"/>
      <c r="F1337" s="268" t="s">
        <v>1359</v>
      </c>
      <c r="G1337" s="268" t="s">
        <v>270</v>
      </c>
      <c r="H1337" s="268" t="s">
        <v>267</v>
      </c>
      <c r="I1337" s="268" t="s">
        <v>1112</v>
      </c>
      <c r="J1337" s="268" t="s">
        <v>1356</v>
      </c>
    </row>
    <row r="1338" spans="1:10" s="299" customFormat="1">
      <c r="A1338" s="268" t="s">
        <v>913</v>
      </c>
      <c r="B1338" s="268" t="s">
        <v>99</v>
      </c>
      <c r="C1338" s="268" t="s">
        <v>267</v>
      </c>
      <c r="D1338" s="268" t="s">
        <v>686</v>
      </c>
      <c r="E1338" s="268"/>
      <c r="F1338" s="268" t="s">
        <v>1359</v>
      </c>
      <c r="G1338" s="268" t="s">
        <v>271</v>
      </c>
      <c r="H1338" s="268" t="s">
        <v>267</v>
      </c>
      <c r="I1338" s="268" t="s">
        <v>1116</v>
      </c>
      <c r="J1338" s="268" t="s">
        <v>1356</v>
      </c>
    </row>
    <row r="1339" spans="1:10" s="299" customFormat="1">
      <c r="A1339" s="268" t="s">
        <v>1118</v>
      </c>
      <c r="B1339" s="268" t="s">
        <v>1167</v>
      </c>
      <c r="C1339" s="268" t="s">
        <v>267</v>
      </c>
      <c r="D1339" s="268" t="s">
        <v>686</v>
      </c>
      <c r="E1339" s="268"/>
      <c r="F1339" s="268" t="s">
        <v>1359</v>
      </c>
      <c r="G1339" s="268" t="s">
        <v>1168</v>
      </c>
      <c r="H1339" s="268" t="s">
        <v>267</v>
      </c>
      <c r="I1339" s="268" t="s">
        <v>1169</v>
      </c>
      <c r="J1339" s="268" t="s">
        <v>1356</v>
      </c>
    </row>
    <row r="1340" spans="1:10" s="299" customFormat="1">
      <c r="A1340" s="268" t="s">
        <v>913</v>
      </c>
      <c r="B1340" s="268" t="s">
        <v>391</v>
      </c>
      <c r="C1340" s="268" t="s">
        <v>267</v>
      </c>
      <c r="D1340" s="268" t="s">
        <v>686</v>
      </c>
      <c r="E1340" s="268"/>
      <c r="F1340" s="268" t="s">
        <v>1359</v>
      </c>
      <c r="G1340" s="268" t="s">
        <v>1117</v>
      </c>
      <c r="H1340" s="268" t="s">
        <v>267</v>
      </c>
      <c r="I1340" s="268" t="s">
        <v>391</v>
      </c>
      <c r="J1340" s="268" t="s">
        <v>1356</v>
      </c>
    </row>
    <row r="1341" spans="1:10" s="299" customFormat="1">
      <c r="A1341" s="268" t="s">
        <v>1358</v>
      </c>
      <c r="B1341" s="268" t="s">
        <v>1369</v>
      </c>
      <c r="C1341" s="268" t="s">
        <v>274</v>
      </c>
      <c r="D1341" s="268" t="s">
        <v>686</v>
      </c>
      <c r="E1341" s="268"/>
      <c r="F1341" s="268" t="s">
        <v>1359</v>
      </c>
      <c r="G1341" s="268" t="s">
        <v>1370</v>
      </c>
      <c r="H1341" s="268" t="s">
        <v>274</v>
      </c>
      <c r="I1341" s="268" t="s">
        <v>1371</v>
      </c>
      <c r="J1341" s="268" t="s">
        <v>1356</v>
      </c>
    </row>
    <row r="1342" spans="1:10" s="299" customFormat="1">
      <c r="A1342" s="268" t="s">
        <v>1372</v>
      </c>
      <c r="B1342" s="268" t="s">
        <v>1146</v>
      </c>
      <c r="C1342" s="268" t="s">
        <v>267</v>
      </c>
      <c r="D1342" s="268" t="s">
        <v>686</v>
      </c>
      <c r="E1342" s="268"/>
      <c r="F1342" s="268" t="s">
        <v>1359</v>
      </c>
      <c r="G1342" s="268" t="s">
        <v>1147</v>
      </c>
      <c r="H1342" s="268" t="s">
        <v>267</v>
      </c>
      <c r="I1342" s="268" t="s">
        <v>1148</v>
      </c>
      <c r="J1342" s="268" t="s">
        <v>1356</v>
      </c>
    </row>
    <row r="1343" spans="1:10" s="299" customFormat="1">
      <c r="A1343" s="268" t="s">
        <v>1372</v>
      </c>
      <c r="B1343" s="268" t="s">
        <v>1149</v>
      </c>
      <c r="C1343" s="268" t="s">
        <v>267</v>
      </c>
      <c r="D1343" s="268" t="s">
        <v>686</v>
      </c>
      <c r="E1343" s="268"/>
      <c r="F1343" s="268" t="s">
        <v>1359</v>
      </c>
      <c r="G1343" s="268" t="s">
        <v>1150</v>
      </c>
      <c r="H1343" s="268" t="s">
        <v>267</v>
      </c>
      <c r="I1343" s="268" t="s">
        <v>1151</v>
      </c>
      <c r="J1343" s="268" t="s">
        <v>1356</v>
      </c>
    </row>
    <row r="1344" spans="1:10" s="299" customFormat="1">
      <c r="A1344" s="268" t="s">
        <v>1372</v>
      </c>
      <c r="B1344" s="268" t="s">
        <v>1152</v>
      </c>
      <c r="C1344" s="268" t="s">
        <v>267</v>
      </c>
      <c r="D1344" s="268" t="s">
        <v>686</v>
      </c>
      <c r="E1344" s="268"/>
      <c r="F1344" s="268" t="s">
        <v>1359</v>
      </c>
      <c r="G1344" s="268" t="s">
        <v>1153</v>
      </c>
      <c r="H1344" s="268" t="s">
        <v>267</v>
      </c>
      <c r="I1344" s="268" t="s">
        <v>1154</v>
      </c>
      <c r="J1344" s="268" t="s">
        <v>1356</v>
      </c>
    </row>
    <row r="1345" spans="1:10" s="299" customFormat="1">
      <c r="A1345" s="268" t="s">
        <v>913</v>
      </c>
      <c r="B1345" s="268" t="s">
        <v>186</v>
      </c>
      <c r="C1345" s="268" t="s">
        <v>267</v>
      </c>
      <c r="D1345" s="268" t="s">
        <v>686</v>
      </c>
      <c r="E1345" s="268"/>
      <c r="F1345" s="268" t="s">
        <v>1359</v>
      </c>
      <c r="G1345" s="268" t="s">
        <v>186</v>
      </c>
      <c r="H1345" s="268" t="s">
        <v>267</v>
      </c>
      <c r="I1345" s="268" t="s">
        <v>1125</v>
      </c>
      <c r="J1345" s="268" t="s">
        <v>1356</v>
      </c>
    </row>
    <row r="1346" spans="1:10" s="299" customFormat="1">
      <c r="A1346" s="268" t="s">
        <v>913</v>
      </c>
      <c r="B1346" s="268" t="s">
        <v>187</v>
      </c>
      <c r="C1346" s="268" t="s">
        <v>267</v>
      </c>
      <c r="D1346" s="268" t="s">
        <v>686</v>
      </c>
      <c r="E1346" s="268"/>
      <c r="F1346" s="268" t="s">
        <v>1359</v>
      </c>
      <c r="G1346" s="268" t="s">
        <v>187</v>
      </c>
      <c r="H1346" s="268" t="s">
        <v>267</v>
      </c>
      <c r="I1346" s="268" t="s">
        <v>1126</v>
      </c>
      <c r="J1346" s="268" t="s">
        <v>1356</v>
      </c>
    </row>
    <row r="1347" spans="1:10" s="299" customFormat="1">
      <c r="A1347" s="268" t="s">
        <v>913</v>
      </c>
      <c r="B1347" s="268" t="s">
        <v>188</v>
      </c>
      <c r="C1347" s="268" t="s">
        <v>267</v>
      </c>
      <c r="D1347" s="268" t="s">
        <v>686</v>
      </c>
      <c r="E1347" s="268"/>
      <c r="F1347" s="268" t="s">
        <v>1359</v>
      </c>
      <c r="G1347" s="268" t="s">
        <v>188</v>
      </c>
      <c r="H1347" s="268" t="s">
        <v>267</v>
      </c>
      <c r="I1347" s="268" t="s">
        <v>1127</v>
      </c>
      <c r="J1347" s="268" t="s">
        <v>1356</v>
      </c>
    </row>
    <row r="1348" spans="1:10" s="299" customFormat="1">
      <c r="A1348" s="268" t="s">
        <v>913</v>
      </c>
      <c r="B1348" s="268" t="s">
        <v>193</v>
      </c>
      <c r="C1348" s="268" t="s">
        <v>267</v>
      </c>
      <c r="D1348" s="268" t="s">
        <v>686</v>
      </c>
      <c r="E1348" s="268"/>
      <c r="F1348" s="268" t="s">
        <v>1359</v>
      </c>
      <c r="G1348" s="268" t="s">
        <v>193</v>
      </c>
      <c r="H1348" s="268" t="s">
        <v>267</v>
      </c>
      <c r="I1348" s="268" t="s">
        <v>1128</v>
      </c>
      <c r="J1348" s="268" t="s">
        <v>1356</v>
      </c>
    </row>
    <row r="1349" spans="1:10" s="299" customFormat="1">
      <c r="A1349" s="268" t="s">
        <v>913</v>
      </c>
      <c r="B1349" s="268" t="s">
        <v>194</v>
      </c>
      <c r="C1349" s="268" t="s">
        <v>267</v>
      </c>
      <c r="D1349" s="268" t="s">
        <v>686</v>
      </c>
      <c r="E1349" s="268"/>
      <c r="F1349" s="268" t="s">
        <v>1359</v>
      </c>
      <c r="G1349" s="268" t="s">
        <v>194</v>
      </c>
      <c r="H1349" s="268" t="s">
        <v>267</v>
      </c>
      <c r="I1349" s="268" t="s">
        <v>1129</v>
      </c>
      <c r="J1349" s="268" t="s">
        <v>1356</v>
      </c>
    </row>
    <row r="1350" spans="1:10" s="299" customFormat="1">
      <c r="A1350" s="268" t="s">
        <v>913</v>
      </c>
      <c r="B1350" s="268" t="s">
        <v>195</v>
      </c>
      <c r="C1350" s="268" t="s">
        <v>267</v>
      </c>
      <c r="D1350" s="268" t="s">
        <v>686</v>
      </c>
      <c r="E1350" s="268"/>
      <c r="F1350" s="268" t="s">
        <v>1359</v>
      </c>
      <c r="G1350" s="268" t="s">
        <v>195</v>
      </c>
      <c r="H1350" s="268" t="s">
        <v>267</v>
      </c>
      <c r="I1350" s="268" t="s">
        <v>1130</v>
      </c>
      <c r="J1350" s="268" t="s">
        <v>1356</v>
      </c>
    </row>
    <row r="1351" spans="1:10" s="299" customFormat="1">
      <c r="A1351" s="268" t="s">
        <v>913</v>
      </c>
      <c r="B1351" s="268" t="s">
        <v>426</v>
      </c>
      <c r="C1351" s="268" t="s">
        <v>267</v>
      </c>
      <c r="D1351" s="268" t="s">
        <v>686</v>
      </c>
      <c r="E1351" s="268"/>
      <c r="F1351" s="268" t="s">
        <v>1359</v>
      </c>
      <c r="G1351" s="268" t="s">
        <v>1131</v>
      </c>
      <c r="H1351" s="268" t="s">
        <v>267</v>
      </c>
      <c r="I1351" s="268" t="s">
        <v>1132</v>
      </c>
      <c r="J1351" s="268" t="s">
        <v>1356</v>
      </c>
    </row>
    <row r="1352" spans="1:10" s="299" customFormat="1">
      <c r="A1352" s="268" t="s">
        <v>913</v>
      </c>
      <c r="B1352" s="268" t="s">
        <v>1133</v>
      </c>
      <c r="C1352" s="268" t="s">
        <v>267</v>
      </c>
      <c r="D1352" s="268" t="s">
        <v>686</v>
      </c>
      <c r="E1352" s="268"/>
      <c r="F1352" s="268" t="s">
        <v>1359</v>
      </c>
      <c r="G1352" s="268" t="s">
        <v>1134</v>
      </c>
      <c r="H1352" s="268" t="s">
        <v>267</v>
      </c>
      <c r="I1352" s="268" t="s">
        <v>1135</v>
      </c>
      <c r="J1352" s="268" t="s">
        <v>1356</v>
      </c>
    </row>
    <row r="1353" spans="1:10" s="299" customFormat="1">
      <c r="A1353" s="268" t="s">
        <v>1136</v>
      </c>
      <c r="B1353" s="268" t="s">
        <v>441</v>
      </c>
      <c r="C1353" s="268" t="s">
        <v>267</v>
      </c>
      <c r="D1353" s="268" t="s">
        <v>686</v>
      </c>
      <c r="E1353" s="268"/>
      <c r="F1353" s="268" t="s">
        <v>1359</v>
      </c>
      <c r="G1353" s="268" t="s">
        <v>443</v>
      </c>
      <c r="H1353" s="268" t="s">
        <v>267</v>
      </c>
      <c r="I1353" s="268" t="s">
        <v>1137</v>
      </c>
      <c r="J1353" s="268" t="s">
        <v>1356</v>
      </c>
    </row>
    <row r="1354" spans="1:10" s="299" customFormat="1">
      <c r="A1354" s="268" t="s">
        <v>1136</v>
      </c>
      <c r="B1354" s="268" t="s">
        <v>401</v>
      </c>
      <c r="C1354" s="268" t="s">
        <v>267</v>
      </c>
      <c r="D1354" s="268" t="s">
        <v>686</v>
      </c>
      <c r="E1354" s="268"/>
      <c r="F1354" s="268" t="s">
        <v>1359</v>
      </c>
      <c r="G1354" s="268" t="s">
        <v>403</v>
      </c>
      <c r="H1354" s="268" t="s">
        <v>267</v>
      </c>
      <c r="I1354" s="268" t="s">
        <v>1138</v>
      </c>
      <c r="J1354" s="268" t="s">
        <v>1356</v>
      </c>
    </row>
    <row r="1355" spans="1:10" s="299" customFormat="1">
      <c r="A1355" s="268" t="s">
        <v>913</v>
      </c>
      <c r="B1355" s="268" t="s">
        <v>1139</v>
      </c>
      <c r="C1355" s="268" t="s">
        <v>267</v>
      </c>
      <c r="D1355" s="268" t="s">
        <v>686</v>
      </c>
      <c r="E1355" s="268"/>
      <c r="F1355" s="268" t="s">
        <v>1359</v>
      </c>
      <c r="G1355" s="268" t="s">
        <v>1140</v>
      </c>
      <c r="H1355" s="268" t="s">
        <v>267</v>
      </c>
      <c r="I1355" s="268" t="s">
        <v>1141</v>
      </c>
      <c r="J1355" s="268" t="s">
        <v>1356</v>
      </c>
    </row>
    <row r="1356" spans="1:10" s="299" customFormat="1">
      <c r="A1356" s="268" t="s">
        <v>913</v>
      </c>
      <c r="B1356" s="268" t="s">
        <v>380</v>
      </c>
      <c r="C1356" s="268" t="s">
        <v>267</v>
      </c>
      <c r="D1356" s="268" t="s">
        <v>686</v>
      </c>
      <c r="E1356" s="268"/>
      <c r="F1356" s="268" t="s">
        <v>1359</v>
      </c>
      <c r="G1356" s="268" t="s">
        <v>170</v>
      </c>
      <c r="H1356" s="268" t="s">
        <v>267</v>
      </c>
      <c r="I1356" s="268" t="s">
        <v>1142</v>
      </c>
      <c r="J1356" s="268" t="s">
        <v>1356</v>
      </c>
    </row>
    <row r="1357" spans="1:10" s="299" customFormat="1">
      <c r="A1357" s="268" t="s">
        <v>913</v>
      </c>
      <c r="B1357" s="268" t="s">
        <v>419</v>
      </c>
      <c r="C1357" s="268" t="s">
        <v>274</v>
      </c>
      <c r="D1357" s="268" t="s">
        <v>686</v>
      </c>
      <c r="E1357" s="268"/>
      <c r="F1357" s="268" t="s">
        <v>1359</v>
      </c>
      <c r="G1357" s="268" t="s">
        <v>1155</v>
      </c>
      <c r="H1357" s="268" t="s">
        <v>274</v>
      </c>
      <c r="I1357" s="268" t="s">
        <v>1156</v>
      </c>
      <c r="J1357" s="268" t="s">
        <v>1356</v>
      </c>
    </row>
    <row r="1358" spans="1:10" s="299" customFormat="1">
      <c r="A1358" s="268" t="s">
        <v>913</v>
      </c>
      <c r="B1358" s="268" t="s">
        <v>385</v>
      </c>
      <c r="C1358" s="268" t="s">
        <v>267</v>
      </c>
      <c r="D1358" s="268" t="s">
        <v>686</v>
      </c>
      <c r="E1358" s="268"/>
      <c r="F1358" s="268" t="s">
        <v>1359</v>
      </c>
      <c r="G1358" s="268" t="s">
        <v>110</v>
      </c>
      <c r="H1358" s="268" t="s">
        <v>267</v>
      </c>
      <c r="I1358" s="268" t="s">
        <v>1157</v>
      </c>
      <c r="J1358" s="268" t="s">
        <v>1356</v>
      </c>
    </row>
    <row r="1359" spans="1:10" s="299" customFormat="1">
      <c r="A1359" s="268" t="s">
        <v>1358</v>
      </c>
      <c r="B1359" s="268" t="s">
        <v>1373</v>
      </c>
      <c r="C1359" s="268" t="s">
        <v>267</v>
      </c>
      <c r="D1359" s="268" t="s">
        <v>686</v>
      </c>
      <c r="E1359" s="268"/>
      <c r="F1359" s="268" t="s">
        <v>1359</v>
      </c>
      <c r="G1359" s="268" t="s">
        <v>1374</v>
      </c>
      <c r="H1359" s="268" t="s">
        <v>267</v>
      </c>
      <c r="I1359" s="268" t="s">
        <v>1375</v>
      </c>
      <c r="J1359" s="268" t="s">
        <v>1356</v>
      </c>
    </row>
    <row r="1360" spans="1:10" s="299" customFormat="1">
      <c r="A1360" s="268" t="s">
        <v>1358</v>
      </c>
      <c r="B1360" s="268" t="s">
        <v>1376</v>
      </c>
      <c r="C1360" s="268" t="s">
        <v>267</v>
      </c>
      <c r="D1360" s="268" t="s">
        <v>686</v>
      </c>
      <c r="E1360" s="268"/>
      <c r="F1360" s="268" t="s">
        <v>1359</v>
      </c>
      <c r="G1360" s="268" t="s">
        <v>1377</v>
      </c>
      <c r="H1360" s="268" t="s">
        <v>267</v>
      </c>
      <c r="I1360" s="268" t="s">
        <v>1378</v>
      </c>
      <c r="J1360" s="268" t="s">
        <v>1356</v>
      </c>
    </row>
    <row r="1361" spans="1:19" s="299" customFormat="1">
      <c r="A1361" s="268" t="s">
        <v>913</v>
      </c>
      <c r="B1361" s="268" t="s">
        <v>1379</v>
      </c>
      <c r="C1361" s="268" t="s">
        <v>280</v>
      </c>
      <c r="D1361" s="268" t="s">
        <v>686</v>
      </c>
      <c r="E1361" s="268"/>
      <c r="F1361" s="268" t="s">
        <v>1359</v>
      </c>
      <c r="G1361" s="268" t="s">
        <v>1380</v>
      </c>
      <c r="H1361" s="268" t="s">
        <v>280</v>
      </c>
      <c r="I1361" s="268" t="s">
        <v>1381</v>
      </c>
      <c r="J1361" s="268" t="s">
        <v>1356</v>
      </c>
    </row>
    <row r="1362" spans="1:19" s="299" customFormat="1">
      <c r="A1362" s="268" t="s">
        <v>913</v>
      </c>
      <c r="B1362" s="268" t="s">
        <v>1164</v>
      </c>
      <c r="C1362" s="268" t="s">
        <v>267</v>
      </c>
      <c r="D1362" s="268" t="s">
        <v>686</v>
      </c>
      <c r="E1362" s="268"/>
      <c r="F1362" s="268" t="s">
        <v>1359</v>
      </c>
      <c r="G1362" s="268" t="s">
        <v>1165</v>
      </c>
      <c r="H1362" s="268" t="s">
        <v>267</v>
      </c>
      <c r="I1362" s="268" t="s">
        <v>1166</v>
      </c>
      <c r="J1362" s="268" t="s">
        <v>1356</v>
      </c>
    </row>
    <row r="1363" spans="1:19" s="299" customFormat="1">
      <c r="A1363" s="261" t="s">
        <v>913</v>
      </c>
      <c r="B1363" s="268" t="s">
        <v>100</v>
      </c>
      <c r="C1363" s="268" t="s">
        <v>267</v>
      </c>
      <c r="D1363" s="268" t="s">
        <v>686</v>
      </c>
      <c r="E1363" s="268"/>
      <c r="F1363" s="268" t="s">
        <v>1359</v>
      </c>
      <c r="G1363" s="268" t="s">
        <v>100</v>
      </c>
      <c r="H1363" s="261" t="s">
        <v>267</v>
      </c>
      <c r="I1363" s="105"/>
      <c r="J1363" s="268" t="s">
        <v>1356</v>
      </c>
    </row>
    <row r="1364" spans="1:19" s="299" customFormat="1">
      <c r="A1364" s="268" t="s">
        <v>913</v>
      </c>
      <c r="B1364" s="268" t="s">
        <v>1170</v>
      </c>
      <c r="C1364" s="268" t="s">
        <v>267</v>
      </c>
      <c r="D1364" s="268" t="s">
        <v>686</v>
      </c>
      <c r="E1364" s="268"/>
      <c r="F1364" s="268" t="s">
        <v>1359</v>
      </c>
      <c r="G1364" s="268" t="s">
        <v>1171</v>
      </c>
      <c r="H1364" s="268" t="s">
        <v>267</v>
      </c>
      <c r="I1364" s="268" t="s">
        <v>1172</v>
      </c>
      <c r="J1364" s="268" t="s">
        <v>1356</v>
      </c>
    </row>
    <row r="1365" spans="1:19" s="299" customFormat="1">
      <c r="A1365" s="268" t="s">
        <v>913</v>
      </c>
      <c r="B1365" s="268" t="s">
        <v>1173</v>
      </c>
      <c r="C1365" s="268" t="s">
        <v>267</v>
      </c>
      <c r="D1365" s="268" t="s">
        <v>922</v>
      </c>
      <c r="E1365" s="268" t="s">
        <v>1382</v>
      </c>
      <c r="F1365" s="268" t="s">
        <v>1359</v>
      </c>
      <c r="G1365" s="268" t="s">
        <v>905</v>
      </c>
      <c r="H1365" s="268" t="s">
        <v>267</v>
      </c>
      <c r="I1365" s="268" t="s">
        <v>1175</v>
      </c>
      <c r="J1365" s="268" t="s">
        <v>1356</v>
      </c>
    </row>
    <row r="1366" spans="1:19" s="299" customFormat="1" ht="62.5">
      <c r="A1366" s="268" t="s">
        <v>1358</v>
      </c>
      <c r="B1366" s="268" t="s">
        <v>312</v>
      </c>
      <c r="C1366" s="268" t="s">
        <v>267</v>
      </c>
      <c r="D1366" s="268" t="s">
        <v>922</v>
      </c>
      <c r="E1366" s="268" t="s">
        <v>1354</v>
      </c>
      <c r="F1366" s="268" t="s">
        <v>1359</v>
      </c>
      <c r="G1366" s="268" t="s">
        <v>1383</v>
      </c>
      <c r="H1366" s="268" t="s">
        <v>274</v>
      </c>
      <c r="I1366" s="268"/>
      <c r="J1366" s="268" t="s">
        <v>1356</v>
      </c>
    </row>
    <row r="1367" spans="1:19" s="299" customFormat="1">
      <c r="A1367" s="268" t="s">
        <v>1136</v>
      </c>
      <c r="B1367" s="268" t="s">
        <v>1178</v>
      </c>
      <c r="C1367" s="268" t="s">
        <v>267</v>
      </c>
      <c r="D1367" s="268" t="s">
        <v>686</v>
      </c>
      <c r="E1367" s="268"/>
      <c r="F1367" s="268" t="s">
        <v>1359</v>
      </c>
      <c r="G1367" s="268" t="s">
        <v>1178</v>
      </c>
      <c r="H1367" s="268" t="s">
        <v>267</v>
      </c>
      <c r="I1367" s="268" t="s">
        <v>1179</v>
      </c>
      <c r="J1367" s="268" t="s">
        <v>1356</v>
      </c>
    </row>
    <row r="1368" spans="1:19" s="299" customFormat="1">
      <c r="A1368" s="268" t="s">
        <v>1358</v>
      </c>
      <c r="B1368" s="268" t="s">
        <v>1384</v>
      </c>
      <c r="C1368" s="268" t="s">
        <v>280</v>
      </c>
      <c r="D1368" s="268" t="s">
        <v>922</v>
      </c>
      <c r="E1368" s="268" t="s">
        <v>1385</v>
      </c>
      <c r="F1368" s="268" t="s">
        <v>1359</v>
      </c>
      <c r="G1368" s="268" t="s">
        <v>1386</v>
      </c>
      <c r="H1368" s="268" t="s">
        <v>280</v>
      </c>
      <c r="I1368" s="268" t="s">
        <v>1387</v>
      </c>
      <c r="J1368" s="268" t="s">
        <v>1356</v>
      </c>
    </row>
    <row r="1369" spans="1:19" s="299" customFormat="1">
      <c r="A1369" s="268" t="s">
        <v>1358</v>
      </c>
      <c r="B1369" s="268" t="s">
        <v>1388</v>
      </c>
      <c r="C1369" s="268" t="s">
        <v>280</v>
      </c>
      <c r="D1369" s="268" t="s">
        <v>686</v>
      </c>
      <c r="E1369" s="268" t="s">
        <v>1388</v>
      </c>
      <c r="F1369" s="268" t="s">
        <v>1359</v>
      </c>
      <c r="G1369" s="268" t="s">
        <v>1389</v>
      </c>
      <c r="H1369" s="268" t="s">
        <v>274</v>
      </c>
      <c r="I1369" s="268" t="s">
        <v>1390</v>
      </c>
      <c r="J1369" s="268" t="s">
        <v>1356</v>
      </c>
    </row>
    <row r="1370" spans="1:19" s="299" customFormat="1" ht="25">
      <c r="A1370" s="268"/>
      <c r="B1370" s="268" t="s">
        <v>1391</v>
      </c>
      <c r="C1370" s="268" t="s">
        <v>280</v>
      </c>
      <c r="D1370" s="268" t="s">
        <v>1392</v>
      </c>
      <c r="E1370" s="268" t="s">
        <v>1393</v>
      </c>
      <c r="F1370" s="268" t="s">
        <v>1359</v>
      </c>
      <c r="G1370" s="268" t="s">
        <v>1394</v>
      </c>
      <c r="H1370" s="268" t="s">
        <v>280</v>
      </c>
      <c r="I1370" s="268" t="s">
        <v>1395</v>
      </c>
      <c r="J1370" s="268" t="s">
        <v>1356</v>
      </c>
    </row>
    <row r="1371" spans="1:19" s="299" customFormat="1" ht="25">
      <c r="A1371" s="268"/>
      <c r="B1371" s="268" t="s">
        <v>1391</v>
      </c>
      <c r="C1371" s="268" t="s">
        <v>280</v>
      </c>
      <c r="D1371" s="268" t="s">
        <v>922</v>
      </c>
      <c r="E1371" s="268" t="s">
        <v>1396</v>
      </c>
      <c r="F1371" s="268" t="s">
        <v>1359</v>
      </c>
      <c r="G1371" s="268" t="s">
        <v>1397</v>
      </c>
      <c r="H1371" s="268" t="s">
        <v>280</v>
      </c>
      <c r="I1371" s="268" t="s">
        <v>1398</v>
      </c>
      <c r="J1371" s="268" t="s">
        <v>1356</v>
      </c>
    </row>
    <row r="1372" spans="1:19" s="299" customFormat="1" ht="37.5">
      <c r="A1372" s="268"/>
      <c r="B1372" s="268"/>
      <c r="C1372" s="268" t="s">
        <v>280</v>
      </c>
      <c r="D1372" s="268" t="s">
        <v>922</v>
      </c>
      <c r="E1372" s="268" t="s">
        <v>1399</v>
      </c>
      <c r="F1372" s="268" t="s">
        <v>1359</v>
      </c>
      <c r="G1372" s="268" t="s">
        <v>1400</v>
      </c>
      <c r="H1372" s="268" t="s">
        <v>280</v>
      </c>
      <c r="I1372" s="268" t="s">
        <v>1401</v>
      </c>
      <c r="J1372" s="268" t="s">
        <v>1356</v>
      </c>
    </row>
    <row r="1373" spans="1:19" ht="62.5">
      <c r="A1373" s="268" t="s">
        <v>913</v>
      </c>
      <c r="B1373" s="105" t="s">
        <v>1379</v>
      </c>
      <c r="C1373" s="105"/>
      <c r="D1373" s="268" t="s">
        <v>922</v>
      </c>
      <c r="E1373" s="105" t="s">
        <v>1402</v>
      </c>
      <c r="F1373" s="268" t="s">
        <v>1359</v>
      </c>
      <c r="G1373" s="105" t="s">
        <v>1403</v>
      </c>
      <c r="H1373" s="268" t="s">
        <v>274</v>
      </c>
      <c r="I1373" s="105"/>
      <c r="J1373" s="268" t="s">
        <v>1356</v>
      </c>
      <c r="K1373" s="253"/>
      <c r="L1373" s="253"/>
      <c r="M1373" s="253"/>
      <c r="N1373" s="253"/>
      <c r="O1373" s="253"/>
      <c r="P1373" s="253"/>
      <c r="Q1373" s="253"/>
      <c r="R1373" s="253"/>
      <c r="S1373" s="253"/>
    </row>
    <row r="1374" spans="1:19">
      <c r="K1374" s="291"/>
      <c r="L1374" s="291"/>
      <c r="M1374" s="291"/>
      <c r="N1374" s="291"/>
      <c r="O1374" s="291"/>
      <c r="P1374" s="291"/>
      <c r="Q1374" s="291"/>
      <c r="R1374" s="291"/>
      <c r="S1374" s="291"/>
    </row>
    <row r="1375" spans="1:19">
      <c r="K1375" s="291"/>
      <c r="L1375" s="291"/>
      <c r="M1375" s="291"/>
      <c r="N1375" s="291"/>
      <c r="O1375" s="291"/>
      <c r="P1375" s="291"/>
      <c r="Q1375" s="291"/>
      <c r="R1375" s="291"/>
      <c r="S1375" s="291"/>
    </row>
    <row r="1376" spans="1:19">
      <c r="K1376" s="291"/>
      <c r="L1376" s="291"/>
      <c r="M1376" s="291"/>
      <c r="N1376" s="291"/>
      <c r="O1376" s="291"/>
      <c r="P1376" s="291"/>
      <c r="Q1376" s="291"/>
      <c r="R1376" s="291"/>
      <c r="S1376" s="291"/>
    </row>
    <row r="1377" spans="1:19">
      <c r="K1377" s="291"/>
      <c r="L1377" s="291"/>
      <c r="M1377" s="291"/>
      <c r="N1377" s="291"/>
      <c r="O1377" s="291"/>
      <c r="P1377" s="291"/>
      <c r="Q1377" s="291"/>
      <c r="R1377" s="291"/>
      <c r="S1377" s="291"/>
    </row>
    <row r="1378" spans="1:19">
      <c r="K1378" s="291"/>
      <c r="L1378" s="291"/>
      <c r="M1378" s="291"/>
      <c r="N1378" s="291"/>
      <c r="O1378" s="291"/>
      <c r="P1378" s="291"/>
      <c r="Q1378" s="291"/>
      <c r="R1378" s="291"/>
      <c r="S1378" s="291"/>
    </row>
    <row r="1379" spans="1:19" ht="13">
      <c r="A1379" s="518" t="s">
        <v>1404</v>
      </c>
      <c r="B1379" s="523"/>
      <c r="C1379" s="523"/>
      <c r="D1379" s="523"/>
      <c r="E1379" s="523"/>
      <c r="F1379" s="523"/>
      <c r="G1379" s="523"/>
      <c r="H1379" s="523"/>
      <c r="I1379" s="523"/>
      <c r="J1379" s="523"/>
      <c r="K1379" s="523"/>
      <c r="L1379" s="523"/>
      <c r="M1379" s="253"/>
      <c r="N1379" s="253"/>
      <c r="O1379" s="253"/>
      <c r="P1379" s="253"/>
      <c r="Q1379" s="253"/>
      <c r="R1379" s="253"/>
      <c r="S1379" s="253"/>
    </row>
    <row r="1381" spans="1:19" ht="13">
      <c r="A1381" s="518" t="s">
        <v>1405</v>
      </c>
      <c r="B1381" s="523"/>
      <c r="C1381" s="523"/>
      <c r="D1381" s="523"/>
      <c r="E1381" s="523"/>
      <c r="F1381" s="523"/>
      <c r="G1381" s="523"/>
      <c r="H1381" s="523"/>
      <c r="I1381" s="523"/>
      <c r="J1381" s="523"/>
      <c r="K1381" s="523"/>
      <c r="L1381" s="523"/>
      <c r="M1381" s="253"/>
      <c r="N1381" s="253"/>
      <c r="O1381" s="253"/>
      <c r="P1381" s="253"/>
      <c r="Q1381" s="253"/>
      <c r="R1381" s="253"/>
      <c r="S1381" s="253"/>
    </row>
    <row r="1382" spans="1:19">
      <c r="A1382" s="547" t="s">
        <v>1406</v>
      </c>
      <c r="B1382" s="547"/>
      <c r="C1382" s="547"/>
      <c r="D1382" s="435"/>
      <c r="E1382" s="157"/>
      <c r="F1382" s="436"/>
      <c r="G1382" s="297"/>
      <c r="H1382" s="297"/>
      <c r="I1382" s="297"/>
      <c r="J1382" s="298"/>
      <c r="K1382" s="171"/>
      <c r="L1382" s="253"/>
      <c r="M1382" s="253"/>
      <c r="N1382" s="253"/>
      <c r="O1382" s="253"/>
      <c r="P1382" s="253"/>
      <c r="Q1382" s="253"/>
      <c r="R1382" s="253"/>
      <c r="S1382" s="253"/>
    </row>
    <row r="1383" spans="1:19" ht="13">
      <c r="A1383" s="183" t="s">
        <v>73</v>
      </c>
      <c r="B1383" s="186" t="s">
        <v>74</v>
      </c>
      <c r="C1383" s="185" t="s">
        <v>75</v>
      </c>
      <c r="D1383" s="185" t="s">
        <v>76</v>
      </c>
      <c r="E1383" s="153" t="s">
        <v>77</v>
      </c>
      <c r="F1383" s="186" t="s">
        <v>78</v>
      </c>
      <c r="G1383" s="186" t="s">
        <v>79</v>
      </c>
      <c r="H1383" s="186" t="s">
        <v>80</v>
      </c>
      <c r="I1383" s="186" t="s">
        <v>683</v>
      </c>
      <c r="J1383" s="186" t="s">
        <v>260</v>
      </c>
      <c r="K1383" s="162" t="s">
        <v>261</v>
      </c>
      <c r="L1383" s="162" t="s">
        <v>1407</v>
      </c>
      <c r="M1383" s="253"/>
      <c r="N1383" s="253"/>
      <c r="O1383" s="253"/>
      <c r="P1383" s="253"/>
      <c r="Q1383" s="253"/>
      <c r="R1383" s="253"/>
      <c r="S1383" s="253"/>
    </row>
    <row r="1384" spans="1:19">
      <c r="A1384" s="274" t="s">
        <v>1408</v>
      </c>
      <c r="B1384" s="142" t="s">
        <v>1409</v>
      </c>
      <c r="C1384" s="142" t="s">
        <v>1292</v>
      </c>
      <c r="D1384" s="142" t="s">
        <v>686</v>
      </c>
      <c r="E1384" s="122"/>
      <c r="F1384" s="388" t="s">
        <v>1405</v>
      </c>
      <c r="G1384" s="388" t="s">
        <v>1409</v>
      </c>
      <c r="H1384" s="141" t="s">
        <v>1292</v>
      </c>
      <c r="I1384" s="141" t="s">
        <v>1122</v>
      </c>
      <c r="J1384" s="141"/>
      <c r="K1384" s="305" t="s">
        <v>1410</v>
      </c>
      <c r="L1384" s="261" t="s">
        <v>1411</v>
      </c>
      <c r="M1384" s="291"/>
      <c r="N1384" s="291"/>
      <c r="O1384" s="291"/>
      <c r="P1384" s="291"/>
      <c r="Q1384" s="291"/>
      <c r="R1384" s="291"/>
      <c r="S1384" s="291"/>
    </row>
    <row r="1385" spans="1:19">
      <c r="A1385" s="274" t="s">
        <v>1408</v>
      </c>
      <c r="B1385" s="142" t="s">
        <v>1412</v>
      </c>
      <c r="C1385" s="142" t="s">
        <v>351</v>
      </c>
      <c r="D1385" s="142" t="s">
        <v>686</v>
      </c>
      <c r="E1385" s="122"/>
      <c r="F1385" s="388" t="s">
        <v>1405</v>
      </c>
      <c r="G1385" s="388" t="s">
        <v>1412</v>
      </c>
      <c r="H1385" s="141" t="s">
        <v>351</v>
      </c>
      <c r="I1385" s="141" t="s">
        <v>1412</v>
      </c>
      <c r="J1385" s="141"/>
      <c r="K1385" s="305" t="s">
        <v>1410</v>
      </c>
      <c r="L1385" s="261" t="s">
        <v>1411</v>
      </c>
      <c r="M1385" s="291"/>
      <c r="N1385" s="291"/>
      <c r="O1385" s="291"/>
      <c r="P1385" s="291"/>
      <c r="Q1385" s="291"/>
      <c r="R1385" s="291"/>
      <c r="S1385" s="291"/>
    </row>
    <row r="1386" spans="1:19">
      <c r="A1386" s="332"/>
      <c r="B1386" s="184"/>
      <c r="C1386" s="184"/>
      <c r="D1386" s="184"/>
      <c r="E1386" s="159"/>
      <c r="F1386" s="334"/>
      <c r="G1386" s="334"/>
      <c r="H1386" s="182"/>
      <c r="I1386" s="182"/>
      <c r="J1386" s="182"/>
      <c r="K1386" s="171"/>
      <c r="L1386" s="291"/>
      <c r="M1386" s="291"/>
      <c r="N1386" s="291"/>
      <c r="O1386" s="291"/>
      <c r="P1386" s="291"/>
      <c r="Q1386" s="291"/>
      <c r="R1386" s="291"/>
      <c r="S1386" s="291"/>
    </row>
    <row r="1387" spans="1:19" ht="13">
      <c r="A1387" s="518" t="s">
        <v>1413</v>
      </c>
      <c r="B1387" s="523"/>
      <c r="C1387" s="523"/>
      <c r="D1387" s="523"/>
      <c r="E1387" s="523"/>
      <c r="F1387" s="523"/>
      <c r="G1387" s="523"/>
      <c r="H1387" s="523"/>
      <c r="I1387" s="523"/>
      <c r="J1387" s="523"/>
      <c r="K1387" s="523"/>
      <c r="L1387" s="523"/>
      <c r="M1387" s="291"/>
      <c r="N1387" s="291"/>
      <c r="O1387" s="291"/>
      <c r="P1387" s="291"/>
      <c r="Q1387" s="291"/>
      <c r="R1387" s="291"/>
      <c r="S1387" s="291"/>
    </row>
    <row r="1388" spans="1:19">
      <c r="A1388" s="548" t="s">
        <v>1414</v>
      </c>
      <c r="B1388" s="548"/>
      <c r="C1388" s="548"/>
      <c r="D1388" s="435"/>
      <c r="E1388" s="157"/>
      <c r="F1388" s="436"/>
      <c r="G1388" s="297"/>
      <c r="H1388" s="297"/>
      <c r="I1388" s="297"/>
      <c r="J1388" s="298"/>
      <c r="K1388" s="171"/>
      <c r="L1388" s="291"/>
      <c r="M1388" s="291"/>
      <c r="N1388" s="291"/>
      <c r="O1388" s="291"/>
      <c r="P1388" s="291"/>
      <c r="Q1388" s="291"/>
      <c r="R1388" s="291"/>
      <c r="S1388" s="291"/>
    </row>
    <row r="1389" spans="1:19" ht="13">
      <c r="A1389" s="183" t="s">
        <v>73</v>
      </c>
      <c r="B1389" s="186" t="s">
        <v>74</v>
      </c>
      <c r="C1389" s="185" t="s">
        <v>75</v>
      </c>
      <c r="D1389" s="185" t="s">
        <v>76</v>
      </c>
      <c r="E1389" s="153" t="s">
        <v>77</v>
      </c>
      <c r="F1389" s="186" t="s">
        <v>78</v>
      </c>
      <c r="G1389" s="186" t="s">
        <v>79</v>
      </c>
      <c r="H1389" s="186" t="s">
        <v>80</v>
      </c>
      <c r="I1389" s="186" t="s">
        <v>683</v>
      </c>
      <c r="J1389" s="186" t="s">
        <v>260</v>
      </c>
      <c r="K1389" s="162" t="s">
        <v>261</v>
      </c>
      <c r="L1389" s="162" t="s">
        <v>1407</v>
      </c>
      <c r="M1389" s="291"/>
      <c r="N1389" s="291"/>
      <c r="O1389" s="291"/>
      <c r="P1389" s="291"/>
      <c r="Q1389" s="291"/>
      <c r="R1389" s="291"/>
      <c r="S1389" s="291"/>
    </row>
    <row r="1390" spans="1:19">
      <c r="A1390" s="274" t="s">
        <v>1408</v>
      </c>
      <c r="B1390" s="142" t="s">
        <v>87</v>
      </c>
      <c r="C1390" s="142" t="s">
        <v>351</v>
      </c>
      <c r="D1390" s="142" t="s">
        <v>686</v>
      </c>
      <c r="E1390" s="122"/>
      <c r="F1390" s="304" t="s">
        <v>1413</v>
      </c>
      <c r="G1390" s="388" t="s">
        <v>87</v>
      </c>
      <c r="H1390" s="141" t="s">
        <v>351</v>
      </c>
      <c r="I1390" s="141" t="s">
        <v>87</v>
      </c>
      <c r="J1390" s="141"/>
      <c r="K1390" s="305" t="s">
        <v>1410</v>
      </c>
      <c r="L1390" s="261" t="s">
        <v>1411</v>
      </c>
      <c r="M1390" s="291"/>
      <c r="N1390" s="291"/>
      <c r="O1390" s="291"/>
      <c r="P1390" s="291"/>
      <c r="Q1390" s="291"/>
      <c r="R1390" s="291"/>
      <c r="S1390" s="291"/>
    </row>
    <row r="1391" spans="1:19">
      <c r="A1391" s="274" t="s">
        <v>1408</v>
      </c>
      <c r="B1391" s="142" t="s">
        <v>1122</v>
      </c>
      <c r="C1391" s="142" t="s">
        <v>1292</v>
      </c>
      <c r="D1391" s="142" t="s">
        <v>686</v>
      </c>
      <c r="E1391" s="122"/>
      <c r="F1391" s="304" t="s">
        <v>1413</v>
      </c>
      <c r="G1391" s="388" t="s">
        <v>1122</v>
      </c>
      <c r="H1391" s="141" t="s">
        <v>1292</v>
      </c>
      <c r="I1391" s="141" t="s">
        <v>1122</v>
      </c>
      <c r="J1391" s="141"/>
      <c r="K1391" s="305" t="s">
        <v>1410</v>
      </c>
      <c r="L1391" s="261" t="s">
        <v>1411</v>
      </c>
      <c r="M1391" s="291"/>
      <c r="N1391" s="291"/>
      <c r="O1391" s="291"/>
      <c r="P1391" s="291"/>
      <c r="Q1391" s="291"/>
      <c r="R1391" s="291"/>
      <c r="S1391" s="291"/>
    </row>
    <row r="1392" spans="1:19">
      <c r="A1392" s="274" t="s">
        <v>1408</v>
      </c>
      <c r="B1392" s="142" t="s">
        <v>1415</v>
      </c>
      <c r="C1392" s="142" t="s">
        <v>351</v>
      </c>
      <c r="D1392" s="142" t="s">
        <v>686</v>
      </c>
      <c r="E1392" s="122"/>
      <c r="F1392" s="304" t="s">
        <v>1413</v>
      </c>
      <c r="G1392" s="388" t="s">
        <v>1415</v>
      </c>
      <c r="H1392" s="141" t="s">
        <v>351</v>
      </c>
      <c r="I1392" s="141" t="s">
        <v>1415</v>
      </c>
      <c r="J1392" s="141"/>
      <c r="K1392" s="305" t="s">
        <v>1410</v>
      </c>
      <c r="L1392" s="261" t="s">
        <v>1411</v>
      </c>
      <c r="M1392" s="291"/>
      <c r="N1392" s="291"/>
      <c r="O1392" s="291"/>
      <c r="P1392" s="291"/>
      <c r="Q1392" s="291"/>
      <c r="R1392" s="291"/>
      <c r="S1392" s="291"/>
    </row>
    <row r="1393" spans="1:19">
      <c r="A1393" s="157"/>
      <c r="B1393" s="435"/>
      <c r="C1393" s="435"/>
      <c r="D1393" s="435"/>
      <c r="E1393" s="157"/>
      <c r="F1393" s="436"/>
      <c r="G1393" s="297"/>
      <c r="H1393" s="297"/>
      <c r="I1393" s="297"/>
      <c r="J1393" s="298"/>
      <c r="K1393" s="171"/>
      <c r="L1393" s="253"/>
      <c r="M1393" s="253"/>
      <c r="N1393" s="253"/>
      <c r="O1393" s="253"/>
      <c r="P1393" s="253"/>
      <c r="Q1393" s="253"/>
      <c r="R1393" s="253"/>
      <c r="S1393" s="253"/>
    </row>
    <row r="1394" spans="1:19" ht="13">
      <c r="A1394" s="518" t="s">
        <v>1416</v>
      </c>
      <c r="B1394" s="523"/>
      <c r="C1394" s="523"/>
      <c r="D1394" s="523"/>
      <c r="E1394" s="523"/>
      <c r="F1394" s="523"/>
      <c r="G1394" s="523"/>
      <c r="H1394" s="523"/>
      <c r="I1394" s="523"/>
      <c r="J1394" s="523"/>
      <c r="K1394" s="523"/>
      <c r="L1394" s="523"/>
      <c r="M1394" s="253"/>
      <c r="N1394" s="253"/>
      <c r="O1394" s="253"/>
      <c r="P1394" s="253"/>
      <c r="Q1394" s="253"/>
      <c r="R1394" s="253"/>
      <c r="S1394" s="253"/>
    </row>
    <row r="1395" spans="1:19">
      <c r="A1395" s="157"/>
      <c r="B1395" s="435"/>
      <c r="C1395" s="435"/>
      <c r="D1395" s="435"/>
      <c r="E1395" s="157"/>
      <c r="F1395" s="436"/>
      <c r="G1395" s="297"/>
      <c r="H1395" s="297"/>
      <c r="I1395" s="297"/>
      <c r="J1395" s="298"/>
      <c r="K1395" s="171"/>
      <c r="L1395" s="253"/>
      <c r="M1395" s="253"/>
      <c r="N1395" s="253"/>
      <c r="O1395" s="253"/>
      <c r="P1395" s="253"/>
      <c r="Q1395" s="253"/>
      <c r="R1395" s="253"/>
      <c r="S1395" s="253"/>
    </row>
    <row r="1396" spans="1:19" ht="13">
      <c r="A1396" s="114" t="s">
        <v>73</v>
      </c>
      <c r="B1396" s="185" t="s">
        <v>74</v>
      </c>
      <c r="C1396" s="185" t="s">
        <v>75</v>
      </c>
      <c r="D1396" s="185" t="s">
        <v>76</v>
      </c>
      <c r="E1396" s="114" t="s">
        <v>77</v>
      </c>
      <c r="F1396" s="186" t="s">
        <v>78</v>
      </c>
      <c r="G1396" s="153" t="s">
        <v>79</v>
      </c>
      <c r="H1396" s="153" t="s">
        <v>80</v>
      </c>
      <c r="I1396" s="186" t="s">
        <v>683</v>
      </c>
      <c r="J1396" s="186" t="s">
        <v>260</v>
      </c>
      <c r="K1396" s="162" t="s">
        <v>261</v>
      </c>
      <c r="L1396" s="162" t="s">
        <v>1407</v>
      </c>
      <c r="M1396" s="253"/>
      <c r="N1396" s="253"/>
      <c r="O1396" s="253"/>
      <c r="P1396" s="253"/>
      <c r="Q1396" s="253"/>
      <c r="R1396" s="253"/>
      <c r="S1396" s="253"/>
    </row>
    <row r="1397" spans="1:19" ht="25">
      <c r="A1397" s="172" t="s">
        <v>1417</v>
      </c>
      <c r="B1397" s="141" t="s">
        <v>87</v>
      </c>
      <c r="C1397" s="172"/>
      <c r="D1397" s="141" t="s">
        <v>93</v>
      </c>
      <c r="E1397" s="141" t="s">
        <v>909</v>
      </c>
      <c r="F1397" s="141" t="s">
        <v>1416</v>
      </c>
      <c r="G1397" s="141" t="s">
        <v>911</v>
      </c>
      <c r="H1397" s="141" t="s">
        <v>379</v>
      </c>
      <c r="I1397" s="141" t="s">
        <v>911</v>
      </c>
      <c r="J1397" s="172"/>
      <c r="K1397" s="141" t="s">
        <v>1418</v>
      </c>
      <c r="L1397" s="261" t="s">
        <v>1411</v>
      </c>
      <c r="M1397" s="291"/>
      <c r="N1397" s="291"/>
      <c r="O1397" s="291"/>
      <c r="P1397" s="291"/>
      <c r="Q1397" s="291"/>
      <c r="R1397" s="291"/>
      <c r="S1397" s="291"/>
    </row>
    <row r="1398" spans="1:19" ht="25">
      <c r="A1398" s="172" t="s">
        <v>1417</v>
      </c>
      <c r="B1398" s="142" t="s">
        <v>312</v>
      </c>
      <c r="C1398" s="172"/>
      <c r="D1398" s="141" t="s">
        <v>93</v>
      </c>
      <c r="E1398" s="172"/>
      <c r="F1398" s="141" t="s">
        <v>1416</v>
      </c>
      <c r="G1398" s="142" t="s">
        <v>312</v>
      </c>
      <c r="H1398" s="141" t="s">
        <v>1292</v>
      </c>
      <c r="I1398" s="142" t="s">
        <v>312</v>
      </c>
      <c r="J1398" s="172"/>
      <c r="K1398" s="141" t="s">
        <v>1418</v>
      </c>
      <c r="L1398" s="261" t="s">
        <v>1411</v>
      </c>
      <c r="M1398" s="291"/>
      <c r="N1398" s="291"/>
      <c r="O1398" s="291"/>
      <c r="P1398" s="291"/>
      <c r="Q1398" s="291"/>
      <c r="R1398" s="291"/>
      <c r="S1398" s="291"/>
    </row>
    <row r="1399" spans="1:19" ht="25">
      <c r="A1399" s="172" t="s">
        <v>1417</v>
      </c>
      <c r="B1399" s="142" t="s">
        <v>310</v>
      </c>
      <c r="C1399" s="172"/>
      <c r="D1399" s="141" t="s">
        <v>93</v>
      </c>
      <c r="E1399" s="172"/>
      <c r="F1399" s="141" t="s">
        <v>1416</v>
      </c>
      <c r="G1399" s="142" t="s">
        <v>310</v>
      </c>
      <c r="H1399" s="141" t="s">
        <v>1292</v>
      </c>
      <c r="I1399" s="142" t="s">
        <v>310</v>
      </c>
      <c r="J1399" s="172"/>
      <c r="K1399" s="141" t="s">
        <v>1418</v>
      </c>
      <c r="L1399" s="261" t="s">
        <v>1411</v>
      </c>
      <c r="M1399" s="291"/>
      <c r="N1399" s="291"/>
      <c r="O1399" s="291"/>
      <c r="P1399" s="291"/>
      <c r="Q1399" s="291"/>
      <c r="R1399" s="291"/>
      <c r="S1399" s="291"/>
    </row>
    <row r="1400" spans="1:19" ht="25">
      <c r="A1400" s="172" t="s">
        <v>1417</v>
      </c>
      <c r="B1400" s="142" t="s">
        <v>271</v>
      </c>
      <c r="C1400" s="172"/>
      <c r="D1400" s="141" t="s">
        <v>93</v>
      </c>
      <c r="E1400" s="172"/>
      <c r="F1400" s="141" t="s">
        <v>1416</v>
      </c>
      <c r="G1400" s="142" t="s">
        <v>271</v>
      </c>
      <c r="H1400" s="141" t="s">
        <v>1292</v>
      </c>
      <c r="I1400" s="142" t="s">
        <v>271</v>
      </c>
      <c r="J1400" s="172"/>
      <c r="K1400" s="141" t="s">
        <v>1418</v>
      </c>
      <c r="L1400" s="261" t="s">
        <v>1411</v>
      </c>
      <c r="M1400" s="291"/>
      <c r="N1400" s="291"/>
      <c r="O1400" s="291"/>
      <c r="P1400" s="291"/>
      <c r="Q1400" s="291"/>
      <c r="R1400" s="291"/>
      <c r="S1400" s="291"/>
    </row>
    <row r="1401" spans="1:19" ht="25">
      <c r="A1401" s="172" t="s">
        <v>1417</v>
      </c>
      <c r="B1401" t="s">
        <v>1419</v>
      </c>
      <c r="C1401" s="172"/>
      <c r="D1401" s="141" t="s">
        <v>93</v>
      </c>
      <c r="E1401" s="172"/>
      <c r="F1401" s="141" t="s">
        <v>1416</v>
      </c>
      <c r="G1401" t="s">
        <v>1419</v>
      </c>
      <c r="H1401" s="141" t="s">
        <v>1292</v>
      </c>
      <c r="I1401" s="142"/>
      <c r="J1401" s="172"/>
      <c r="K1401" s="141" t="s">
        <v>1418</v>
      </c>
      <c r="L1401" s="261" t="s">
        <v>1411</v>
      </c>
      <c r="M1401" s="291"/>
      <c r="N1401" s="291"/>
      <c r="O1401" s="291"/>
      <c r="P1401" s="291"/>
      <c r="Q1401" s="291"/>
      <c r="R1401" s="291"/>
      <c r="S1401" s="291"/>
    </row>
    <row r="1402" spans="1:19" ht="109.75" customHeight="1">
      <c r="A1402" s="172" t="s">
        <v>1417</v>
      </c>
      <c r="B1402" s="141"/>
      <c r="C1402" s="193" t="s">
        <v>351</v>
      </c>
      <c r="D1402" s="141" t="s">
        <v>263</v>
      </c>
      <c r="E1402" s="120" t="s">
        <v>1420</v>
      </c>
      <c r="F1402" s="141" t="s">
        <v>1416</v>
      </c>
      <c r="G1402" s="187" t="s">
        <v>1421</v>
      </c>
      <c r="H1402" s="141" t="s">
        <v>280</v>
      </c>
      <c r="I1402" s="141" t="s">
        <v>1422</v>
      </c>
      <c r="J1402" s="141" t="s">
        <v>1423</v>
      </c>
      <c r="K1402" s="141" t="s">
        <v>1418</v>
      </c>
      <c r="L1402" s="261" t="s">
        <v>1411</v>
      </c>
      <c r="M1402" s="291"/>
      <c r="N1402" s="291"/>
      <c r="O1402" s="291"/>
      <c r="P1402" s="291"/>
      <c r="Q1402" s="291"/>
      <c r="R1402" s="291"/>
      <c r="S1402" s="291"/>
    </row>
    <row r="1403" spans="1:19" ht="25">
      <c r="A1403" s="172" t="s">
        <v>1417</v>
      </c>
      <c r="B1403" s="141"/>
      <c r="C1403" s="193" t="s">
        <v>351</v>
      </c>
      <c r="D1403" s="141" t="s">
        <v>263</v>
      </c>
      <c r="E1403" s="120" t="s">
        <v>1424</v>
      </c>
      <c r="F1403" s="141" t="s">
        <v>1416</v>
      </c>
      <c r="G1403" s="187" t="s">
        <v>1425</v>
      </c>
      <c r="H1403" s="141" t="s">
        <v>280</v>
      </c>
      <c r="I1403" s="141" t="s">
        <v>1426</v>
      </c>
      <c r="J1403" s="141" t="s">
        <v>1423</v>
      </c>
      <c r="K1403" s="141" t="s">
        <v>1418</v>
      </c>
      <c r="L1403" s="261" t="s">
        <v>1411</v>
      </c>
      <c r="M1403" s="291"/>
      <c r="N1403" s="291"/>
      <c r="O1403" s="291"/>
      <c r="P1403" s="291"/>
      <c r="Q1403" s="291"/>
      <c r="R1403" s="291"/>
      <c r="S1403" s="291"/>
    </row>
    <row r="1404" spans="1:19" ht="62.5">
      <c r="A1404" s="172" t="s">
        <v>1417</v>
      </c>
      <c r="B1404" s="142"/>
      <c r="C1404" s="142"/>
      <c r="D1404" s="141" t="s">
        <v>263</v>
      </c>
      <c r="E1404" s="120" t="s">
        <v>1427</v>
      </c>
      <c r="F1404" s="141" t="s">
        <v>1416</v>
      </c>
      <c r="G1404" s="187" t="s">
        <v>1428</v>
      </c>
      <c r="H1404" s="141" t="s">
        <v>280</v>
      </c>
      <c r="I1404" s="141" t="s">
        <v>1429</v>
      </c>
      <c r="J1404" s="141" t="s">
        <v>1423</v>
      </c>
      <c r="K1404" s="141" t="s">
        <v>1418</v>
      </c>
      <c r="L1404" s="261" t="s">
        <v>1411</v>
      </c>
      <c r="M1404" s="291"/>
      <c r="N1404" s="291"/>
      <c r="O1404" s="291"/>
      <c r="P1404" s="291"/>
      <c r="Q1404" s="291"/>
      <c r="R1404" s="291"/>
      <c r="S1404" s="291"/>
    </row>
    <row r="1405" spans="1:19" ht="37.5">
      <c r="A1405" s="172" t="s">
        <v>1417</v>
      </c>
      <c r="B1405" s="142"/>
      <c r="C1405" s="142"/>
      <c r="D1405" s="141" t="s">
        <v>263</v>
      </c>
      <c r="E1405" s="120" t="s">
        <v>1430</v>
      </c>
      <c r="F1405" s="141" t="s">
        <v>1416</v>
      </c>
      <c r="G1405" s="187" t="s">
        <v>1431</v>
      </c>
      <c r="H1405" s="141" t="s">
        <v>280</v>
      </c>
      <c r="I1405" s="141" t="s">
        <v>1432</v>
      </c>
      <c r="J1405" s="141" t="s">
        <v>1423</v>
      </c>
      <c r="K1405" s="141" t="s">
        <v>1418</v>
      </c>
      <c r="L1405" s="261" t="s">
        <v>1411</v>
      </c>
      <c r="M1405" s="291"/>
      <c r="N1405" s="291"/>
      <c r="O1405" s="291"/>
      <c r="P1405" s="291"/>
      <c r="Q1405" s="291"/>
      <c r="R1405" s="291"/>
      <c r="S1405" s="291"/>
    </row>
    <row r="1406" spans="1:19" ht="50">
      <c r="A1406" s="120" t="s">
        <v>1417</v>
      </c>
      <c r="B1406" s="142"/>
      <c r="C1406" s="142"/>
      <c r="D1406" s="141" t="s">
        <v>263</v>
      </c>
      <c r="E1406" s="120" t="s">
        <v>1433</v>
      </c>
      <c r="F1406" s="141" t="s">
        <v>1416</v>
      </c>
      <c r="G1406" s="141" t="s">
        <v>1434</v>
      </c>
      <c r="H1406" s="141" t="s">
        <v>280</v>
      </c>
      <c r="I1406" s="141" t="s">
        <v>1435</v>
      </c>
      <c r="J1406" s="141" t="s">
        <v>1436</v>
      </c>
      <c r="K1406" s="141" t="s">
        <v>1418</v>
      </c>
      <c r="L1406" s="261" t="s">
        <v>1411</v>
      </c>
      <c r="M1406" s="291"/>
      <c r="N1406" s="291"/>
      <c r="O1406" s="291"/>
      <c r="P1406" s="291"/>
      <c r="Q1406" s="291"/>
      <c r="R1406" s="291"/>
      <c r="S1406" s="291"/>
    </row>
    <row r="1407" spans="1:19" ht="50">
      <c r="A1407" s="120" t="s">
        <v>1417</v>
      </c>
      <c r="B1407" s="142"/>
      <c r="C1407" s="142"/>
      <c r="D1407" s="141" t="s">
        <v>263</v>
      </c>
      <c r="E1407" s="120" t="s">
        <v>1437</v>
      </c>
      <c r="F1407" s="141" t="s">
        <v>1416</v>
      </c>
      <c r="G1407" s="141" t="s">
        <v>1438</v>
      </c>
      <c r="H1407" s="141" t="s">
        <v>280</v>
      </c>
      <c r="I1407" s="141" t="s">
        <v>1439</v>
      </c>
      <c r="J1407" s="141" t="s">
        <v>1436</v>
      </c>
      <c r="K1407" s="141" t="s">
        <v>1418</v>
      </c>
      <c r="L1407" s="261" t="s">
        <v>1411</v>
      </c>
      <c r="M1407" s="291"/>
      <c r="N1407" s="291"/>
      <c r="O1407" s="291"/>
      <c r="P1407" s="291"/>
      <c r="Q1407" s="291"/>
      <c r="R1407" s="291"/>
      <c r="S1407" s="291"/>
    </row>
    <row r="1408" spans="1:19" ht="200">
      <c r="A1408" s="120" t="s">
        <v>1440</v>
      </c>
      <c r="B1408" s="142"/>
      <c r="C1408" s="142"/>
      <c r="D1408" s="141" t="s">
        <v>263</v>
      </c>
      <c r="E1408" s="120" t="s">
        <v>1441</v>
      </c>
      <c r="F1408" s="141" t="s">
        <v>1416</v>
      </c>
      <c r="G1408" s="141" t="s">
        <v>1442</v>
      </c>
      <c r="H1408" s="141" t="s">
        <v>280</v>
      </c>
      <c r="I1408" s="141" t="s">
        <v>1443</v>
      </c>
      <c r="J1408" s="141" t="s">
        <v>1444</v>
      </c>
      <c r="K1408" s="141" t="s">
        <v>1418</v>
      </c>
      <c r="L1408" s="261" t="s">
        <v>1411</v>
      </c>
      <c r="M1408" s="291"/>
      <c r="N1408" s="291"/>
      <c r="O1408" s="291"/>
      <c r="P1408" s="291"/>
      <c r="Q1408" s="291"/>
      <c r="R1408" s="291"/>
      <c r="S1408" s="291"/>
    </row>
    <row r="1409" spans="1:19" ht="96" customHeight="1">
      <c r="A1409" s="120" t="s">
        <v>1417</v>
      </c>
      <c r="B1409" s="142"/>
      <c r="C1409" s="142"/>
      <c r="D1409" s="141" t="s">
        <v>263</v>
      </c>
      <c r="E1409" s="120" t="s">
        <v>1445</v>
      </c>
      <c r="F1409" s="141" t="s">
        <v>1416</v>
      </c>
      <c r="G1409" s="141" t="s">
        <v>1446</v>
      </c>
      <c r="H1409" s="141" t="s">
        <v>280</v>
      </c>
      <c r="I1409" s="141" t="s">
        <v>1447</v>
      </c>
      <c r="J1409" s="141" t="s">
        <v>1436</v>
      </c>
      <c r="K1409" s="141" t="s">
        <v>1418</v>
      </c>
      <c r="L1409" s="261" t="s">
        <v>1411</v>
      </c>
      <c r="M1409" s="291"/>
      <c r="N1409" s="291"/>
      <c r="O1409" s="291"/>
      <c r="P1409" s="291"/>
      <c r="Q1409" s="291"/>
      <c r="R1409" s="291"/>
      <c r="S1409" s="291"/>
    </row>
    <row r="1410" spans="1:19" ht="25">
      <c r="A1410" s="120" t="s">
        <v>1417</v>
      </c>
      <c r="B1410" s="142"/>
      <c r="C1410" s="142"/>
      <c r="D1410" s="141" t="s">
        <v>263</v>
      </c>
      <c r="E1410" s="120" t="s">
        <v>1448</v>
      </c>
      <c r="F1410" s="141" t="s">
        <v>1416</v>
      </c>
      <c r="G1410" s="141" t="s">
        <v>1449</v>
      </c>
      <c r="H1410" s="141" t="s">
        <v>280</v>
      </c>
      <c r="I1410" s="141" t="s">
        <v>1450</v>
      </c>
      <c r="J1410" s="141" t="s">
        <v>1436</v>
      </c>
      <c r="K1410" s="141" t="s">
        <v>1418</v>
      </c>
      <c r="L1410" s="261" t="s">
        <v>1411</v>
      </c>
      <c r="M1410" s="291"/>
      <c r="N1410" s="291"/>
      <c r="O1410" s="291"/>
      <c r="P1410" s="291"/>
      <c r="Q1410" s="291"/>
      <c r="R1410" s="291"/>
      <c r="S1410" s="291"/>
    </row>
    <row r="1411" spans="1:19" ht="25">
      <c r="A1411" s="172" t="s">
        <v>1417</v>
      </c>
      <c r="B1411" s="142"/>
      <c r="C1411" s="142"/>
      <c r="D1411" s="141" t="s">
        <v>263</v>
      </c>
      <c r="E1411" s="118" t="s">
        <v>1451</v>
      </c>
      <c r="F1411" s="141" t="s">
        <v>1416</v>
      </c>
      <c r="G1411" s="141" t="s">
        <v>1452</v>
      </c>
      <c r="H1411" s="141" t="s">
        <v>280</v>
      </c>
      <c r="I1411" s="141" t="s">
        <v>1453</v>
      </c>
      <c r="J1411" s="141" t="s">
        <v>1423</v>
      </c>
      <c r="K1411" s="141" t="s">
        <v>1418</v>
      </c>
      <c r="L1411" s="261" t="s">
        <v>1411</v>
      </c>
      <c r="M1411" s="291"/>
      <c r="N1411" s="291"/>
      <c r="O1411" s="291"/>
      <c r="P1411" s="291"/>
      <c r="Q1411" s="291"/>
      <c r="R1411" s="291"/>
      <c r="S1411" s="291"/>
    </row>
    <row r="1412" spans="1:19" ht="25">
      <c r="A1412" s="172" t="s">
        <v>1417</v>
      </c>
      <c r="B1412" s="142"/>
      <c r="C1412" s="142"/>
      <c r="D1412" s="142" t="s">
        <v>93</v>
      </c>
      <c r="E1412" s="122" t="s">
        <v>716</v>
      </c>
      <c r="F1412" s="141" t="s">
        <v>1416</v>
      </c>
      <c r="G1412" s="141" t="s">
        <v>1454</v>
      </c>
      <c r="H1412" s="141" t="s">
        <v>280</v>
      </c>
      <c r="I1412" s="141" t="s">
        <v>1455</v>
      </c>
      <c r="J1412" s="141" t="s">
        <v>1423</v>
      </c>
      <c r="K1412" s="141" t="s">
        <v>1418</v>
      </c>
      <c r="L1412" s="261" t="s">
        <v>1411</v>
      </c>
      <c r="M1412" s="291"/>
      <c r="N1412" s="291"/>
      <c r="O1412" s="291"/>
      <c r="P1412" s="291"/>
      <c r="Q1412" s="291"/>
      <c r="R1412" s="291"/>
      <c r="S1412" s="291"/>
    </row>
    <row r="1413" spans="1:19" ht="25">
      <c r="A1413" s="172" t="s">
        <v>1417</v>
      </c>
      <c r="B1413" s="142"/>
      <c r="C1413" s="142"/>
      <c r="D1413" s="141" t="s">
        <v>263</v>
      </c>
      <c r="E1413" s="122" t="s">
        <v>1456</v>
      </c>
      <c r="F1413" s="141" t="s">
        <v>1416</v>
      </c>
      <c r="G1413" s="141" t="s">
        <v>1457</v>
      </c>
      <c r="H1413" s="141" t="s">
        <v>280</v>
      </c>
      <c r="I1413" s="141" t="s">
        <v>1458</v>
      </c>
      <c r="J1413" s="141" t="s">
        <v>1423</v>
      </c>
      <c r="K1413" s="141" t="s">
        <v>1418</v>
      </c>
      <c r="L1413" s="261" t="s">
        <v>1411</v>
      </c>
      <c r="M1413" s="291"/>
      <c r="N1413" s="291"/>
      <c r="O1413" s="291"/>
      <c r="P1413" s="291"/>
      <c r="Q1413" s="291"/>
      <c r="R1413" s="291"/>
      <c r="S1413" s="291"/>
    </row>
    <row r="1414" spans="1:19" ht="25">
      <c r="A1414" s="172" t="s">
        <v>1417</v>
      </c>
      <c r="B1414" s="142"/>
      <c r="C1414" s="142"/>
      <c r="D1414" s="141" t="s">
        <v>263</v>
      </c>
      <c r="E1414" s="122" t="s">
        <v>1459</v>
      </c>
      <c r="F1414" s="141" t="s">
        <v>1416</v>
      </c>
      <c r="G1414" s="141" t="s">
        <v>1460</v>
      </c>
      <c r="H1414" s="141" t="s">
        <v>280</v>
      </c>
      <c r="I1414" s="141" t="s">
        <v>1461</v>
      </c>
      <c r="J1414" s="141" t="s">
        <v>1423</v>
      </c>
      <c r="K1414" s="141" t="s">
        <v>1418</v>
      </c>
      <c r="L1414" s="261" t="s">
        <v>1411</v>
      </c>
      <c r="M1414" s="291"/>
      <c r="N1414" s="291"/>
      <c r="O1414" s="291"/>
      <c r="P1414" s="291"/>
      <c r="Q1414" s="291"/>
      <c r="R1414" s="291"/>
      <c r="S1414" s="291"/>
    </row>
    <row r="1415" spans="1:19" ht="25">
      <c r="A1415" s="172" t="s">
        <v>1417</v>
      </c>
      <c r="B1415" s="142"/>
      <c r="C1415" s="142"/>
      <c r="D1415" s="142" t="s">
        <v>93</v>
      </c>
      <c r="E1415" s="122" t="s">
        <v>1462</v>
      </c>
      <c r="F1415" s="141" t="s">
        <v>1416</v>
      </c>
      <c r="G1415" s="141" t="s">
        <v>1463</v>
      </c>
      <c r="H1415" s="141" t="s">
        <v>280</v>
      </c>
      <c r="I1415" s="141" t="s">
        <v>1464</v>
      </c>
      <c r="J1415" s="141" t="s">
        <v>1423</v>
      </c>
      <c r="K1415" s="141" t="s">
        <v>1418</v>
      </c>
      <c r="L1415" s="261" t="s">
        <v>1411</v>
      </c>
      <c r="M1415" s="291"/>
      <c r="N1415" s="291"/>
      <c r="O1415" s="291"/>
      <c r="P1415" s="291"/>
      <c r="Q1415" s="291"/>
      <c r="R1415" s="291"/>
      <c r="S1415" s="291"/>
    </row>
    <row r="1416" spans="1:19" ht="25">
      <c r="A1416" s="172" t="s">
        <v>1417</v>
      </c>
      <c r="B1416" s="142"/>
      <c r="C1416" s="142"/>
      <c r="D1416" s="141" t="s">
        <v>263</v>
      </c>
      <c r="E1416" s="122" t="s">
        <v>1465</v>
      </c>
      <c r="F1416" s="141" t="s">
        <v>1416</v>
      </c>
      <c r="G1416" s="141" t="s">
        <v>1466</v>
      </c>
      <c r="H1416" s="141" t="s">
        <v>280</v>
      </c>
      <c r="I1416" s="141" t="s">
        <v>1467</v>
      </c>
      <c r="J1416" s="141" t="s">
        <v>1423</v>
      </c>
      <c r="K1416" s="141" t="s">
        <v>1418</v>
      </c>
      <c r="L1416" s="261" t="s">
        <v>1411</v>
      </c>
      <c r="M1416" s="291"/>
      <c r="N1416" s="291"/>
      <c r="O1416" s="291"/>
      <c r="P1416" s="291"/>
      <c r="Q1416" s="291"/>
      <c r="R1416" s="291"/>
      <c r="S1416" s="291"/>
    </row>
    <row r="1417" spans="1:19" ht="25">
      <c r="A1417" s="172" t="s">
        <v>1417</v>
      </c>
      <c r="B1417" s="142"/>
      <c r="C1417" s="142"/>
      <c r="D1417" s="141" t="s">
        <v>263</v>
      </c>
      <c r="E1417" s="122" t="s">
        <v>1468</v>
      </c>
      <c r="F1417" s="141" t="s">
        <v>1416</v>
      </c>
      <c r="G1417" s="141" t="s">
        <v>1469</v>
      </c>
      <c r="H1417" s="141" t="s">
        <v>280</v>
      </c>
      <c r="I1417" s="141" t="s">
        <v>1470</v>
      </c>
      <c r="J1417" s="141" t="s">
        <v>1423</v>
      </c>
      <c r="K1417" s="141" t="s">
        <v>1418</v>
      </c>
      <c r="L1417" s="261" t="s">
        <v>1411</v>
      </c>
      <c r="M1417" s="291"/>
      <c r="N1417" s="291"/>
      <c r="O1417" s="291"/>
      <c r="P1417" s="291"/>
      <c r="Q1417" s="291"/>
      <c r="R1417" s="291"/>
      <c r="S1417" s="291"/>
    </row>
    <row r="1418" spans="1:19" ht="25">
      <c r="A1418" s="172" t="s">
        <v>1417</v>
      </c>
      <c r="B1418" s="142"/>
      <c r="C1418" s="142"/>
      <c r="D1418" s="142" t="s">
        <v>93</v>
      </c>
      <c r="E1418" s="122" t="s">
        <v>1471</v>
      </c>
      <c r="F1418" s="141" t="s">
        <v>1416</v>
      </c>
      <c r="G1418" s="141" t="s">
        <v>1472</v>
      </c>
      <c r="H1418" s="141" t="s">
        <v>280</v>
      </c>
      <c r="I1418" s="141" t="s">
        <v>1473</v>
      </c>
      <c r="J1418" s="141" t="s">
        <v>1423</v>
      </c>
      <c r="K1418" s="141" t="s">
        <v>1418</v>
      </c>
      <c r="L1418" s="261" t="s">
        <v>1411</v>
      </c>
      <c r="M1418" s="291"/>
      <c r="N1418" s="291"/>
      <c r="O1418" s="291"/>
      <c r="P1418" s="291"/>
      <c r="Q1418" s="291"/>
      <c r="R1418" s="291"/>
      <c r="S1418" s="291"/>
    </row>
    <row r="1419" spans="1:19" ht="25">
      <c r="A1419" s="41"/>
      <c r="B1419" s="309"/>
      <c r="C1419" s="41"/>
      <c r="D1419" s="41"/>
      <c r="E1419" s="307" t="s">
        <v>1474</v>
      </c>
      <c r="F1419" s="141" t="s">
        <v>1416</v>
      </c>
      <c r="G1419" s="141" t="s">
        <v>1170</v>
      </c>
      <c r="H1419" s="41" t="s">
        <v>1292</v>
      </c>
      <c r="I1419" s="141" t="str">
        <f>UPPER(SUBSTITUTE(G1419,"_"," "))</f>
        <v>CPA SOURCE</v>
      </c>
      <c r="J1419" s="306"/>
      <c r="K1419" s="141" t="s">
        <v>1418</v>
      </c>
      <c r="L1419" s="261" t="s">
        <v>1411</v>
      </c>
      <c r="M1419" s="253"/>
      <c r="N1419" s="253"/>
      <c r="O1419" s="253"/>
      <c r="P1419" s="253"/>
      <c r="Q1419" s="253"/>
      <c r="R1419" s="253"/>
      <c r="S1419" s="253"/>
    </row>
    <row r="1420" spans="1:19" ht="25">
      <c r="A1420" s="41"/>
      <c r="B1420" s="309"/>
      <c r="C1420" s="41"/>
      <c r="D1420" s="41"/>
      <c r="E1420" s="308" t="s">
        <v>1475</v>
      </c>
      <c r="F1420" s="141" t="s">
        <v>1416</v>
      </c>
      <c r="G1420" s="141" t="s">
        <v>1476</v>
      </c>
      <c r="H1420" s="41" t="s">
        <v>1292</v>
      </c>
      <c r="I1420" s="141" t="str">
        <f>UPPER(SUBSTITUTE(G1420,"_"," "))</f>
        <v>CPA SUB SOURCE</v>
      </c>
      <c r="J1420" s="306"/>
      <c r="K1420" s="141" t="s">
        <v>1418</v>
      </c>
      <c r="L1420" s="261" t="s">
        <v>1411</v>
      </c>
      <c r="M1420" s="253"/>
      <c r="N1420" s="253"/>
      <c r="O1420" s="253"/>
      <c r="P1420" s="253"/>
      <c r="Q1420" s="253"/>
      <c r="R1420" s="253"/>
      <c r="S1420" s="253"/>
    </row>
    <row r="1421" spans="1:19" s="253" customFormat="1"/>
    <row r="1422" spans="1:19" s="253" customFormat="1"/>
    <row r="1423" spans="1:19" s="253" customFormat="1"/>
    <row r="1424" spans="1:19" s="253" customFormat="1"/>
    <row r="1426" spans="1:19" ht="14.5">
      <c r="K1426"/>
      <c r="L1426"/>
      <c r="M1426"/>
      <c r="N1426"/>
      <c r="O1426"/>
      <c r="P1426"/>
      <c r="Q1426"/>
      <c r="R1426"/>
      <c r="S1426"/>
    </row>
    <row r="1427" spans="1:19" ht="14.5">
      <c r="A1427" s="525" t="s">
        <v>1477</v>
      </c>
      <c r="B1427" s="526"/>
      <c r="C1427" s="526"/>
      <c r="D1427" s="526"/>
      <c r="E1427" s="526"/>
      <c r="F1427" s="526"/>
      <c r="G1427" s="526"/>
      <c r="H1427" s="526"/>
      <c r="I1427" s="526"/>
      <c r="J1427" s="526"/>
      <c r="K1427" s="526"/>
      <c r="L1427" s="526"/>
      <c r="M1427"/>
      <c r="N1427"/>
      <c r="O1427"/>
      <c r="P1427"/>
      <c r="Q1427"/>
      <c r="R1427"/>
      <c r="S1427"/>
    </row>
    <row r="1428" spans="1:19" ht="14.5">
      <c r="A1428" s="295"/>
      <c r="B1428" s="296"/>
      <c r="C1428" s="296"/>
      <c r="D1428" s="296"/>
      <c r="E1428" s="296"/>
      <c r="F1428" s="296"/>
      <c r="G1428" s="296"/>
      <c r="H1428" s="296"/>
      <c r="I1428" s="296"/>
      <c r="J1428" s="296"/>
      <c r="K1428" s="296"/>
      <c r="L1428"/>
      <c r="M1428"/>
      <c r="N1428"/>
      <c r="O1428"/>
      <c r="P1428"/>
      <c r="Q1428"/>
      <c r="R1428"/>
      <c r="S1428"/>
    </row>
    <row r="1429" spans="1:19" ht="14.5">
      <c r="A1429" s="153" t="s">
        <v>73</v>
      </c>
      <c r="B1429" s="186" t="s">
        <v>74</v>
      </c>
      <c r="C1429" s="186" t="s">
        <v>75</v>
      </c>
      <c r="D1429" s="186" t="s">
        <v>76</v>
      </c>
      <c r="E1429" s="153" t="s">
        <v>77</v>
      </c>
      <c r="F1429" s="153" t="s">
        <v>78</v>
      </c>
      <c r="G1429" s="153" t="s">
        <v>79</v>
      </c>
      <c r="H1429" s="153" t="s">
        <v>80</v>
      </c>
      <c r="I1429" s="186" t="s">
        <v>683</v>
      </c>
      <c r="J1429" s="186" t="s">
        <v>260</v>
      </c>
      <c r="K1429" s="162" t="s">
        <v>261</v>
      </c>
      <c r="L1429" s="162" t="s">
        <v>1407</v>
      </c>
      <c r="M1429"/>
      <c r="N1429"/>
      <c r="O1429"/>
      <c r="P1429"/>
      <c r="Q1429"/>
      <c r="R1429"/>
      <c r="S1429"/>
    </row>
    <row r="1430" spans="1:19" ht="26">
      <c r="A1430" s="118" t="s">
        <v>1417</v>
      </c>
      <c r="B1430" s="118" t="s">
        <v>87</v>
      </c>
      <c r="C1430" s="118" t="s">
        <v>262</v>
      </c>
      <c r="D1430" s="118" t="s">
        <v>686</v>
      </c>
      <c r="E1430" s="187" t="s">
        <v>909</v>
      </c>
      <c r="F1430" s="118" t="s">
        <v>1477</v>
      </c>
      <c r="G1430" s="141" t="s">
        <v>911</v>
      </c>
      <c r="H1430" s="118" t="s">
        <v>262</v>
      </c>
      <c r="I1430" s="118" t="s">
        <v>1478</v>
      </c>
      <c r="J1430" s="118"/>
      <c r="K1430" s="118" t="s">
        <v>1479</v>
      </c>
      <c r="L1430" s="261" t="s">
        <v>1411</v>
      </c>
      <c r="M1430"/>
      <c r="N1430"/>
      <c r="O1430"/>
      <c r="P1430"/>
      <c r="Q1430"/>
      <c r="R1430"/>
      <c r="S1430"/>
    </row>
    <row r="1431" spans="1:19" ht="26">
      <c r="A1431" s="118" t="s">
        <v>1417</v>
      </c>
      <c r="B1431" s="118" t="s">
        <v>92</v>
      </c>
      <c r="C1431" s="118" t="s">
        <v>267</v>
      </c>
      <c r="D1431" s="118" t="s">
        <v>686</v>
      </c>
      <c r="E1431" s="105"/>
      <c r="F1431" s="118" t="s">
        <v>1477</v>
      </c>
      <c r="G1431" s="118" t="s">
        <v>92</v>
      </c>
      <c r="H1431" s="118" t="s">
        <v>267</v>
      </c>
      <c r="I1431" s="118" t="s">
        <v>1480</v>
      </c>
      <c r="J1431" s="118"/>
      <c r="K1431" s="118" t="s">
        <v>1479</v>
      </c>
      <c r="L1431" s="261" t="s">
        <v>1411</v>
      </c>
      <c r="M1431"/>
      <c r="N1431"/>
      <c r="O1431"/>
      <c r="P1431"/>
      <c r="Q1431"/>
      <c r="R1431"/>
      <c r="S1431"/>
    </row>
    <row r="1432" spans="1:19" ht="25">
      <c r="A1432" s="118" t="s">
        <v>1417</v>
      </c>
      <c r="B1432" s="118" t="s">
        <v>95</v>
      </c>
      <c r="C1432" s="118" t="s">
        <v>267</v>
      </c>
      <c r="D1432" s="118" t="s">
        <v>686</v>
      </c>
      <c r="E1432" s="105"/>
      <c r="F1432" s="118" t="s">
        <v>1477</v>
      </c>
      <c r="G1432" s="118" t="s">
        <v>95</v>
      </c>
      <c r="H1432" s="118" t="s">
        <v>267</v>
      </c>
      <c r="I1432" s="118" t="s">
        <v>1481</v>
      </c>
      <c r="J1432" s="118"/>
      <c r="K1432" s="118" t="s">
        <v>1479</v>
      </c>
      <c r="L1432" s="261" t="s">
        <v>1411</v>
      </c>
    </row>
    <row r="1433" spans="1:19" ht="25">
      <c r="A1433" s="118" t="s">
        <v>1417</v>
      </c>
      <c r="B1433" s="118" t="s">
        <v>99</v>
      </c>
      <c r="C1433" s="118" t="s">
        <v>267</v>
      </c>
      <c r="D1433" s="118" t="s">
        <v>686</v>
      </c>
      <c r="E1433" s="105"/>
      <c r="F1433" s="118" t="s">
        <v>1477</v>
      </c>
      <c r="G1433" s="118" t="s">
        <v>99</v>
      </c>
      <c r="H1433" s="118" t="s">
        <v>267</v>
      </c>
      <c r="I1433" s="118" t="s">
        <v>1481</v>
      </c>
      <c r="J1433" s="118"/>
      <c r="K1433" s="118" t="s">
        <v>1479</v>
      </c>
      <c r="L1433" s="261" t="s">
        <v>1411</v>
      </c>
    </row>
    <row r="1434" spans="1:19" customFormat="1" ht="42.65" customHeight="1">
      <c r="A1434" s="172" t="s">
        <v>1417</v>
      </c>
      <c r="B1434" t="s">
        <v>1419</v>
      </c>
      <c r="C1434" s="172"/>
      <c r="D1434" s="141" t="s">
        <v>93</v>
      </c>
      <c r="E1434" s="172"/>
      <c r="F1434" s="141" t="s">
        <v>1416</v>
      </c>
      <c r="G1434" t="s">
        <v>1419</v>
      </c>
      <c r="H1434" s="141" t="s">
        <v>1292</v>
      </c>
      <c r="I1434" s="142"/>
      <c r="J1434" s="172"/>
      <c r="K1434" s="118" t="s">
        <v>1479</v>
      </c>
      <c r="L1434" s="261" t="s">
        <v>1411</v>
      </c>
    </row>
    <row r="1435" spans="1:19" ht="87.5">
      <c r="A1435" s="118" t="s">
        <v>1482</v>
      </c>
      <c r="B1435" s="118"/>
      <c r="C1435" s="118" t="s">
        <v>351</v>
      </c>
      <c r="D1435" s="118" t="s">
        <v>263</v>
      </c>
      <c r="E1435" s="105" t="s">
        <v>1483</v>
      </c>
      <c r="F1435" s="118" t="s">
        <v>1477</v>
      </c>
      <c r="G1435" s="118" t="s">
        <v>1484</v>
      </c>
      <c r="H1435" s="118" t="s">
        <v>1327</v>
      </c>
      <c r="I1435" s="118" t="s">
        <v>1485</v>
      </c>
      <c r="J1435" s="118"/>
      <c r="K1435" s="118" t="s">
        <v>1479</v>
      </c>
      <c r="L1435" s="261" t="s">
        <v>1411</v>
      </c>
    </row>
    <row r="1436" spans="1:19" ht="87.5">
      <c r="A1436" s="120" t="s">
        <v>1482</v>
      </c>
      <c r="B1436" s="118"/>
      <c r="C1436" s="118" t="s">
        <v>351</v>
      </c>
      <c r="D1436" s="356" t="s">
        <v>263</v>
      </c>
      <c r="E1436" s="178" t="s">
        <v>1486</v>
      </c>
      <c r="F1436" s="148" t="s">
        <v>1477</v>
      </c>
      <c r="G1436" s="187" t="s">
        <v>1487</v>
      </c>
      <c r="H1436" s="118" t="s">
        <v>1327</v>
      </c>
      <c r="I1436" s="118" t="s">
        <v>1488</v>
      </c>
      <c r="J1436" s="118"/>
      <c r="K1436" s="118" t="s">
        <v>1479</v>
      </c>
      <c r="L1436" s="261" t="s">
        <v>1411</v>
      </c>
    </row>
    <row r="1437" spans="1:19" ht="87.5">
      <c r="A1437" s="120" t="s">
        <v>1482</v>
      </c>
      <c r="B1437" s="375"/>
      <c r="C1437" s="375"/>
      <c r="D1437" s="356" t="s">
        <v>263</v>
      </c>
      <c r="E1437" s="178" t="s">
        <v>1489</v>
      </c>
      <c r="F1437" s="148" t="s">
        <v>1477</v>
      </c>
      <c r="G1437" s="187" t="s">
        <v>1490</v>
      </c>
      <c r="H1437" s="118" t="s">
        <v>1327</v>
      </c>
      <c r="I1437" s="118" t="s">
        <v>1491</v>
      </c>
      <c r="J1437" s="375"/>
      <c r="K1437" s="118" t="s">
        <v>1479</v>
      </c>
      <c r="L1437" s="261" t="s">
        <v>1411</v>
      </c>
    </row>
    <row r="1438" spans="1:19" ht="87.5">
      <c r="A1438" s="120" t="s">
        <v>1482</v>
      </c>
      <c r="B1438" s="375"/>
      <c r="C1438" s="375"/>
      <c r="D1438" s="356" t="s">
        <v>263</v>
      </c>
      <c r="E1438" s="178" t="s">
        <v>1492</v>
      </c>
      <c r="F1438" s="148" t="s">
        <v>1477</v>
      </c>
      <c r="G1438" s="187" t="s">
        <v>1493</v>
      </c>
      <c r="H1438" s="118" t="s">
        <v>1327</v>
      </c>
      <c r="I1438" s="118" t="s">
        <v>1494</v>
      </c>
      <c r="J1438" s="375"/>
      <c r="K1438" s="118" t="s">
        <v>1479</v>
      </c>
      <c r="L1438" s="261" t="s">
        <v>1411</v>
      </c>
    </row>
    <row r="1439" spans="1:19" ht="117">
      <c r="A1439" s="120" t="s">
        <v>1482</v>
      </c>
      <c r="B1439" s="375"/>
      <c r="C1439" s="375"/>
      <c r="D1439" s="356" t="s">
        <v>263</v>
      </c>
      <c r="E1439" s="178" t="s">
        <v>1495</v>
      </c>
      <c r="F1439" s="148" t="s">
        <v>1477</v>
      </c>
      <c r="G1439" s="187" t="s">
        <v>1496</v>
      </c>
      <c r="H1439" s="118" t="s">
        <v>1327</v>
      </c>
      <c r="I1439" s="118" t="s">
        <v>1497</v>
      </c>
      <c r="J1439" s="375"/>
      <c r="K1439" s="118" t="s">
        <v>1479</v>
      </c>
      <c r="L1439" s="261" t="s">
        <v>1411</v>
      </c>
    </row>
    <row r="1440" spans="1:19" ht="87.5">
      <c r="A1440" s="120" t="s">
        <v>1482</v>
      </c>
      <c r="B1440" s="375"/>
      <c r="C1440" s="375"/>
      <c r="D1440" s="356" t="s">
        <v>263</v>
      </c>
      <c r="E1440" s="178" t="s">
        <v>1498</v>
      </c>
      <c r="F1440" s="148" t="s">
        <v>1477</v>
      </c>
      <c r="G1440" s="187" t="s">
        <v>1499</v>
      </c>
      <c r="H1440" s="118" t="s">
        <v>1327</v>
      </c>
      <c r="I1440" s="118" t="s">
        <v>1500</v>
      </c>
      <c r="J1440" s="375"/>
      <c r="K1440" s="118" t="s">
        <v>1479</v>
      </c>
      <c r="L1440" s="261" t="s">
        <v>1411</v>
      </c>
    </row>
    <row r="1441" spans="1:12" ht="127">
      <c r="A1441" s="120" t="s">
        <v>1417</v>
      </c>
      <c r="B1441" s="356"/>
      <c r="C1441" s="356"/>
      <c r="D1441" s="356" t="s">
        <v>263</v>
      </c>
      <c r="E1441" s="178" t="s">
        <v>1501</v>
      </c>
      <c r="F1441" s="356" t="s">
        <v>1477</v>
      </c>
      <c r="G1441" s="141" t="s">
        <v>1502</v>
      </c>
      <c r="H1441" s="118" t="s">
        <v>1327</v>
      </c>
      <c r="I1441" s="118" t="s">
        <v>1503</v>
      </c>
      <c r="J1441" s="120"/>
      <c r="K1441" s="118" t="s">
        <v>1479</v>
      </c>
      <c r="L1441" s="261" t="s">
        <v>1411</v>
      </c>
    </row>
    <row r="1442" spans="1:12" ht="76.5">
      <c r="A1442" s="120" t="s">
        <v>1417</v>
      </c>
      <c r="B1442" s="356"/>
      <c r="C1442" s="356"/>
      <c r="D1442" s="356" t="s">
        <v>263</v>
      </c>
      <c r="E1442" s="178" t="s">
        <v>1504</v>
      </c>
      <c r="F1442" s="356" t="s">
        <v>1477</v>
      </c>
      <c r="G1442" s="141" t="s">
        <v>1505</v>
      </c>
      <c r="H1442" s="118" t="s">
        <v>1327</v>
      </c>
      <c r="I1442" s="118" t="s">
        <v>1506</v>
      </c>
      <c r="J1442" s="120"/>
      <c r="K1442" s="118" t="s">
        <v>1479</v>
      </c>
      <c r="L1442" s="261" t="s">
        <v>1411</v>
      </c>
    </row>
    <row r="1443" spans="1:12" ht="91">
      <c r="A1443" s="120" t="s">
        <v>1482</v>
      </c>
      <c r="B1443" s="376"/>
      <c r="C1443" s="376"/>
      <c r="D1443" s="376"/>
      <c r="E1443" s="410" t="s">
        <v>1507</v>
      </c>
      <c r="F1443" s="148" t="s">
        <v>1477</v>
      </c>
      <c r="G1443" s="187" t="s">
        <v>1508</v>
      </c>
      <c r="H1443" s="118" t="s">
        <v>1327</v>
      </c>
      <c r="I1443" s="118" t="s">
        <v>1509</v>
      </c>
      <c r="J1443" s="375"/>
      <c r="K1443" s="118" t="s">
        <v>1479</v>
      </c>
      <c r="L1443" s="261" t="s">
        <v>1411</v>
      </c>
    </row>
    <row r="1444" spans="1:12" ht="87.5">
      <c r="A1444" s="120" t="s">
        <v>1482</v>
      </c>
      <c r="B1444" s="376"/>
      <c r="C1444" s="376"/>
      <c r="D1444" s="376"/>
      <c r="E1444" s="410" t="s">
        <v>1510</v>
      </c>
      <c r="F1444" s="148" t="s">
        <v>1477</v>
      </c>
      <c r="G1444" s="187" t="s">
        <v>1511</v>
      </c>
      <c r="H1444" s="118" t="s">
        <v>1327</v>
      </c>
      <c r="I1444" s="118" t="s">
        <v>1512</v>
      </c>
      <c r="J1444" s="375"/>
      <c r="K1444" s="118" t="s">
        <v>1479</v>
      </c>
      <c r="L1444" s="261" t="s">
        <v>1411</v>
      </c>
    </row>
    <row r="1445" spans="1:12" ht="91">
      <c r="A1445" s="120" t="s">
        <v>1482</v>
      </c>
      <c r="B1445" s="376"/>
      <c r="C1445" s="376"/>
      <c r="D1445" s="376"/>
      <c r="E1445" s="410" t="s">
        <v>1513</v>
      </c>
      <c r="F1445" s="148" t="s">
        <v>1477</v>
      </c>
      <c r="G1445" s="187" t="s">
        <v>1514</v>
      </c>
      <c r="H1445" s="118" t="s">
        <v>1327</v>
      </c>
      <c r="I1445" s="118" t="s">
        <v>1515</v>
      </c>
      <c r="J1445" s="375"/>
      <c r="K1445" s="118" t="s">
        <v>1479</v>
      </c>
      <c r="L1445" s="261" t="s">
        <v>1411</v>
      </c>
    </row>
    <row r="1446" spans="1:12" ht="87.5">
      <c r="A1446" s="120" t="s">
        <v>1482</v>
      </c>
      <c r="B1446" s="376"/>
      <c r="C1446" s="376"/>
      <c r="D1446" s="376"/>
      <c r="E1446" s="410" t="s">
        <v>1516</v>
      </c>
      <c r="F1446" s="148" t="s">
        <v>1477</v>
      </c>
      <c r="G1446" s="187" t="s">
        <v>1517</v>
      </c>
      <c r="H1446" s="118" t="s">
        <v>1327</v>
      </c>
      <c r="I1446" s="118" t="s">
        <v>1518</v>
      </c>
      <c r="J1446" s="375"/>
      <c r="K1446" s="118" t="s">
        <v>1479</v>
      </c>
      <c r="L1446" s="261" t="s">
        <v>1411</v>
      </c>
    </row>
    <row r="1447" spans="1:12" ht="260">
      <c r="A1447" s="120" t="s">
        <v>1417</v>
      </c>
      <c r="B1447" s="376"/>
      <c r="C1447" s="376"/>
      <c r="D1447" s="376" t="s">
        <v>263</v>
      </c>
      <c r="E1447" s="410" t="s">
        <v>1519</v>
      </c>
      <c r="F1447" s="148" t="s">
        <v>1477</v>
      </c>
      <c r="G1447" s="187" t="s">
        <v>1520</v>
      </c>
      <c r="H1447" s="118" t="s">
        <v>1327</v>
      </c>
      <c r="I1447" s="118" t="s">
        <v>1521</v>
      </c>
      <c r="J1447" s="375"/>
      <c r="K1447" s="118" t="s">
        <v>1479</v>
      </c>
      <c r="L1447" s="261" t="s">
        <v>1411</v>
      </c>
    </row>
    <row r="1448" spans="1:12" ht="208">
      <c r="A1448" s="120" t="s">
        <v>1417</v>
      </c>
      <c r="B1448" s="376"/>
      <c r="C1448" s="376"/>
      <c r="D1448" s="376" t="s">
        <v>263</v>
      </c>
      <c r="E1448" s="410" t="s">
        <v>1522</v>
      </c>
      <c r="F1448" s="148" t="s">
        <v>1477</v>
      </c>
      <c r="G1448" s="187" t="s">
        <v>1523</v>
      </c>
      <c r="H1448" s="118" t="s">
        <v>1327</v>
      </c>
      <c r="I1448" s="141" t="s">
        <v>1524</v>
      </c>
      <c r="J1448" s="375"/>
      <c r="K1448" s="118" t="s">
        <v>1479</v>
      </c>
      <c r="L1448" s="261" t="s">
        <v>1411</v>
      </c>
    </row>
    <row r="1449" spans="1:12" ht="78">
      <c r="A1449" s="288" t="s">
        <v>1417</v>
      </c>
      <c r="B1449" s="376"/>
      <c r="C1449" s="376"/>
      <c r="D1449" s="376"/>
      <c r="E1449" s="411" t="s">
        <v>1525</v>
      </c>
      <c r="F1449" s="412" t="s">
        <v>1477</v>
      </c>
      <c r="G1449" s="282" t="s">
        <v>1526</v>
      </c>
      <c r="H1449" s="118" t="s">
        <v>1327</v>
      </c>
      <c r="I1449" s="282" t="s">
        <v>1527</v>
      </c>
      <c r="J1449" s="413"/>
      <c r="K1449" s="118" t="s">
        <v>1479</v>
      </c>
      <c r="L1449" s="261" t="s">
        <v>1411</v>
      </c>
    </row>
    <row r="1450" spans="1:12" ht="39">
      <c r="A1450" s="288" t="s">
        <v>1417</v>
      </c>
      <c r="B1450" s="376"/>
      <c r="C1450" s="376"/>
      <c r="D1450" s="376"/>
      <c r="E1450" s="411" t="s">
        <v>1528</v>
      </c>
      <c r="F1450" s="412" t="s">
        <v>1477</v>
      </c>
      <c r="G1450" s="282" t="s">
        <v>1529</v>
      </c>
      <c r="H1450" s="118" t="s">
        <v>1327</v>
      </c>
      <c r="I1450" s="282" t="s">
        <v>1530</v>
      </c>
      <c r="J1450" s="413"/>
      <c r="K1450" s="118" t="s">
        <v>1479</v>
      </c>
      <c r="L1450" s="261" t="s">
        <v>1411</v>
      </c>
    </row>
    <row r="1451" spans="1:12" ht="87.5">
      <c r="A1451" s="120" t="s">
        <v>1482</v>
      </c>
      <c r="B1451" s="376"/>
      <c r="C1451" s="376"/>
      <c r="D1451" s="412" t="s">
        <v>263</v>
      </c>
      <c r="E1451" s="414" t="s">
        <v>1531</v>
      </c>
      <c r="F1451" s="148" t="s">
        <v>1477</v>
      </c>
      <c r="G1451" s="187" t="s">
        <v>1532</v>
      </c>
      <c r="H1451" s="118" t="s">
        <v>1327</v>
      </c>
      <c r="I1451" s="375" t="s">
        <v>1533</v>
      </c>
      <c r="J1451" s="375"/>
      <c r="K1451" s="118" t="s">
        <v>1479</v>
      </c>
      <c r="L1451" s="261" t="s">
        <v>1411</v>
      </c>
    </row>
    <row r="1452" spans="1:12" ht="87.5">
      <c r="A1452" s="120" t="s">
        <v>1482</v>
      </c>
      <c r="B1452" s="376"/>
      <c r="C1452" s="376"/>
      <c r="D1452" s="412" t="s">
        <v>263</v>
      </c>
      <c r="E1452" s="414" t="s">
        <v>1534</v>
      </c>
      <c r="F1452" s="148" t="s">
        <v>1477</v>
      </c>
      <c r="G1452" s="187" t="s">
        <v>1535</v>
      </c>
      <c r="H1452" s="118" t="s">
        <v>1327</v>
      </c>
      <c r="I1452" s="375" t="s">
        <v>1536</v>
      </c>
      <c r="J1452" s="375"/>
      <c r="K1452" s="118" t="s">
        <v>1479</v>
      </c>
      <c r="L1452" s="261" t="s">
        <v>1411</v>
      </c>
    </row>
    <row r="1453" spans="1:12" ht="87.5">
      <c r="A1453" s="120" t="s">
        <v>1482</v>
      </c>
      <c r="B1453" s="376"/>
      <c r="C1453" s="376"/>
      <c r="D1453" s="412" t="s">
        <v>263</v>
      </c>
      <c r="E1453" s="414" t="s">
        <v>1537</v>
      </c>
      <c r="F1453" s="148" t="s">
        <v>1477</v>
      </c>
      <c r="G1453" s="187" t="s">
        <v>1538</v>
      </c>
      <c r="H1453" s="118" t="s">
        <v>1327</v>
      </c>
      <c r="I1453" s="375" t="s">
        <v>1539</v>
      </c>
      <c r="J1453" s="375"/>
      <c r="K1453" s="118" t="s">
        <v>1479</v>
      </c>
      <c r="L1453" s="261" t="s">
        <v>1411</v>
      </c>
    </row>
    <row r="1454" spans="1:12" ht="87.5">
      <c r="A1454" s="120" t="s">
        <v>1482</v>
      </c>
      <c r="B1454" s="376"/>
      <c r="C1454" s="376"/>
      <c r="D1454" s="412" t="s">
        <v>263</v>
      </c>
      <c r="E1454" s="414" t="s">
        <v>1540</v>
      </c>
      <c r="F1454" s="148" t="s">
        <v>1477</v>
      </c>
      <c r="G1454" s="187" t="s">
        <v>1541</v>
      </c>
      <c r="H1454" s="118" t="s">
        <v>1327</v>
      </c>
      <c r="I1454" s="375" t="s">
        <v>1542</v>
      </c>
      <c r="J1454" s="375"/>
      <c r="K1454" s="118" t="s">
        <v>1479</v>
      </c>
      <c r="L1454" s="261" t="s">
        <v>1411</v>
      </c>
    </row>
    <row r="1455" spans="1:12" ht="91">
      <c r="A1455" s="120" t="s">
        <v>1482</v>
      </c>
      <c r="B1455" s="376"/>
      <c r="C1455" s="376"/>
      <c r="D1455" s="412" t="s">
        <v>263</v>
      </c>
      <c r="E1455" s="414" t="s">
        <v>1543</v>
      </c>
      <c r="F1455" s="148" t="s">
        <v>1477</v>
      </c>
      <c r="G1455" s="187" t="s">
        <v>1544</v>
      </c>
      <c r="H1455" s="118" t="s">
        <v>1327</v>
      </c>
      <c r="I1455" s="375" t="s">
        <v>1545</v>
      </c>
      <c r="J1455" s="375"/>
      <c r="K1455" s="118" t="s">
        <v>1479</v>
      </c>
      <c r="L1455" s="261" t="s">
        <v>1411</v>
      </c>
    </row>
    <row r="1456" spans="1:12" ht="87.5">
      <c r="A1456" s="120" t="s">
        <v>1482</v>
      </c>
      <c r="B1456" s="376"/>
      <c r="C1456" s="376"/>
      <c r="D1456" s="412" t="s">
        <v>263</v>
      </c>
      <c r="E1456" s="414" t="s">
        <v>1546</v>
      </c>
      <c r="F1456" s="148" t="s">
        <v>1477</v>
      </c>
      <c r="G1456" s="187" t="s">
        <v>1547</v>
      </c>
      <c r="H1456" s="118" t="s">
        <v>1327</v>
      </c>
      <c r="I1456" s="375" t="s">
        <v>1548</v>
      </c>
      <c r="J1456" s="375"/>
      <c r="K1456" s="118" t="s">
        <v>1479</v>
      </c>
      <c r="L1456" s="261" t="s">
        <v>1411</v>
      </c>
    </row>
    <row r="1457" spans="1:12" ht="91">
      <c r="A1457" s="120" t="s">
        <v>1482</v>
      </c>
      <c r="B1457" s="376"/>
      <c r="C1457" s="376"/>
      <c r="D1457" s="412" t="s">
        <v>263</v>
      </c>
      <c r="E1457" s="414" t="s">
        <v>1549</v>
      </c>
      <c r="F1457" s="148" t="s">
        <v>1477</v>
      </c>
      <c r="G1457" s="187" t="s">
        <v>1550</v>
      </c>
      <c r="H1457" s="118" t="s">
        <v>1327</v>
      </c>
      <c r="I1457" s="375" t="s">
        <v>1551</v>
      </c>
      <c r="J1457" s="375"/>
      <c r="K1457" s="118" t="s">
        <v>1479</v>
      </c>
      <c r="L1457" s="261" t="s">
        <v>1411</v>
      </c>
    </row>
    <row r="1458" spans="1:12" ht="87.5">
      <c r="A1458" s="120" t="s">
        <v>1482</v>
      </c>
      <c r="B1458" s="376"/>
      <c r="C1458" s="376"/>
      <c r="D1458" s="412" t="s">
        <v>263</v>
      </c>
      <c r="E1458" s="414" t="s">
        <v>1552</v>
      </c>
      <c r="F1458" s="148" t="s">
        <v>1477</v>
      </c>
      <c r="G1458" s="187" t="s">
        <v>1553</v>
      </c>
      <c r="H1458" s="118" t="s">
        <v>1327</v>
      </c>
      <c r="I1458" s="375" t="s">
        <v>1554</v>
      </c>
      <c r="J1458" s="375"/>
      <c r="K1458" s="118" t="s">
        <v>1479</v>
      </c>
      <c r="L1458" s="261" t="s">
        <v>1411</v>
      </c>
    </row>
    <row r="1459" spans="1:12" ht="91">
      <c r="A1459" s="120" t="s">
        <v>1482</v>
      </c>
      <c r="B1459" s="376"/>
      <c r="C1459" s="376"/>
      <c r="D1459" s="412" t="s">
        <v>263</v>
      </c>
      <c r="E1459" s="414" t="s">
        <v>1555</v>
      </c>
      <c r="F1459" s="148" t="s">
        <v>1477</v>
      </c>
      <c r="G1459" s="187" t="s">
        <v>1556</v>
      </c>
      <c r="H1459" s="118" t="s">
        <v>1327</v>
      </c>
      <c r="I1459" s="375" t="s">
        <v>1557</v>
      </c>
      <c r="J1459" s="375"/>
      <c r="K1459" s="118" t="s">
        <v>1479</v>
      </c>
      <c r="L1459" s="261" t="s">
        <v>1411</v>
      </c>
    </row>
    <row r="1460" spans="1:12" ht="87.5">
      <c r="A1460" s="120" t="s">
        <v>1482</v>
      </c>
      <c r="B1460" s="376"/>
      <c r="C1460" s="376"/>
      <c r="D1460" s="412" t="s">
        <v>263</v>
      </c>
      <c r="E1460" s="414" t="s">
        <v>1558</v>
      </c>
      <c r="F1460" s="148" t="s">
        <v>1477</v>
      </c>
      <c r="G1460" s="187" t="s">
        <v>1559</v>
      </c>
      <c r="H1460" s="118" t="s">
        <v>1327</v>
      </c>
      <c r="I1460" s="375" t="s">
        <v>1560</v>
      </c>
      <c r="J1460" s="375"/>
      <c r="K1460" s="118" t="s">
        <v>1479</v>
      </c>
      <c r="L1460" s="261" t="s">
        <v>1411</v>
      </c>
    </row>
    <row r="1461" spans="1:12" ht="87.5">
      <c r="A1461" s="120" t="s">
        <v>1482</v>
      </c>
      <c r="B1461" s="376"/>
      <c r="C1461" s="376"/>
      <c r="D1461" s="412" t="s">
        <v>263</v>
      </c>
      <c r="E1461" s="410" t="s">
        <v>1561</v>
      </c>
      <c r="F1461" s="412" t="s">
        <v>1477</v>
      </c>
      <c r="G1461" s="193" t="s">
        <v>1562</v>
      </c>
      <c r="H1461" s="118" t="s">
        <v>1327</v>
      </c>
      <c r="I1461" s="415" t="s">
        <v>1563</v>
      </c>
      <c r="J1461" s="375"/>
      <c r="K1461" s="118" t="s">
        <v>1479</v>
      </c>
      <c r="L1461" s="261" t="s">
        <v>1411</v>
      </c>
    </row>
    <row r="1462" spans="1:12" ht="87.5">
      <c r="A1462" s="120" t="s">
        <v>1482</v>
      </c>
      <c r="B1462" s="376"/>
      <c r="C1462" s="376"/>
      <c r="D1462" s="412" t="s">
        <v>263</v>
      </c>
      <c r="E1462" s="410" t="s">
        <v>1564</v>
      </c>
      <c r="F1462" s="412" t="s">
        <v>1477</v>
      </c>
      <c r="G1462" s="193" t="s">
        <v>1565</v>
      </c>
      <c r="H1462" s="118" t="s">
        <v>1327</v>
      </c>
      <c r="I1462" s="415" t="s">
        <v>1566</v>
      </c>
      <c r="J1462" s="375"/>
      <c r="K1462" s="118" t="s">
        <v>1479</v>
      </c>
      <c r="L1462" s="261" t="s">
        <v>1411</v>
      </c>
    </row>
    <row r="1463" spans="1:12" ht="87.5">
      <c r="A1463" s="120" t="s">
        <v>1482</v>
      </c>
      <c r="B1463" s="376"/>
      <c r="C1463" s="376"/>
      <c r="D1463" s="412" t="s">
        <v>263</v>
      </c>
      <c r="E1463" s="410" t="s">
        <v>1567</v>
      </c>
      <c r="F1463" s="412" t="s">
        <v>1477</v>
      </c>
      <c r="G1463" s="193" t="s">
        <v>1568</v>
      </c>
      <c r="H1463" s="118" t="s">
        <v>1327</v>
      </c>
      <c r="I1463" s="415" t="s">
        <v>1569</v>
      </c>
      <c r="J1463" s="375"/>
      <c r="K1463" s="118" t="s">
        <v>1479</v>
      </c>
      <c r="L1463" s="261" t="s">
        <v>1411</v>
      </c>
    </row>
    <row r="1464" spans="1:12" ht="87.5">
      <c r="A1464" s="120" t="s">
        <v>1482</v>
      </c>
      <c r="B1464" s="376"/>
      <c r="C1464" s="376"/>
      <c r="D1464" s="412" t="s">
        <v>263</v>
      </c>
      <c r="E1464" s="410" t="s">
        <v>1570</v>
      </c>
      <c r="F1464" s="412" t="s">
        <v>1477</v>
      </c>
      <c r="G1464" s="193" t="s">
        <v>1571</v>
      </c>
      <c r="H1464" s="118" t="s">
        <v>1327</v>
      </c>
      <c r="I1464" s="415" t="s">
        <v>1572</v>
      </c>
      <c r="J1464" s="375"/>
      <c r="K1464" s="118" t="s">
        <v>1479</v>
      </c>
      <c r="L1464" s="261" t="s">
        <v>1411</v>
      </c>
    </row>
    <row r="1465" spans="1:12" ht="75">
      <c r="A1465" s="120" t="s">
        <v>1417</v>
      </c>
      <c r="B1465" s="356"/>
      <c r="C1465" s="356"/>
      <c r="D1465" s="356" t="s">
        <v>263</v>
      </c>
      <c r="E1465" s="178" t="s">
        <v>1573</v>
      </c>
      <c r="F1465" s="356" t="s">
        <v>1477</v>
      </c>
      <c r="G1465" s="141" t="s">
        <v>1574</v>
      </c>
      <c r="H1465" s="118" t="s">
        <v>1327</v>
      </c>
      <c r="I1465" s="282" t="s">
        <v>1575</v>
      </c>
      <c r="J1465" s="375"/>
      <c r="K1465" s="118" t="s">
        <v>1479</v>
      </c>
      <c r="L1465" s="261" t="s">
        <v>1411</v>
      </c>
    </row>
    <row r="1466" spans="1:12" ht="37.5">
      <c r="A1466" s="120" t="s">
        <v>1417</v>
      </c>
      <c r="B1466" s="356"/>
      <c r="C1466" s="356"/>
      <c r="D1466" s="356" t="s">
        <v>263</v>
      </c>
      <c r="E1466" s="178" t="s">
        <v>1576</v>
      </c>
      <c r="F1466" s="356" t="s">
        <v>1477</v>
      </c>
      <c r="G1466" s="141" t="s">
        <v>1577</v>
      </c>
      <c r="H1466" s="118" t="s">
        <v>1327</v>
      </c>
      <c r="I1466" s="282" t="s">
        <v>1578</v>
      </c>
      <c r="J1466" s="375"/>
      <c r="K1466" s="118" t="s">
        <v>1479</v>
      </c>
      <c r="L1466" s="261" t="s">
        <v>1411</v>
      </c>
    </row>
    <row r="1467" spans="1:12" ht="87.5">
      <c r="A1467" s="120" t="s">
        <v>1417</v>
      </c>
      <c r="B1467" s="356"/>
      <c r="C1467" s="356"/>
      <c r="D1467" s="356" t="s">
        <v>263</v>
      </c>
      <c r="E1467" s="178" t="s">
        <v>1579</v>
      </c>
      <c r="F1467" s="356" t="s">
        <v>1477</v>
      </c>
      <c r="G1467" s="141" t="s">
        <v>1580</v>
      </c>
      <c r="H1467" s="118" t="s">
        <v>1327</v>
      </c>
      <c r="I1467" s="282" t="s">
        <v>1581</v>
      </c>
      <c r="J1467" s="375"/>
      <c r="K1467" s="118" t="s">
        <v>1479</v>
      </c>
      <c r="L1467" s="261" t="s">
        <v>1411</v>
      </c>
    </row>
    <row r="1468" spans="1:12" ht="25.5">
      <c r="A1468" s="120" t="s">
        <v>1417</v>
      </c>
      <c r="B1468" s="356"/>
      <c r="C1468" s="356"/>
      <c r="D1468" s="356" t="s">
        <v>263</v>
      </c>
      <c r="E1468" s="178" t="s">
        <v>1582</v>
      </c>
      <c r="F1468" s="356" t="s">
        <v>1477</v>
      </c>
      <c r="G1468" s="141" t="s">
        <v>1583</v>
      </c>
      <c r="H1468" s="118" t="s">
        <v>1327</v>
      </c>
      <c r="I1468" s="282" t="s">
        <v>1584</v>
      </c>
      <c r="J1468" s="375"/>
      <c r="K1468" s="118" t="s">
        <v>1479</v>
      </c>
      <c r="L1468" s="261" t="s">
        <v>1411</v>
      </c>
    </row>
    <row r="1469" spans="1:12" ht="78">
      <c r="A1469" s="120" t="s">
        <v>1585</v>
      </c>
      <c r="B1469" s="376"/>
      <c r="C1469" s="376"/>
      <c r="D1469" s="412" t="s">
        <v>263</v>
      </c>
      <c r="E1469" s="410" t="s">
        <v>1586</v>
      </c>
      <c r="F1469" s="412" t="s">
        <v>1477</v>
      </c>
      <c r="G1469" s="193" t="s">
        <v>1587</v>
      </c>
      <c r="H1469" s="118" t="s">
        <v>1327</v>
      </c>
      <c r="I1469" s="415" t="s">
        <v>1588</v>
      </c>
      <c r="J1469" s="375"/>
      <c r="K1469" s="118" t="s">
        <v>1479</v>
      </c>
      <c r="L1469" s="261" t="s">
        <v>1411</v>
      </c>
    </row>
    <row r="1470" spans="1:12" ht="39">
      <c r="A1470" s="120" t="s">
        <v>1585</v>
      </c>
      <c r="B1470" s="376"/>
      <c r="C1470" s="376"/>
      <c r="D1470" s="412" t="s">
        <v>263</v>
      </c>
      <c r="E1470" s="410" t="s">
        <v>1589</v>
      </c>
      <c r="F1470" s="412" t="s">
        <v>1477</v>
      </c>
      <c r="G1470" s="193" t="s">
        <v>1590</v>
      </c>
      <c r="H1470" s="118" t="s">
        <v>1327</v>
      </c>
      <c r="I1470" s="415" t="s">
        <v>1591</v>
      </c>
      <c r="J1470" s="375"/>
      <c r="K1470" s="118" t="s">
        <v>1479</v>
      </c>
      <c r="L1470" s="261" t="s">
        <v>1411</v>
      </c>
    </row>
    <row r="1471" spans="1:12" ht="117">
      <c r="A1471" s="120" t="s">
        <v>1585</v>
      </c>
      <c r="B1471" s="120"/>
      <c r="C1471" s="120"/>
      <c r="D1471" s="120" t="s">
        <v>263</v>
      </c>
      <c r="E1471" s="410" t="s">
        <v>1592</v>
      </c>
      <c r="F1471" s="120" t="s">
        <v>1477</v>
      </c>
      <c r="G1471" s="120" t="s">
        <v>1593</v>
      </c>
      <c r="H1471" s="118" t="s">
        <v>1327</v>
      </c>
      <c r="I1471" s="120" t="s">
        <v>1594</v>
      </c>
      <c r="J1471" s="105"/>
      <c r="K1471" s="118" t="s">
        <v>1479</v>
      </c>
      <c r="L1471" s="261" t="s">
        <v>1411</v>
      </c>
    </row>
    <row r="1472" spans="1:12" ht="234">
      <c r="A1472" s="120" t="s">
        <v>1585</v>
      </c>
      <c r="B1472" s="120"/>
      <c r="C1472" s="120"/>
      <c r="D1472" s="120"/>
      <c r="E1472" s="410" t="s">
        <v>1595</v>
      </c>
      <c r="F1472" s="120" t="s">
        <v>1477</v>
      </c>
      <c r="G1472" s="120" t="s">
        <v>1596</v>
      </c>
      <c r="H1472" s="118" t="s">
        <v>1327</v>
      </c>
      <c r="I1472" s="120"/>
      <c r="J1472" s="105"/>
      <c r="K1472" s="118" t="s">
        <v>1479</v>
      </c>
      <c r="L1472" s="261" t="s">
        <v>1411</v>
      </c>
    </row>
    <row r="1473" spans="1:12" ht="52">
      <c r="A1473" s="120" t="s">
        <v>1585</v>
      </c>
      <c r="B1473" s="376"/>
      <c r="C1473" s="376"/>
      <c r="D1473" s="412" t="s">
        <v>263</v>
      </c>
      <c r="E1473" s="416" t="s">
        <v>1597</v>
      </c>
      <c r="F1473" s="412" t="s">
        <v>1477</v>
      </c>
      <c r="G1473" s="193" t="s">
        <v>1598</v>
      </c>
      <c r="H1473" s="118" t="s">
        <v>1327</v>
      </c>
      <c r="I1473" s="415" t="s">
        <v>1599</v>
      </c>
      <c r="J1473" s="105"/>
      <c r="K1473" s="118" t="s">
        <v>1479</v>
      </c>
      <c r="L1473" s="261" t="s">
        <v>1411</v>
      </c>
    </row>
    <row r="1474" spans="1:12" ht="104">
      <c r="A1474" s="120" t="s">
        <v>1482</v>
      </c>
      <c r="B1474" s="376"/>
      <c r="C1474" s="376"/>
      <c r="D1474" s="412" t="s">
        <v>263</v>
      </c>
      <c r="E1474" s="411" t="s">
        <v>1600</v>
      </c>
      <c r="F1474" s="412" t="s">
        <v>1477</v>
      </c>
      <c r="G1474" s="193" t="s">
        <v>1601</v>
      </c>
      <c r="H1474" s="118" t="s">
        <v>1327</v>
      </c>
      <c r="I1474" s="415" t="s">
        <v>1602</v>
      </c>
      <c r="J1474" s="105"/>
      <c r="K1474" s="118" t="s">
        <v>1479</v>
      </c>
      <c r="L1474" s="261" t="s">
        <v>1411</v>
      </c>
    </row>
    <row r="1475" spans="1:12" ht="87.5">
      <c r="A1475" s="120" t="s">
        <v>1482</v>
      </c>
      <c r="B1475" s="376"/>
      <c r="C1475" s="376"/>
      <c r="D1475" s="412" t="s">
        <v>263</v>
      </c>
      <c r="E1475" s="411" t="s">
        <v>1603</v>
      </c>
      <c r="F1475" s="412" t="s">
        <v>1477</v>
      </c>
      <c r="G1475" s="193" t="s">
        <v>1604</v>
      </c>
      <c r="H1475" s="118" t="s">
        <v>1327</v>
      </c>
      <c r="I1475" s="303" t="s">
        <v>1605</v>
      </c>
      <c r="J1475" s="105"/>
      <c r="K1475" s="118" t="s">
        <v>1479</v>
      </c>
      <c r="L1475" s="261" t="s">
        <v>1411</v>
      </c>
    </row>
    <row r="1476" spans="1:12" ht="137.5">
      <c r="A1476" s="120" t="s">
        <v>1606</v>
      </c>
      <c r="B1476" s="413"/>
      <c r="C1476" s="412" t="s">
        <v>351</v>
      </c>
      <c r="D1476" s="412" t="s">
        <v>263</v>
      </c>
      <c r="E1476" s="414" t="s">
        <v>1607</v>
      </c>
      <c r="F1476" s="412" t="s">
        <v>1477</v>
      </c>
      <c r="G1476" s="193" t="s">
        <v>1608</v>
      </c>
      <c r="H1476" s="118" t="s">
        <v>1327</v>
      </c>
      <c r="I1476" s="303" t="s">
        <v>1609</v>
      </c>
      <c r="J1476" s="105"/>
      <c r="K1476" s="118" t="s">
        <v>1479</v>
      </c>
      <c r="L1476" s="261" t="s">
        <v>1411</v>
      </c>
    </row>
    <row r="1477" spans="1:12" ht="25.5">
      <c r="A1477" s="120" t="s">
        <v>1417</v>
      </c>
      <c r="B1477" s="413" t="s">
        <v>780</v>
      </c>
      <c r="C1477" s="376"/>
      <c r="D1477" s="412" t="s">
        <v>686</v>
      </c>
      <c r="E1477" s="414" t="s">
        <v>780</v>
      </c>
      <c r="F1477" s="412" t="s">
        <v>1477</v>
      </c>
      <c r="G1477" s="193" t="s">
        <v>1610</v>
      </c>
      <c r="H1477" s="118" t="s">
        <v>1327</v>
      </c>
      <c r="I1477" s="303" t="s">
        <v>1611</v>
      </c>
      <c r="J1477" s="105"/>
      <c r="K1477" s="118" t="s">
        <v>1479</v>
      </c>
      <c r="L1477" s="261" t="s">
        <v>1411</v>
      </c>
    </row>
    <row r="1478" spans="1:12" ht="26">
      <c r="A1478" s="120" t="s">
        <v>1417</v>
      </c>
      <c r="B1478" s="413" t="s">
        <v>1612</v>
      </c>
      <c r="C1478" s="376"/>
      <c r="D1478" s="412" t="s">
        <v>686</v>
      </c>
      <c r="E1478" s="414" t="s">
        <v>1612</v>
      </c>
      <c r="F1478" s="412" t="s">
        <v>1477</v>
      </c>
      <c r="G1478" s="193" t="s">
        <v>1613</v>
      </c>
      <c r="H1478" s="118" t="s">
        <v>1327</v>
      </c>
      <c r="I1478" s="303" t="s">
        <v>1614</v>
      </c>
      <c r="J1478" s="105"/>
      <c r="K1478" s="118" t="s">
        <v>1479</v>
      </c>
      <c r="L1478" s="261" t="s">
        <v>1411</v>
      </c>
    </row>
    <row r="1479" spans="1:12" ht="25.5">
      <c r="A1479" s="120" t="s">
        <v>1417</v>
      </c>
      <c r="B1479" s="413"/>
      <c r="C1479" s="376"/>
      <c r="D1479" s="412" t="s">
        <v>263</v>
      </c>
      <c r="E1479" s="414" t="s">
        <v>1615</v>
      </c>
      <c r="F1479" s="412" t="s">
        <v>1477</v>
      </c>
      <c r="G1479" s="193" t="s">
        <v>1616</v>
      </c>
      <c r="H1479" s="118" t="s">
        <v>1327</v>
      </c>
      <c r="I1479" s="303" t="s">
        <v>1617</v>
      </c>
      <c r="J1479" s="105"/>
      <c r="K1479" s="118" t="s">
        <v>1479</v>
      </c>
      <c r="L1479" s="261" t="s">
        <v>1411</v>
      </c>
    </row>
    <row r="1480" spans="1:12" ht="50">
      <c r="A1480" s="120" t="s">
        <v>1417</v>
      </c>
      <c r="B1480" s="142"/>
      <c r="C1480" s="142"/>
      <c r="D1480" s="412" t="s">
        <v>263</v>
      </c>
      <c r="E1480" s="119" t="s">
        <v>1618</v>
      </c>
      <c r="F1480" s="412" t="s">
        <v>1477</v>
      </c>
      <c r="G1480" s="303" t="s">
        <v>1619</v>
      </c>
      <c r="H1480" s="118" t="s">
        <v>1327</v>
      </c>
      <c r="I1480" s="303" t="s">
        <v>1620</v>
      </c>
      <c r="J1480" s="105"/>
      <c r="K1480" s="118" t="s">
        <v>1479</v>
      </c>
      <c r="L1480" s="261" t="s">
        <v>1411</v>
      </c>
    </row>
    <row r="1481" spans="1:12" ht="50">
      <c r="A1481" s="120" t="s">
        <v>1417</v>
      </c>
      <c r="B1481" s="142"/>
      <c r="C1481" s="142"/>
      <c r="D1481" s="412" t="s">
        <v>263</v>
      </c>
      <c r="E1481" s="119" t="s">
        <v>1621</v>
      </c>
      <c r="F1481" s="412" t="s">
        <v>1477</v>
      </c>
      <c r="G1481" s="303" t="s">
        <v>1622</v>
      </c>
      <c r="H1481" s="118" t="s">
        <v>1327</v>
      </c>
      <c r="I1481" s="303" t="s">
        <v>1623</v>
      </c>
      <c r="J1481" s="105"/>
      <c r="K1481" s="118" t="s">
        <v>1479</v>
      </c>
      <c r="L1481" s="261" t="s">
        <v>1411</v>
      </c>
    </row>
    <row r="1482" spans="1:12" ht="25">
      <c r="A1482" s="120" t="s">
        <v>1417</v>
      </c>
      <c r="B1482" s="413" t="s">
        <v>1624</v>
      </c>
      <c r="C1482" s="412" t="s">
        <v>351</v>
      </c>
      <c r="D1482" s="412" t="s">
        <v>686</v>
      </c>
      <c r="E1482" s="414" t="s">
        <v>1624</v>
      </c>
      <c r="F1482" s="412" t="s">
        <v>1477</v>
      </c>
      <c r="G1482" s="193" t="s">
        <v>1625</v>
      </c>
      <c r="H1482" s="118" t="s">
        <v>1327</v>
      </c>
      <c r="I1482" s="141" t="s">
        <v>1626</v>
      </c>
      <c r="J1482" s="105"/>
      <c r="K1482" s="118" t="s">
        <v>1479</v>
      </c>
      <c r="L1482" s="261" t="s">
        <v>1411</v>
      </c>
    </row>
    <row r="1483" spans="1:12" ht="200">
      <c r="A1483" s="120" t="s">
        <v>1440</v>
      </c>
      <c r="B1483" s="142"/>
      <c r="C1483" s="142"/>
      <c r="D1483" s="141" t="s">
        <v>263</v>
      </c>
      <c r="E1483" s="119" t="s">
        <v>1441</v>
      </c>
      <c r="F1483" s="141" t="s">
        <v>1477</v>
      </c>
      <c r="G1483" s="141" t="s">
        <v>1442</v>
      </c>
      <c r="H1483" s="118" t="s">
        <v>1327</v>
      </c>
      <c r="I1483" s="141" t="s">
        <v>1443</v>
      </c>
      <c r="J1483" s="105"/>
      <c r="K1483" s="118" t="s">
        <v>1479</v>
      </c>
      <c r="L1483" s="261" t="s">
        <v>1411</v>
      </c>
    </row>
    <row r="1484" spans="1:12" ht="25">
      <c r="A1484" s="105"/>
      <c r="B1484" s="105" t="s">
        <v>1627</v>
      </c>
      <c r="C1484" s="105"/>
      <c r="D1484" s="141" t="s">
        <v>263</v>
      </c>
      <c r="E1484" s="105" t="s">
        <v>1628</v>
      </c>
      <c r="F1484" s="141" t="s">
        <v>1477</v>
      </c>
      <c r="G1484" s="301" t="s">
        <v>1629</v>
      </c>
      <c r="H1484" s="118" t="s">
        <v>1327</v>
      </c>
      <c r="I1484" s="105"/>
      <c r="J1484" s="105"/>
      <c r="K1484" s="118" t="s">
        <v>1479</v>
      </c>
      <c r="L1484" s="261" t="s">
        <v>1411</v>
      </c>
    </row>
    <row r="1485" spans="1:12" ht="25">
      <c r="A1485" s="105"/>
      <c r="B1485" s="105" t="s">
        <v>1627</v>
      </c>
      <c r="C1485" s="105"/>
      <c r="D1485" s="141" t="s">
        <v>263</v>
      </c>
      <c r="E1485" s="105" t="s">
        <v>1630</v>
      </c>
      <c r="F1485" s="141" t="s">
        <v>1477</v>
      </c>
      <c r="G1485" s="301" t="s">
        <v>1631</v>
      </c>
      <c r="H1485" s="118" t="s">
        <v>1327</v>
      </c>
      <c r="I1485" s="105"/>
      <c r="J1485" s="105"/>
      <c r="K1485" s="118" t="s">
        <v>1479</v>
      </c>
      <c r="L1485" s="261" t="s">
        <v>1411</v>
      </c>
    </row>
    <row r="1486" spans="1:12" ht="26">
      <c r="A1486" s="105"/>
      <c r="B1486" s="105" t="s">
        <v>1632</v>
      </c>
      <c r="C1486" s="105"/>
      <c r="D1486" s="141" t="s">
        <v>263</v>
      </c>
      <c r="E1486" s="302" t="s">
        <v>1633</v>
      </c>
      <c r="F1486" s="141" t="s">
        <v>1477</v>
      </c>
      <c r="G1486" s="301" t="s">
        <v>1634</v>
      </c>
      <c r="H1486" s="118" t="s">
        <v>1327</v>
      </c>
      <c r="I1486" s="105"/>
      <c r="J1486" s="105"/>
      <c r="K1486" s="118" t="s">
        <v>1479</v>
      </c>
      <c r="L1486" s="261" t="s">
        <v>1411</v>
      </c>
    </row>
    <row r="1487" spans="1:12" ht="25">
      <c r="A1487" s="105"/>
      <c r="B1487" s="105"/>
      <c r="C1487" s="105"/>
      <c r="D1487" s="141" t="s">
        <v>263</v>
      </c>
      <c r="E1487" s="105" t="s">
        <v>1635</v>
      </c>
      <c r="F1487" s="141" t="s">
        <v>1477</v>
      </c>
      <c r="G1487" s="301" t="s">
        <v>1636</v>
      </c>
      <c r="H1487" s="118" t="s">
        <v>1327</v>
      </c>
      <c r="I1487" s="105"/>
      <c r="J1487" s="105"/>
      <c r="K1487" s="118" t="s">
        <v>1479</v>
      </c>
      <c r="L1487" s="261" t="s">
        <v>1411</v>
      </c>
    </row>
    <row r="1488" spans="1:12" ht="25">
      <c r="A1488" s="105"/>
      <c r="B1488" s="105"/>
      <c r="C1488" s="105"/>
      <c r="D1488" s="141" t="s">
        <v>263</v>
      </c>
      <c r="E1488" s="105" t="s">
        <v>1637</v>
      </c>
      <c r="F1488" s="141" t="s">
        <v>1477</v>
      </c>
      <c r="G1488" s="301" t="s">
        <v>1638</v>
      </c>
      <c r="H1488" s="118" t="s">
        <v>1327</v>
      </c>
      <c r="I1488" s="105"/>
      <c r="J1488" s="105"/>
      <c r="K1488" s="118" t="s">
        <v>1479</v>
      </c>
      <c r="L1488" s="261" t="s">
        <v>1411</v>
      </c>
    </row>
    <row r="1489" spans="1:12" ht="26">
      <c r="A1489" s="105"/>
      <c r="B1489" s="105"/>
      <c r="C1489" s="105"/>
      <c r="D1489" s="141" t="s">
        <v>263</v>
      </c>
      <c r="E1489" s="302" t="s">
        <v>1639</v>
      </c>
      <c r="F1489" s="141" t="s">
        <v>1477</v>
      </c>
      <c r="G1489" s="301" t="s">
        <v>1640</v>
      </c>
      <c r="H1489" s="118" t="s">
        <v>1327</v>
      </c>
      <c r="I1489" s="105"/>
      <c r="J1489" s="105"/>
      <c r="K1489" s="118" t="s">
        <v>1479</v>
      </c>
      <c r="L1489" s="261" t="s">
        <v>1411</v>
      </c>
    </row>
    <row r="1490" spans="1:12" ht="25">
      <c r="A1490" s="105"/>
      <c r="B1490" s="105"/>
      <c r="C1490" s="105"/>
      <c r="D1490" s="141" t="s">
        <v>263</v>
      </c>
      <c r="E1490" s="105" t="s">
        <v>1641</v>
      </c>
      <c r="F1490" s="141" t="s">
        <v>1477</v>
      </c>
      <c r="G1490" s="301" t="s">
        <v>1642</v>
      </c>
      <c r="H1490" s="118" t="s">
        <v>1327</v>
      </c>
      <c r="I1490" s="105"/>
      <c r="J1490" s="105"/>
      <c r="K1490" s="118" t="s">
        <v>1479</v>
      </c>
      <c r="L1490" s="261" t="s">
        <v>1411</v>
      </c>
    </row>
    <row r="1491" spans="1:12" ht="25">
      <c r="A1491" s="105"/>
      <c r="B1491" s="105"/>
      <c r="C1491" s="105"/>
      <c r="D1491" s="141" t="s">
        <v>263</v>
      </c>
      <c r="E1491" s="105" t="s">
        <v>1643</v>
      </c>
      <c r="F1491" s="141" t="s">
        <v>1477</v>
      </c>
      <c r="G1491" s="301" t="s">
        <v>1644</v>
      </c>
      <c r="H1491" s="118" t="s">
        <v>1327</v>
      </c>
      <c r="I1491" s="105"/>
      <c r="J1491" s="105"/>
      <c r="K1491" s="118" t="s">
        <v>1479</v>
      </c>
      <c r="L1491" s="261" t="s">
        <v>1411</v>
      </c>
    </row>
    <row r="1492" spans="1:12" ht="26">
      <c r="A1492" s="105"/>
      <c r="B1492" s="105"/>
      <c r="C1492" s="105"/>
      <c r="D1492" s="141" t="s">
        <v>263</v>
      </c>
      <c r="E1492" s="302" t="s">
        <v>1645</v>
      </c>
      <c r="F1492" s="141" t="s">
        <v>1477</v>
      </c>
      <c r="G1492" s="301" t="s">
        <v>1646</v>
      </c>
      <c r="H1492" s="118" t="s">
        <v>1327</v>
      </c>
      <c r="I1492" s="105"/>
      <c r="J1492" s="105"/>
      <c r="K1492" s="118" t="s">
        <v>1479</v>
      </c>
      <c r="L1492" s="261" t="s">
        <v>1411</v>
      </c>
    </row>
    <row r="1493" spans="1:12" ht="25">
      <c r="A1493" s="105"/>
      <c r="B1493" s="105"/>
      <c r="C1493" s="105"/>
      <c r="D1493" s="141" t="s">
        <v>263</v>
      </c>
      <c r="E1493" s="105" t="s">
        <v>1647</v>
      </c>
      <c r="F1493" s="141" t="s">
        <v>1477</v>
      </c>
      <c r="G1493" s="301" t="s">
        <v>1648</v>
      </c>
      <c r="H1493" s="118" t="s">
        <v>1327</v>
      </c>
      <c r="I1493" s="105"/>
      <c r="J1493" s="105"/>
      <c r="K1493" s="118" t="s">
        <v>1479</v>
      </c>
      <c r="L1493" s="261" t="s">
        <v>1411</v>
      </c>
    </row>
    <row r="1494" spans="1:12" ht="25">
      <c r="A1494" s="105"/>
      <c r="B1494" s="105"/>
      <c r="C1494" s="105"/>
      <c r="D1494" s="141" t="s">
        <v>263</v>
      </c>
      <c r="E1494" s="105" t="s">
        <v>1649</v>
      </c>
      <c r="F1494" s="141" t="s">
        <v>1477</v>
      </c>
      <c r="G1494" s="301" t="s">
        <v>1650</v>
      </c>
      <c r="H1494" s="118" t="s">
        <v>1327</v>
      </c>
      <c r="I1494" s="105"/>
      <c r="J1494" s="105"/>
      <c r="K1494" s="118" t="s">
        <v>1479</v>
      </c>
      <c r="L1494" s="261" t="s">
        <v>1411</v>
      </c>
    </row>
    <row r="1495" spans="1:12" ht="26">
      <c r="A1495" s="105"/>
      <c r="B1495" s="105"/>
      <c r="C1495" s="105"/>
      <c r="D1495" s="141" t="s">
        <v>263</v>
      </c>
      <c r="E1495" s="302" t="s">
        <v>1651</v>
      </c>
      <c r="F1495" s="141" t="s">
        <v>1477</v>
      </c>
      <c r="G1495" s="301" t="s">
        <v>1652</v>
      </c>
      <c r="H1495" s="118" t="s">
        <v>1327</v>
      </c>
      <c r="I1495" s="105"/>
      <c r="J1495" s="105"/>
      <c r="K1495" s="118" t="s">
        <v>1479</v>
      </c>
      <c r="L1495" s="261" t="s">
        <v>1411</v>
      </c>
    </row>
    <row r="1496" spans="1:12" ht="25">
      <c r="A1496" s="105"/>
      <c r="B1496" s="105" t="s">
        <v>1653</v>
      </c>
      <c r="C1496" s="105"/>
      <c r="D1496" s="141" t="s">
        <v>263</v>
      </c>
      <c r="E1496" s="105" t="s">
        <v>1654</v>
      </c>
      <c r="F1496" s="141" t="s">
        <v>1477</v>
      </c>
      <c r="G1496" s="301" t="s">
        <v>1655</v>
      </c>
      <c r="H1496" s="118" t="s">
        <v>1327</v>
      </c>
      <c r="I1496" s="105"/>
      <c r="J1496" s="105"/>
      <c r="K1496" s="118" t="s">
        <v>1479</v>
      </c>
      <c r="L1496" s="261" t="s">
        <v>1411</v>
      </c>
    </row>
    <row r="1497" spans="1:12" ht="25">
      <c r="A1497" s="105"/>
      <c r="B1497" s="105" t="s">
        <v>1653</v>
      </c>
      <c r="C1497" s="105"/>
      <c r="D1497" s="141" t="s">
        <v>263</v>
      </c>
      <c r="E1497" s="105" t="s">
        <v>1656</v>
      </c>
      <c r="F1497" s="141" t="s">
        <v>1477</v>
      </c>
      <c r="G1497" s="301" t="s">
        <v>1657</v>
      </c>
      <c r="H1497" s="118" t="s">
        <v>1327</v>
      </c>
      <c r="I1497" s="105"/>
      <c r="J1497" s="105"/>
      <c r="K1497" s="118" t="s">
        <v>1479</v>
      </c>
      <c r="L1497" s="261" t="s">
        <v>1411</v>
      </c>
    </row>
    <row r="1498" spans="1:12" ht="26">
      <c r="A1498" s="105"/>
      <c r="B1498" s="105"/>
      <c r="C1498" s="105"/>
      <c r="D1498" s="141" t="s">
        <v>263</v>
      </c>
      <c r="E1498" s="302" t="s">
        <v>1658</v>
      </c>
      <c r="F1498" s="141" t="s">
        <v>1477</v>
      </c>
      <c r="G1498" s="301" t="s">
        <v>1659</v>
      </c>
      <c r="H1498" s="118" t="s">
        <v>1327</v>
      </c>
      <c r="I1498" s="105"/>
      <c r="J1498" s="105"/>
      <c r="K1498" s="118" t="s">
        <v>1479</v>
      </c>
      <c r="L1498" s="261" t="s">
        <v>1411</v>
      </c>
    </row>
    <row r="1499" spans="1:12" ht="25">
      <c r="A1499" s="118" t="s">
        <v>1417</v>
      </c>
      <c r="B1499" s="105" t="s">
        <v>464</v>
      </c>
      <c r="C1499" s="105"/>
      <c r="D1499" s="141" t="s">
        <v>263</v>
      </c>
      <c r="E1499" s="178" t="s">
        <v>1660</v>
      </c>
      <c r="F1499" s="141" t="s">
        <v>1477</v>
      </c>
      <c r="G1499" s="301" t="s">
        <v>1661</v>
      </c>
      <c r="H1499" s="118" t="s">
        <v>1327</v>
      </c>
      <c r="I1499" s="105"/>
      <c r="J1499" s="105"/>
      <c r="K1499" s="118" t="s">
        <v>1479</v>
      </c>
      <c r="L1499" s="261" t="s">
        <v>1411</v>
      </c>
    </row>
    <row r="1500" spans="1:12" ht="25">
      <c r="A1500" s="118" t="s">
        <v>1417</v>
      </c>
      <c r="B1500" s="105" t="s">
        <v>464</v>
      </c>
      <c r="C1500" s="105"/>
      <c r="D1500" s="141" t="s">
        <v>263</v>
      </c>
      <c r="E1500" s="119" t="s">
        <v>1662</v>
      </c>
      <c r="F1500" s="141" t="s">
        <v>1477</v>
      </c>
      <c r="G1500" s="301" t="s">
        <v>1663</v>
      </c>
      <c r="H1500" s="118" t="s">
        <v>1327</v>
      </c>
      <c r="I1500" s="105"/>
      <c r="J1500" s="105"/>
      <c r="K1500" s="118" t="s">
        <v>1479</v>
      </c>
      <c r="L1500" s="261" t="s">
        <v>1411</v>
      </c>
    </row>
    <row r="1501" spans="1:12" ht="26">
      <c r="A1501" s="105"/>
      <c r="B1501" s="105"/>
      <c r="C1501" s="105"/>
      <c r="D1501" s="141" t="s">
        <v>263</v>
      </c>
      <c r="E1501" s="302" t="s">
        <v>1664</v>
      </c>
      <c r="F1501" s="141" t="s">
        <v>1477</v>
      </c>
      <c r="G1501" s="301" t="s">
        <v>1665</v>
      </c>
      <c r="H1501" s="118" t="s">
        <v>1327</v>
      </c>
      <c r="I1501" s="105"/>
      <c r="J1501" s="105"/>
      <c r="K1501" s="118" t="s">
        <v>1479</v>
      </c>
      <c r="L1501" s="261" t="s">
        <v>1411</v>
      </c>
    </row>
    <row r="1502" spans="1:12" ht="25">
      <c r="A1502" s="118" t="s">
        <v>1417</v>
      </c>
      <c r="B1502" s="105" t="s">
        <v>1666</v>
      </c>
      <c r="C1502" s="105"/>
      <c r="D1502" s="141" t="s">
        <v>263</v>
      </c>
      <c r="E1502" s="178" t="s">
        <v>1667</v>
      </c>
      <c r="F1502" s="141" t="s">
        <v>1477</v>
      </c>
      <c r="G1502" s="301" t="s">
        <v>1668</v>
      </c>
      <c r="H1502" s="118" t="s">
        <v>1327</v>
      </c>
      <c r="I1502" s="105"/>
      <c r="J1502" s="105"/>
      <c r="K1502" s="118" t="s">
        <v>1479</v>
      </c>
      <c r="L1502" s="261" t="s">
        <v>1411</v>
      </c>
    </row>
    <row r="1503" spans="1:12" ht="25">
      <c r="A1503" s="118" t="s">
        <v>1417</v>
      </c>
      <c r="B1503" s="105" t="s">
        <v>1666</v>
      </c>
      <c r="C1503" s="105"/>
      <c r="D1503" s="141" t="s">
        <v>263</v>
      </c>
      <c r="E1503" s="178" t="s">
        <v>1669</v>
      </c>
      <c r="F1503" s="141" t="s">
        <v>1477</v>
      </c>
      <c r="G1503" s="301" t="s">
        <v>1670</v>
      </c>
      <c r="H1503" s="118" t="s">
        <v>1327</v>
      </c>
      <c r="I1503" s="105"/>
      <c r="J1503" s="105"/>
      <c r="K1503" s="118" t="s">
        <v>1479</v>
      </c>
      <c r="L1503" s="261" t="s">
        <v>1411</v>
      </c>
    </row>
    <row r="1504" spans="1:12" ht="26">
      <c r="A1504" s="105"/>
      <c r="B1504" s="105"/>
      <c r="C1504" s="105"/>
      <c r="D1504" s="141" t="s">
        <v>263</v>
      </c>
      <c r="E1504" s="302" t="s">
        <v>1671</v>
      </c>
      <c r="F1504" s="141" t="s">
        <v>1477</v>
      </c>
      <c r="G1504" s="301" t="s">
        <v>1672</v>
      </c>
      <c r="H1504" s="118" t="s">
        <v>1327</v>
      </c>
      <c r="I1504" s="105"/>
      <c r="J1504" s="105"/>
      <c r="K1504" s="118" t="s">
        <v>1479</v>
      </c>
      <c r="L1504" s="261" t="s">
        <v>1411</v>
      </c>
    </row>
    <row r="1505" spans="1:12" ht="25">
      <c r="A1505" s="118" t="s">
        <v>1417</v>
      </c>
      <c r="B1505" s="105" t="s">
        <v>1673</v>
      </c>
      <c r="C1505" s="105"/>
      <c r="D1505" s="141" t="s">
        <v>263</v>
      </c>
      <c r="E1505" s="105" t="s">
        <v>1674</v>
      </c>
      <c r="F1505" s="141" t="s">
        <v>1477</v>
      </c>
      <c r="G1505" s="301" t="s">
        <v>1675</v>
      </c>
      <c r="H1505" s="118" t="s">
        <v>1327</v>
      </c>
      <c r="I1505" s="105"/>
      <c r="J1505" s="105"/>
      <c r="K1505" s="118" t="s">
        <v>1479</v>
      </c>
      <c r="L1505" s="261" t="s">
        <v>1411</v>
      </c>
    </row>
    <row r="1506" spans="1:12" ht="25">
      <c r="A1506" s="118" t="s">
        <v>1417</v>
      </c>
      <c r="B1506" s="105" t="s">
        <v>1673</v>
      </c>
      <c r="C1506" s="105"/>
      <c r="D1506" s="141" t="s">
        <v>263</v>
      </c>
      <c r="E1506" s="105" t="s">
        <v>1676</v>
      </c>
      <c r="F1506" s="141" t="s">
        <v>1477</v>
      </c>
      <c r="G1506" s="301" t="s">
        <v>1677</v>
      </c>
      <c r="H1506" s="118" t="s">
        <v>1327</v>
      </c>
      <c r="I1506" s="105"/>
      <c r="J1506" s="105"/>
      <c r="K1506" s="118" t="s">
        <v>1479</v>
      </c>
      <c r="L1506" s="261" t="s">
        <v>1411</v>
      </c>
    </row>
    <row r="1507" spans="1:12" ht="26">
      <c r="A1507" s="105"/>
      <c r="B1507" s="105"/>
      <c r="C1507" s="105"/>
      <c r="D1507" s="141" t="s">
        <v>263</v>
      </c>
      <c r="E1507" s="302" t="s">
        <v>1678</v>
      </c>
      <c r="F1507" s="141" t="s">
        <v>1477</v>
      </c>
      <c r="G1507" s="301" t="s">
        <v>1679</v>
      </c>
      <c r="H1507" s="118" t="s">
        <v>1327</v>
      </c>
      <c r="I1507" s="105"/>
      <c r="J1507" s="105"/>
      <c r="K1507" s="118" t="s">
        <v>1479</v>
      </c>
      <c r="L1507" s="261" t="s">
        <v>1411</v>
      </c>
    </row>
    <row r="1508" spans="1:12" ht="25">
      <c r="A1508" s="105"/>
      <c r="B1508" s="105"/>
      <c r="C1508" s="105"/>
      <c r="D1508" s="141" t="s">
        <v>263</v>
      </c>
      <c r="E1508" s="105" t="s">
        <v>1680</v>
      </c>
      <c r="F1508" s="141" t="s">
        <v>1477</v>
      </c>
      <c r="G1508" s="301" t="s">
        <v>1681</v>
      </c>
      <c r="H1508" s="118" t="s">
        <v>1327</v>
      </c>
      <c r="I1508" s="105"/>
      <c r="J1508" s="105"/>
      <c r="K1508" s="118" t="s">
        <v>1479</v>
      </c>
      <c r="L1508" s="261" t="s">
        <v>1411</v>
      </c>
    </row>
    <row r="1509" spans="1:12" ht="25">
      <c r="A1509" s="105"/>
      <c r="B1509" s="105"/>
      <c r="C1509" s="105"/>
      <c r="D1509" s="141" t="s">
        <v>263</v>
      </c>
      <c r="E1509" s="105" t="s">
        <v>1682</v>
      </c>
      <c r="F1509" s="141" t="s">
        <v>1477</v>
      </c>
      <c r="G1509" s="301" t="s">
        <v>1683</v>
      </c>
      <c r="H1509" s="118" t="s">
        <v>1327</v>
      </c>
      <c r="I1509" s="105"/>
      <c r="J1509" s="105"/>
      <c r="K1509" s="118" t="s">
        <v>1479</v>
      </c>
      <c r="L1509" s="261" t="s">
        <v>1411</v>
      </c>
    </row>
    <row r="1510" spans="1:12" ht="26">
      <c r="A1510" s="105"/>
      <c r="B1510" s="105"/>
      <c r="C1510" s="105"/>
      <c r="D1510" s="141" t="s">
        <v>263</v>
      </c>
      <c r="E1510" s="302" t="s">
        <v>1684</v>
      </c>
      <c r="F1510" s="141" t="s">
        <v>1477</v>
      </c>
      <c r="G1510" s="301" t="s">
        <v>1685</v>
      </c>
      <c r="H1510" s="118" t="s">
        <v>1327</v>
      </c>
      <c r="I1510" s="105"/>
      <c r="J1510" s="105"/>
      <c r="K1510" s="118" t="s">
        <v>1479</v>
      </c>
      <c r="L1510" s="261" t="s">
        <v>1411</v>
      </c>
    </row>
    <row r="1511" spans="1:12" ht="25">
      <c r="A1511" s="105"/>
      <c r="B1511" s="105"/>
      <c r="C1511" s="105"/>
      <c r="D1511" s="141" t="s">
        <v>263</v>
      </c>
      <c r="E1511" s="105" t="s">
        <v>1686</v>
      </c>
      <c r="F1511" s="141" t="s">
        <v>1477</v>
      </c>
      <c r="G1511" s="301" t="s">
        <v>1687</v>
      </c>
      <c r="H1511" s="118" t="s">
        <v>1327</v>
      </c>
      <c r="I1511" s="105"/>
      <c r="J1511" s="105"/>
      <c r="K1511" s="118" t="s">
        <v>1479</v>
      </c>
      <c r="L1511" s="261" t="s">
        <v>1411</v>
      </c>
    </row>
    <row r="1512" spans="1:12" ht="25">
      <c r="A1512" s="105"/>
      <c r="B1512" s="105"/>
      <c r="C1512" s="105"/>
      <c r="D1512" s="141" t="s">
        <v>263</v>
      </c>
      <c r="E1512" s="105" t="s">
        <v>1688</v>
      </c>
      <c r="F1512" s="141" t="s">
        <v>1477</v>
      </c>
      <c r="G1512" s="301" t="s">
        <v>1689</v>
      </c>
      <c r="H1512" s="118" t="s">
        <v>1327</v>
      </c>
      <c r="I1512" s="105"/>
      <c r="J1512" s="105"/>
      <c r="K1512" s="118" t="s">
        <v>1479</v>
      </c>
      <c r="L1512" s="261" t="s">
        <v>1411</v>
      </c>
    </row>
    <row r="1513" spans="1:12" ht="26">
      <c r="A1513" s="105"/>
      <c r="B1513" s="105"/>
      <c r="C1513" s="105"/>
      <c r="D1513" s="141" t="s">
        <v>263</v>
      </c>
      <c r="E1513" s="302" t="s">
        <v>1690</v>
      </c>
      <c r="F1513" s="141" t="s">
        <v>1477</v>
      </c>
      <c r="G1513" s="301" t="s">
        <v>1691</v>
      </c>
      <c r="H1513" s="118" t="s">
        <v>1327</v>
      </c>
      <c r="I1513" s="105"/>
      <c r="J1513" s="105"/>
      <c r="K1513" s="118" t="s">
        <v>1479</v>
      </c>
      <c r="L1513" s="261" t="s">
        <v>1411</v>
      </c>
    </row>
    <row r="1514" spans="1:12" ht="25">
      <c r="A1514" s="105"/>
      <c r="B1514" s="105"/>
      <c r="C1514" s="105"/>
      <c r="D1514" s="141" t="s">
        <v>263</v>
      </c>
      <c r="E1514" s="105" t="s">
        <v>1692</v>
      </c>
      <c r="F1514" s="141" t="s">
        <v>1477</v>
      </c>
      <c r="G1514" s="301" t="s">
        <v>1693</v>
      </c>
      <c r="H1514" s="118" t="s">
        <v>1327</v>
      </c>
      <c r="I1514" s="105"/>
      <c r="J1514" s="105"/>
      <c r="K1514" s="118" t="s">
        <v>1479</v>
      </c>
      <c r="L1514" s="261" t="s">
        <v>1411</v>
      </c>
    </row>
    <row r="1515" spans="1:12" ht="25">
      <c r="A1515" s="105"/>
      <c r="B1515" s="105"/>
      <c r="C1515" s="105"/>
      <c r="D1515" s="141" t="s">
        <v>263</v>
      </c>
      <c r="E1515" s="105" t="s">
        <v>1694</v>
      </c>
      <c r="F1515" s="141" t="s">
        <v>1477</v>
      </c>
      <c r="G1515" s="301" t="s">
        <v>1695</v>
      </c>
      <c r="H1515" s="118" t="s">
        <v>1327</v>
      </c>
      <c r="I1515" s="105"/>
      <c r="J1515" s="105"/>
      <c r="K1515" s="118" t="s">
        <v>1479</v>
      </c>
      <c r="L1515" s="261" t="s">
        <v>1411</v>
      </c>
    </row>
    <row r="1516" spans="1:12" ht="25">
      <c r="A1516" s="105"/>
      <c r="B1516" s="105"/>
      <c r="C1516" s="105"/>
      <c r="D1516" s="141" t="s">
        <v>263</v>
      </c>
      <c r="E1516" s="302" t="s">
        <v>1696</v>
      </c>
      <c r="F1516" s="141" t="s">
        <v>1477</v>
      </c>
      <c r="G1516" s="301" t="s">
        <v>1697</v>
      </c>
      <c r="H1516" s="118" t="s">
        <v>1327</v>
      </c>
      <c r="I1516" s="105"/>
      <c r="J1516" s="105"/>
      <c r="K1516" s="118" t="s">
        <v>1479</v>
      </c>
      <c r="L1516" s="261" t="s">
        <v>1411</v>
      </c>
    </row>
    <row r="1517" spans="1:12" ht="37.5">
      <c r="A1517" s="105"/>
      <c r="B1517" s="105"/>
      <c r="C1517" s="105"/>
      <c r="D1517" s="141" t="s">
        <v>263</v>
      </c>
      <c r="E1517" s="105" t="s">
        <v>1698</v>
      </c>
      <c r="F1517" s="141" t="s">
        <v>1477</v>
      </c>
      <c r="G1517" s="301" t="s">
        <v>1699</v>
      </c>
      <c r="H1517" s="118" t="s">
        <v>1327</v>
      </c>
      <c r="I1517" s="105"/>
      <c r="J1517" s="105"/>
      <c r="K1517" s="118" t="s">
        <v>1479</v>
      </c>
      <c r="L1517" s="261" t="s">
        <v>1411</v>
      </c>
    </row>
    <row r="1518" spans="1:12" ht="37.5">
      <c r="A1518" s="105"/>
      <c r="B1518" s="105"/>
      <c r="C1518" s="105"/>
      <c r="D1518" s="141" t="s">
        <v>263</v>
      </c>
      <c r="E1518" s="105" t="s">
        <v>1700</v>
      </c>
      <c r="F1518" s="141" t="s">
        <v>1477</v>
      </c>
      <c r="G1518" s="301" t="s">
        <v>1701</v>
      </c>
      <c r="H1518" s="118" t="s">
        <v>1327</v>
      </c>
      <c r="I1518" s="105"/>
      <c r="J1518" s="105"/>
      <c r="K1518" s="118" t="s">
        <v>1479</v>
      </c>
      <c r="L1518" s="261" t="s">
        <v>1411</v>
      </c>
    </row>
    <row r="1519" spans="1:12" ht="39">
      <c r="A1519" s="105"/>
      <c r="B1519" s="105"/>
      <c r="C1519" s="105"/>
      <c r="D1519" s="141" t="s">
        <v>263</v>
      </c>
      <c r="E1519" s="302" t="s">
        <v>1702</v>
      </c>
      <c r="F1519" s="141" t="s">
        <v>1477</v>
      </c>
      <c r="G1519" s="301" t="s">
        <v>1703</v>
      </c>
      <c r="H1519" s="118" t="s">
        <v>1327</v>
      </c>
      <c r="I1519" s="105"/>
      <c r="J1519" s="105"/>
      <c r="K1519" s="118" t="s">
        <v>1479</v>
      </c>
      <c r="L1519" s="261" t="s">
        <v>1411</v>
      </c>
    </row>
    <row r="1520" spans="1:12" ht="25">
      <c r="A1520" s="118" t="s">
        <v>1417</v>
      </c>
      <c r="B1520" s="105" t="s">
        <v>477</v>
      </c>
      <c r="C1520" s="105"/>
      <c r="D1520" s="141" t="s">
        <v>263</v>
      </c>
      <c r="E1520" s="105" t="s">
        <v>1704</v>
      </c>
      <c r="F1520" s="141" t="s">
        <v>1477</v>
      </c>
      <c r="G1520" s="301" t="s">
        <v>1705</v>
      </c>
      <c r="H1520" s="118" t="s">
        <v>1327</v>
      </c>
      <c r="I1520" s="105"/>
      <c r="J1520" s="105"/>
      <c r="K1520" s="118" t="s">
        <v>1479</v>
      </c>
      <c r="L1520" s="261" t="s">
        <v>1411</v>
      </c>
    </row>
    <row r="1521" spans="1:19" ht="25">
      <c r="A1521" s="118" t="s">
        <v>1417</v>
      </c>
      <c r="B1521" s="105" t="s">
        <v>477</v>
      </c>
      <c r="C1521" s="105"/>
      <c r="D1521" s="141" t="s">
        <v>263</v>
      </c>
      <c r="E1521" s="105" t="s">
        <v>1706</v>
      </c>
      <c r="F1521" s="141" t="s">
        <v>1477</v>
      </c>
      <c r="G1521" s="301" t="s">
        <v>1707</v>
      </c>
      <c r="H1521" s="118" t="s">
        <v>1327</v>
      </c>
      <c r="I1521" s="105"/>
      <c r="J1521" s="105"/>
      <c r="K1521" s="118" t="s">
        <v>1479</v>
      </c>
      <c r="L1521" s="261" t="s">
        <v>1411</v>
      </c>
    </row>
    <row r="1522" spans="1:19" ht="26">
      <c r="A1522" s="105"/>
      <c r="B1522" s="105"/>
      <c r="C1522" s="105"/>
      <c r="D1522" s="141" t="s">
        <v>263</v>
      </c>
      <c r="E1522" s="302" t="s">
        <v>1708</v>
      </c>
      <c r="F1522" s="141" t="s">
        <v>1477</v>
      </c>
      <c r="G1522" s="301" t="s">
        <v>1709</v>
      </c>
      <c r="H1522" s="118" t="s">
        <v>1327</v>
      </c>
      <c r="I1522" s="105"/>
      <c r="J1522" s="105"/>
      <c r="K1522" s="118" t="s">
        <v>1479</v>
      </c>
      <c r="L1522" s="261" t="s">
        <v>1411</v>
      </c>
    </row>
    <row r="1523" spans="1:19" ht="25">
      <c r="A1523" s="105"/>
      <c r="B1523" s="105"/>
      <c r="C1523" s="105"/>
      <c r="D1523" s="141" t="s">
        <v>263</v>
      </c>
      <c r="E1523" s="105" t="s">
        <v>1710</v>
      </c>
      <c r="F1523" s="141" t="s">
        <v>1477</v>
      </c>
      <c r="G1523" s="301" t="s">
        <v>1711</v>
      </c>
      <c r="H1523" s="118" t="s">
        <v>1327</v>
      </c>
      <c r="I1523" s="105"/>
      <c r="J1523" s="105"/>
      <c r="K1523" s="118" t="s">
        <v>1479</v>
      </c>
      <c r="L1523" s="261" t="s">
        <v>1411</v>
      </c>
      <c r="M1523" s="159"/>
      <c r="N1523" s="159"/>
      <c r="O1523" s="159"/>
      <c r="P1523" s="159"/>
      <c r="Q1523" s="159"/>
      <c r="R1523" s="159"/>
      <c r="S1523" s="159"/>
    </row>
    <row r="1524" spans="1:19" ht="25">
      <c r="A1524" s="105"/>
      <c r="B1524" s="105"/>
      <c r="C1524" s="105"/>
      <c r="D1524" s="141" t="s">
        <v>263</v>
      </c>
      <c r="E1524" s="105" t="s">
        <v>1712</v>
      </c>
      <c r="F1524" s="141" t="s">
        <v>1477</v>
      </c>
      <c r="G1524" s="301" t="s">
        <v>1713</v>
      </c>
      <c r="H1524" s="118" t="s">
        <v>1327</v>
      </c>
      <c r="I1524" s="105"/>
      <c r="J1524" s="105"/>
      <c r="K1524" s="118" t="s">
        <v>1479</v>
      </c>
      <c r="L1524" s="261" t="s">
        <v>1411</v>
      </c>
      <c r="M1524" s="159"/>
      <c r="N1524" s="159"/>
      <c r="O1524" s="159"/>
      <c r="P1524" s="159"/>
      <c r="Q1524" s="159"/>
      <c r="R1524" s="159"/>
      <c r="S1524" s="159"/>
    </row>
    <row r="1525" spans="1:19" ht="26">
      <c r="A1525" s="105"/>
      <c r="B1525" s="105"/>
      <c r="C1525" s="105"/>
      <c r="D1525" s="141" t="s">
        <v>263</v>
      </c>
      <c r="E1525" s="302" t="s">
        <v>1714</v>
      </c>
      <c r="F1525" s="141" t="s">
        <v>1477</v>
      </c>
      <c r="G1525" s="301" t="s">
        <v>1715</v>
      </c>
      <c r="H1525" s="118" t="s">
        <v>1327</v>
      </c>
      <c r="I1525" s="105"/>
      <c r="J1525" s="105"/>
      <c r="K1525" s="118" t="s">
        <v>1479</v>
      </c>
      <c r="L1525" s="261" t="s">
        <v>1411</v>
      </c>
      <c r="M1525" s="159"/>
      <c r="N1525" s="159"/>
      <c r="O1525" s="159"/>
      <c r="P1525" s="159"/>
      <c r="Q1525" s="159"/>
      <c r="R1525" s="159"/>
      <c r="S1525" s="159"/>
    </row>
    <row r="1526" spans="1:19" ht="37.5">
      <c r="A1526" s="105"/>
      <c r="B1526" s="105"/>
      <c r="C1526" s="105"/>
      <c r="D1526" s="141" t="s">
        <v>263</v>
      </c>
      <c r="E1526" s="105" t="s">
        <v>1716</v>
      </c>
      <c r="F1526" s="141" t="s">
        <v>1477</v>
      </c>
      <c r="G1526" s="301" t="s">
        <v>1717</v>
      </c>
      <c r="H1526" s="118" t="s">
        <v>1327</v>
      </c>
      <c r="I1526" s="105"/>
      <c r="J1526" s="105"/>
      <c r="K1526" s="118" t="s">
        <v>1479</v>
      </c>
      <c r="L1526" s="261" t="s">
        <v>1411</v>
      </c>
      <c r="M1526" s="159"/>
      <c r="N1526" s="159"/>
      <c r="O1526" s="159"/>
      <c r="P1526" s="159"/>
      <c r="Q1526" s="159"/>
      <c r="R1526" s="159"/>
      <c r="S1526" s="159"/>
    </row>
    <row r="1527" spans="1:19" ht="37.5">
      <c r="A1527" s="105"/>
      <c r="B1527" s="105"/>
      <c r="C1527" s="105"/>
      <c r="D1527" s="141" t="s">
        <v>263</v>
      </c>
      <c r="E1527" s="105" t="s">
        <v>1718</v>
      </c>
      <c r="F1527" s="141" t="s">
        <v>1477</v>
      </c>
      <c r="G1527" s="301" t="s">
        <v>1719</v>
      </c>
      <c r="H1527" s="118" t="s">
        <v>1327</v>
      </c>
      <c r="I1527" s="105"/>
      <c r="J1527" s="105"/>
      <c r="K1527" s="118" t="s">
        <v>1479</v>
      </c>
      <c r="L1527" s="261" t="s">
        <v>1411</v>
      </c>
      <c r="M1527" s="159"/>
      <c r="N1527" s="159"/>
      <c r="O1527" s="159"/>
      <c r="P1527" s="159"/>
      <c r="Q1527" s="159"/>
      <c r="R1527" s="159"/>
      <c r="S1527" s="159"/>
    </row>
    <row r="1528" spans="1:19" ht="52">
      <c r="A1528" s="105"/>
      <c r="B1528" s="105"/>
      <c r="C1528" s="105"/>
      <c r="D1528" s="141" t="s">
        <v>263</v>
      </c>
      <c r="E1528" s="302" t="s">
        <v>1720</v>
      </c>
      <c r="F1528" s="141" t="s">
        <v>1477</v>
      </c>
      <c r="G1528" s="301" t="s">
        <v>1721</v>
      </c>
      <c r="H1528" s="118" t="s">
        <v>1327</v>
      </c>
      <c r="I1528" s="105"/>
      <c r="J1528" s="105"/>
      <c r="K1528" s="118" t="s">
        <v>1479</v>
      </c>
      <c r="L1528" s="261" t="s">
        <v>1411</v>
      </c>
      <c r="M1528" s="159"/>
      <c r="N1528" s="159"/>
      <c r="O1528" s="159"/>
      <c r="P1528" s="159"/>
      <c r="Q1528" s="159"/>
      <c r="R1528" s="159"/>
      <c r="S1528" s="159"/>
    </row>
    <row r="1529" spans="1:19" ht="25">
      <c r="A1529" s="105"/>
      <c r="B1529" s="105"/>
      <c r="C1529" s="105"/>
      <c r="D1529" s="141" t="s">
        <v>263</v>
      </c>
      <c r="E1529" s="105" t="s">
        <v>1722</v>
      </c>
      <c r="F1529" s="141" t="s">
        <v>1477</v>
      </c>
      <c r="G1529" s="301" t="s">
        <v>1723</v>
      </c>
      <c r="H1529" s="118" t="s">
        <v>1327</v>
      </c>
      <c r="I1529" s="105"/>
      <c r="J1529" s="105"/>
      <c r="K1529" s="118" t="s">
        <v>1479</v>
      </c>
      <c r="L1529" s="261" t="s">
        <v>1411</v>
      </c>
      <c r="M1529" s="159"/>
      <c r="N1529" s="159"/>
      <c r="O1529" s="159"/>
      <c r="P1529" s="159"/>
      <c r="Q1529" s="159"/>
      <c r="R1529" s="159"/>
      <c r="S1529" s="159"/>
    </row>
    <row r="1530" spans="1:19" ht="25">
      <c r="A1530" s="105"/>
      <c r="B1530" s="105"/>
      <c r="C1530" s="105"/>
      <c r="D1530" s="141" t="s">
        <v>263</v>
      </c>
      <c r="E1530" s="105" t="s">
        <v>1724</v>
      </c>
      <c r="F1530" s="141" t="s">
        <v>1477</v>
      </c>
      <c r="G1530" s="301" t="s">
        <v>1725</v>
      </c>
      <c r="H1530" s="118" t="s">
        <v>1327</v>
      </c>
      <c r="I1530" s="105"/>
      <c r="J1530" s="105"/>
      <c r="K1530" s="118" t="s">
        <v>1479</v>
      </c>
      <c r="L1530" s="261" t="s">
        <v>1411</v>
      </c>
      <c r="M1530" s="159"/>
      <c r="N1530" s="159"/>
      <c r="O1530" s="159"/>
      <c r="P1530" s="159"/>
      <c r="Q1530" s="159"/>
      <c r="R1530" s="159"/>
      <c r="S1530" s="159"/>
    </row>
    <row r="1531" spans="1:19" ht="26">
      <c r="A1531" s="105"/>
      <c r="B1531" s="105"/>
      <c r="C1531" s="105"/>
      <c r="D1531" s="141" t="s">
        <v>263</v>
      </c>
      <c r="E1531" s="302" t="s">
        <v>1726</v>
      </c>
      <c r="F1531" s="141" t="s">
        <v>1477</v>
      </c>
      <c r="G1531" s="301" t="s">
        <v>1727</v>
      </c>
      <c r="H1531" s="118" t="s">
        <v>1327</v>
      </c>
      <c r="I1531" s="105"/>
      <c r="J1531" s="105"/>
      <c r="K1531" s="118" t="s">
        <v>1479</v>
      </c>
      <c r="L1531" s="261" t="s">
        <v>1411</v>
      </c>
      <c r="M1531" s="159"/>
      <c r="N1531" s="159"/>
      <c r="O1531" s="159"/>
      <c r="P1531" s="159"/>
      <c r="Q1531" s="159"/>
      <c r="R1531" s="159"/>
      <c r="S1531" s="159"/>
    </row>
    <row r="1532" spans="1:19" ht="25">
      <c r="A1532" s="105"/>
      <c r="B1532" s="105"/>
      <c r="C1532" s="105"/>
      <c r="D1532" s="141" t="s">
        <v>263</v>
      </c>
      <c r="E1532" s="105" t="s">
        <v>1728</v>
      </c>
      <c r="F1532" s="141" t="s">
        <v>1477</v>
      </c>
      <c r="G1532" s="301" t="s">
        <v>1729</v>
      </c>
      <c r="H1532" s="118" t="s">
        <v>1327</v>
      </c>
      <c r="I1532" s="105"/>
      <c r="J1532" s="105"/>
      <c r="K1532" s="118" t="s">
        <v>1479</v>
      </c>
      <c r="L1532" s="261" t="s">
        <v>1411</v>
      </c>
      <c r="M1532" s="159"/>
      <c r="N1532" s="159"/>
      <c r="O1532" s="159"/>
      <c r="P1532" s="159"/>
      <c r="Q1532" s="159"/>
      <c r="R1532" s="159"/>
      <c r="S1532" s="159"/>
    </row>
    <row r="1533" spans="1:19" ht="25">
      <c r="A1533" s="105"/>
      <c r="B1533" s="105"/>
      <c r="C1533" s="105"/>
      <c r="D1533" s="141" t="s">
        <v>263</v>
      </c>
      <c r="E1533" s="105" t="s">
        <v>1730</v>
      </c>
      <c r="F1533" s="141" t="s">
        <v>1477</v>
      </c>
      <c r="G1533" s="301" t="s">
        <v>1731</v>
      </c>
      <c r="H1533" s="118" t="s">
        <v>1327</v>
      </c>
      <c r="I1533" s="105"/>
      <c r="J1533" s="105"/>
      <c r="K1533" s="118" t="s">
        <v>1479</v>
      </c>
      <c r="L1533" s="261" t="s">
        <v>1411</v>
      </c>
      <c r="M1533" s="159"/>
      <c r="N1533" s="159"/>
      <c r="O1533" s="159"/>
      <c r="P1533" s="159"/>
      <c r="Q1533" s="159"/>
      <c r="R1533" s="159"/>
      <c r="S1533" s="159"/>
    </row>
    <row r="1534" spans="1:19" ht="26">
      <c r="A1534" s="105"/>
      <c r="B1534" s="105"/>
      <c r="C1534" s="105"/>
      <c r="D1534" s="141" t="s">
        <v>263</v>
      </c>
      <c r="E1534" s="302" t="s">
        <v>1732</v>
      </c>
      <c r="F1534" s="141" t="s">
        <v>1477</v>
      </c>
      <c r="G1534" s="301" t="s">
        <v>1733</v>
      </c>
      <c r="H1534" s="118" t="s">
        <v>1327</v>
      </c>
      <c r="I1534" s="105"/>
      <c r="J1534" s="105"/>
      <c r="K1534" s="118" t="s">
        <v>1479</v>
      </c>
      <c r="L1534" s="261" t="s">
        <v>1411</v>
      </c>
      <c r="M1534" s="159"/>
      <c r="N1534" s="159"/>
      <c r="O1534" s="159"/>
      <c r="P1534" s="159"/>
      <c r="Q1534" s="159"/>
      <c r="R1534" s="159"/>
      <c r="S1534" s="159"/>
    </row>
    <row r="1535" spans="1:19" ht="25">
      <c r="A1535" s="105"/>
      <c r="B1535" s="105"/>
      <c r="C1535" s="105"/>
      <c r="D1535" s="141" t="s">
        <v>263</v>
      </c>
      <c r="E1535" s="105" t="s">
        <v>1734</v>
      </c>
      <c r="F1535" s="141" t="s">
        <v>1477</v>
      </c>
      <c r="G1535" s="301" t="s">
        <v>1735</v>
      </c>
      <c r="H1535" s="118" t="s">
        <v>1327</v>
      </c>
      <c r="I1535" s="105"/>
      <c r="J1535" s="105"/>
      <c r="K1535" s="118" t="s">
        <v>1479</v>
      </c>
      <c r="L1535" s="261" t="s">
        <v>1411</v>
      </c>
      <c r="M1535" s="159"/>
      <c r="N1535" s="159"/>
      <c r="O1535" s="159"/>
      <c r="P1535" s="159"/>
      <c r="Q1535" s="159"/>
      <c r="R1535" s="159"/>
      <c r="S1535" s="159"/>
    </row>
    <row r="1536" spans="1:19" ht="25">
      <c r="A1536" s="105"/>
      <c r="B1536" s="105"/>
      <c r="C1536" s="105"/>
      <c r="D1536" s="141" t="s">
        <v>263</v>
      </c>
      <c r="E1536" s="105" t="s">
        <v>1736</v>
      </c>
      <c r="F1536" s="141" t="s">
        <v>1477</v>
      </c>
      <c r="G1536" s="301" t="s">
        <v>1737</v>
      </c>
      <c r="H1536" s="118" t="s">
        <v>1327</v>
      </c>
      <c r="I1536" s="105"/>
      <c r="J1536" s="105"/>
      <c r="K1536" s="118" t="s">
        <v>1479</v>
      </c>
      <c r="L1536" s="261" t="s">
        <v>1411</v>
      </c>
      <c r="M1536" s="159"/>
      <c r="N1536" s="159"/>
      <c r="O1536" s="159"/>
      <c r="P1536" s="159"/>
      <c r="Q1536" s="159"/>
      <c r="R1536" s="159"/>
      <c r="S1536" s="159"/>
    </row>
    <row r="1537" spans="1:19" ht="26">
      <c r="A1537" s="105"/>
      <c r="B1537" s="105"/>
      <c r="C1537" s="105"/>
      <c r="D1537" s="141" t="s">
        <v>263</v>
      </c>
      <c r="E1537" s="302" t="s">
        <v>1738</v>
      </c>
      <c r="F1537" s="141" t="s">
        <v>1477</v>
      </c>
      <c r="G1537" s="301" t="s">
        <v>1739</v>
      </c>
      <c r="H1537" s="118" t="s">
        <v>1327</v>
      </c>
      <c r="I1537" s="105"/>
      <c r="J1537" s="105"/>
      <c r="K1537" s="118" t="s">
        <v>1479</v>
      </c>
      <c r="L1537" s="261" t="s">
        <v>1411</v>
      </c>
      <c r="M1537" s="159"/>
      <c r="N1537" s="159"/>
      <c r="O1537" s="159"/>
      <c r="P1537" s="159"/>
      <c r="Q1537" s="159"/>
      <c r="R1537" s="159"/>
      <c r="S1537" s="159"/>
    </row>
    <row r="1538" spans="1:19" ht="25">
      <c r="A1538" s="105"/>
      <c r="B1538" s="105"/>
      <c r="C1538" s="105"/>
      <c r="D1538" s="141" t="s">
        <v>263</v>
      </c>
      <c r="E1538" s="105" t="s">
        <v>1740</v>
      </c>
      <c r="F1538" s="141" t="s">
        <v>1477</v>
      </c>
      <c r="G1538" s="301" t="s">
        <v>1741</v>
      </c>
      <c r="H1538" s="118" t="s">
        <v>1327</v>
      </c>
      <c r="I1538" s="105"/>
      <c r="J1538" s="105"/>
      <c r="K1538" s="118" t="s">
        <v>1479</v>
      </c>
      <c r="L1538" s="261" t="s">
        <v>1411</v>
      </c>
      <c r="M1538" s="159"/>
      <c r="N1538" s="159"/>
      <c r="O1538" s="159"/>
      <c r="P1538" s="159"/>
      <c r="Q1538" s="159"/>
      <c r="R1538" s="159"/>
      <c r="S1538" s="159"/>
    </row>
    <row r="1539" spans="1:19" ht="25">
      <c r="A1539" s="105"/>
      <c r="B1539" s="105"/>
      <c r="C1539" s="105"/>
      <c r="D1539" s="141" t="s">
        <v>263</v>
      </c>
      <c r="E1539" s="105" t="s">
        <v>1742</v>
      </c>
      <c r="F1539" s="141" t="s">
        <v>1477</v>
      </c>
      <c r="G1539" s="301" t="s">
        <v>1743</v>
      </c>
      <c r="H1539" s="118" t="s">
        <v>1327</v>
      </c>
      <c r="I1539" s="105"/>
      <c r="J1539" s="105"/>
      <c r="K1539" s="118" t="s">
        <v>1479</v>
      </c>
      <c r="L1539" s="261" t="s">
        <v>1411</v>
      </c>
      <c r="M1539" s="159"/>
      <c r="N1539" s="159"/>
      <c r="O1539" s="159"/>
      <c r="P1539" s="159"/>
      <c r="Q1539" s="159"/>
      <c r="R1539" s="159"/>
      <c r="S1539" s="159"/>
    </row>
    <row r="1540" spans="1:19" ht="26">
      <c r="A1540" s="105"/>
      <c r="B1540" s="105"/>
      <c r="C1540" s="105"/>
      <c r="D1540" s="141" t="s">
        <v>263</v>
      </c>
      <c r="E1540" s="302" t="s">
        <v>1744</v>
      </c>
      <c r="F1540" s="141" t="s">
        <v>1477</v>
      </c>
      <c r="G1540" s="301" t="s">
        <v>1745</v>
      </c>
      <c r="H1540" s="118" t="s">
        <v>1327</v>
      </c>
      <c r="I1540" s="105"/>
      <c r="J1540" s="105"/>
      <c r="K1540" s="118" t="s">
        <v>1479</v>
      </c>
      <c r="L1540" s="261" t="s">
        <v>1411</v>
      </c>
      <c r="M1540" s="159"/>
      <c r="N1540" s="159"/>
      <c r="O1540" s="159"/>
      <c r="P1540" s="159"/>
      <c r="Q1540" s="159"/>
      <c r="R1540" s="159"/>
      <c r="S1540" s="159"/>
    </row>
    <row r="1541" spans="1:19" ht="25">
      <c r="A1541" s="105"/>
      <c r="B1541" s="105"/>
      <c r="C1541" s="105"/>
      <c r="D1541" s="141" t="s">
        <v>263</v>
      </c>
      <c r="E1541" s="105" t="s">
        <v>1746</v>
      </c>
      <c r="F1541" s="141" t="s">
        <v>1477</v>
      </c>
      <c r="G1541" s="301" t="s">
        <v>1747</v>
      </c>
      <c r="H1541" s="118" t="s">
        <v>1327</v>
      </c>
      <c r="I1541" s="105"/>
      <c r="J1541" s="105"/>
      <c r="K1541" s="118" t="s">
        <v>1479</v>
      </c>
      <c r="L1541" s="261" t="s">
        <v>1411</v>
      </c>
      <c r="M1541" s="159"/>
      <c r="N1541" s="159"/>
      <c r="O1541" s="159"/>
      <c r="P1541" s="159"/>
      <c r="Q1541" s="159"/>
      <c r="R1541" s="159"/>
      <c r="S1541" s="159"/>
    </row>
    <row r="1542" spans="1:19" ht="25">
      <c r="A1542" s="105"/>
      <c r="B1542" s="105"/>
      <c r="C1542" s="105"/>
      <c r="D1542" s="141" t="s">
        <v>263</v>
      </c>
      <c r="E1542" s="105" t="s">
        <v>1748</v>
      </c>
      <c r="F1542" s="141" t="s">
        <v>1477</v>
      </c>
      <c r="G1542" s="301" t="s">
        <v>1749</v>
      </c>
      <c r="H1542" s="118" t="s">
        <v>1327</v>
      </c>
      <c r="I1542" s="105"/>
      <c r="J1542" s="105"/>
      <c r="K1542" s="118" t="s">
        <v>1479</v>
      </c>
      <c r="L1542" s="261" t="s">
        <v>1411</v>
      </c>
      <c r="M1542" s="159"/>
      <c r="N1542" s="159"/>
      <c r="O1542" s="159"/>
      <c r="P1542" s="159"/>
      <c r="Q1542" s="159"/>
      <c r="R1542" s="159"/>
      <c r="S1542" s="159"/>
    </row>
    <row r="1543" spans="1:19" ht="26">
      <c r="A1543" s="105"/>
      <c r="B1543" s="105"/>
      <c r="C1543" s="105"/>
      <c r="D1543" s="141" t="s">
        <v>263</v>
      </c>
      <c r="E1543" s="302" t="s">
        <v>1750</v>
      </c>
      <c r="F1543" s="141" t="s">
        <v>1477</v>
      </c>
      <c r="G1543" s="301" t="s">
        <v>1751</v>
      </c>
      <c r="H1543" s="118" t="s">
        <v>1327</v>
      </c>
      <c r="I1543" s="105"/>
      <c r="J1543" s="105"/>
      <c r="K1543" s="118" t="s">
        <v>1479</v>
      </c>
      <c r="L1543" s="261" t="s">
        <v>1411</v>
      </c>
      <c r="M1543" s="159"/>
      <c r="N1543" s="159"/>
      <c r="O1543" s="159"/>
      <c r="P1543" s="159"/>
      <c r="Q1543" s="159"/>
      <c r="R1543" s="159"/>
      <c r="S1543" s="159"/>
    </row>
    <row r="1544" spans="1:19" ht="25">
      <c r="A1544" s="105"/>
      <c r="B1544" s="105"/>
      <c r="C1544" s="105"/>
      <c r="D1544" s="141" t="s">
        <v>263</v>
      </c>
      <c r="E1544" s="105" t="s">
        <v>1752</v>
      </c>
      <c r="F1544" s="141" t="s">
        <v>1477</v>
      </c>
      <c r="G1544" s="301" t="s">
        <v>1753</v>
      </c>
      <c r="H1544" s="118" t="s">
        <v>1327</v>
      </c>
      <c r="I1544" s="105"/>
      <c r="J1544" s="105"/>
      <c r="K1544" s="118" t="s">
        <v>1479</v>
      </c>
      <c r="L1544" s="261" t="s">
        <v>1411</v>
      </c>
      <c r="M1544" s="159"/>
      <c r="N1544" s="159"/>
      <c r="O1544" s="159"/>
      <c r="P1544" s="159"/>
      <c r="Q1544" s="159"/>
      <c r="R1544" s="159"/>
      <c r="S1544" s="159"/>
    </row>
    <row r="1545" spans="1:19" ht="25">
      <c r="A1545" s="105"/>
      <c r="B1545" s="105"/>
      <c r="C1545" s="105"/>
      <c r="D1545" s="141" t="s">
        <v>263</v>
      </c>
      <c r="E1545" s="105" t="s">
        <v>1754</v>
      </c>
      <c r="F1545" s="141" t="s">
        <v>1477</v>
      </c>
      <c r="G1545" s="301" t="s">
        <v>1755</v>
      </c>
      <c r="H1545" s="118" t="s">
        <v>1327</v>
      </c>
      <c r="I1545" s="105"/>
      <c r="J1545" s="105"/>
      <c r="K1545" s="118" t="s">
        <v>1479</v>
      </c>
      <c r="L1545" s="261" t="s">
        <v>1411</v>
      </c>
      <c r="M1545" s="159"/>
      <c r="N1545" s="159"/>
      <c r="O1545" s="159"/>
      <c r="P1545" s="159"/>
      <c r="Q1545" s="159"/>
      <c r="R1545" s="159"/>
      <c r="S1545" s="159"/>
    </row>
    <row r="1546" spans="1:19" ht="26">
      <c r="A1546" s="105"/>
      <c r="B1546" s="105"/>
      <c r="C1546" s="105"/>
      <c r="D1546" s="141" t="s">
        <v>263</v>
      </c>
      <c r="E1546" s="302" t="s">
        <v>1756</v>
      </c>
      <c r="F1546" s="141" t="s">
        <v>1477</v>
      </c>
      <c r="G1546" s="301" t="s">
        <v>1757</v>
      </c>
      <c r="H1546" s="118" t="s">
        <v>1327</v>
      </c>
      <c r="I1546" s="105"/>
      <c r="J1546" s="105"/>
      <c r="K1546" s="118" t="s">
        <v>1479</v>
      </c>
      <c r="L1546" s="261" t="s">
        <v>1411</v>
      </c>
      <c r="M1546" s="159"/>
      <c r="N1546" s="159"/>
      <c r="O1546" s="159"/>
      <c r="P1546" s="159"/>
      <c r="Q1546" s="159"/>
      <c r="R1546" s="159"/>
      <c r="S1546" s="159"/>
    </row>
    <row r="1547" spans="1:19" ht="25">
      <c r="A1547" s="105"/>
      <c r="B1547" s="105"/>
      <c r="C1547" s="105"/>
      <c r="D1547" s="141" t="s">
        <v>263</v>
      </c>
      <c r="E1547" s="105" t="s">
        <v>1758</v>
      </c>
      <c r="F1547" s="141" t="s">
        <v>1477</v>
      </c>
      <c r="G1547" s="301" t="s">
        <v>1759</v>
      </c>
      <c r="H1547" s="118" t="s">
        <v>1327</v>
      </c>
      <c r="I1547" s="105"/>
      <c r="J1547" s="105"/>
      <c r="K1547" s="118" t="s">
        <v>1479</v>
      </c>
      <c r="L1547" s="261" t="s">
        <v>1411</v>
      </c>
      <c r="M1547" s="159"/>
      <c r="N1547" s="159"/>
      <c r="O1547" s="159"/>
      <c r="P1547" s="159"/>
      <c r="Q1547" s="159"/>
      <c r="R1547" s="159"/>
      <c r="S1547" s="159"/>
    </row>
    <row r="1548" spans="1:19" ht="25">
      <c r="A1548" s="105"/>
      <c r="B1548" s="105"/>
      <c r="C1548" s="105"/>
      <c r="D1548" s="141" t="s">
        <v>263</v>
      </c>
      <c r="E1548" s="105" t="s">
        <v>1760</v>
      </c>
      <c r="F1548" s="141" t="s">
        <v>1477</v>
      </c>
      <c r="G1548" s="301" t="s">
        <v>1761</v>
      </c>
      <c r="H1548" s="118" t="s">
        <v>1327</v>
      </c>
      <c r="I1548" s="105"/>
      <c r="J1548" s="105"/>
      <c r="K1548" s="118" t="s">
        <v>1479</v>
      </c>
      <c r="L1548" s="261" t="s">
        <v>1411</v>
      </c>
      <c r="M1548" s="159"/>
      <c r="N1548" s="159"/>
      <c r="O1548" s="159"/>
      <c r="P1548" s="159"/>
      <c r="Q1548" s="159"/>
      <c r="R1548" s="159"/>
      <c r="S1548" s="159"/>
    </row>
    <row r="1549" spans="1:19" ht="26">
      <c r="A1549" s="105"/>
      <c r="B1549" s="105"/>
      <c r="C1549" s="105"/>
      <c r="D1549" s="141" t="s">
        <v>263</v>
      </c>
      <c r="E1549" s="302" t="s">
        <v>1762</v>
      </c>
      <c r="F1549" s="141" t="s">
        <v>1477</v>
      </c>
      <c r="G1549" s="301" t="s">
        <v>1763</v>
      </c>
      <c r="H1549" s="118" t="s">
        <v>1327</v>
      </c>
      <c r="I1549" s="105"/>
      <c r="J1549" s="105"/>
      <c r="K1549" s="118" t="s">
        <v>1479</v>
      </c>
      <c r="L1549" s="261" t="s">
        <v>1411</v>
      </c>
      <c r="M1549" s="159"/>
      <c r="N1549" s="159"/>
      <c r="O1549" s="159"/>
      <c r="P1549" s="159"/>
      <c r="Q1549" s="159"/>
      <c r="R1549" s="159"/>
      <c r="S1549" s="159"/>
    </row>
    <row r="1550" spans="1:19" ht="25">
      <c r="A1550" s="105"/>
      <c r="B1550" s="105"/>
      <c r="C1550" s="105"/>
      <c r="D1550" s="141" t="s">
        <v>263</v>
      </c>
      <c r="E1550" s="105" t="s">
        <v>1764</v>
      </c>
      <c r="F1550" s="141" t="s">
        <v>1477</v>
      </c>
      <c r="G1550" s="301" t="s">
        <v>1765</v>
      </c>
      <c r="H1550" s="118" t="s">
        <v>1327</v>
      </c>
      <c r="I1550" s="105"/>
      <c r="J1550" s="105"/>
      <c r="K1550" s="118" t="s">
        <v>1479</v>
      </c>
      <c r="L1550" s="261" t="s">
        <v>1411</v>
      </c>
      <c r="M1550" s="159"/>
      <c r="N1550" s="159"/>
      <c r="O1550" s="159"/>
      <c r="P1550" s="159"/>
      <c r="Q1550" s="159"/>
      <c r="R1550" s="159"/>
      <c r="S1550" s="159"/>
    </row>
    <row r="1551" spans="1:19" ht="25">
      <c r="A1551" s="105"/>
      <c r="B1551" s="105"/>
      <c r="C1551" s="105"/>
      <c r="D1551" s="141" t="s">
        <v>263</v>
      </c>
      <c r="E1551" s="105" t="s">
        <v>1766</v>
      </c>
      <c r="F1551" s="141" t="s">
        <v>1477</v>
      </c>
      <c r="G1551" s="301" t="s">
        <v>1767</v>
      </c>
      <c r="H1551" s="118" t="s">
        <v>1327</v>
      </c>
      <c r="I1551" s="105"/>
      <c r="J1551" s="105"/>
      <c r="K1551" s="118" t="s">
        <v>1479</v>
      </c>
      <c r="L1551" s="261" t="s">
        <v>1411</v>
      </c>
      <c r="M1551" s="159"/>
      <c r="N1551" s="159"/>
      <c r="O1551" s="159"/>
      <c r="P1551" s="159"/>
      <c r="Q1551" s="159"/>
      <c r="R1551" s="159"/>
      <c r="S1551" s="159"/>
    </row>
    <row r="1552" spans="1:19" ht="26">
      <c r="A1552" s="105"/>
      <c r="B1552" s="105"/>
      <c r="C1552" s="105"/>
      <c r="D1552" s="141" t="s">
        <v>263</v>
      </c>
      <c r="E1552" s="302" t="s">
        <v>1768</v>
      </c>
      <c r="F1552" s="141" t="s">
        <v>1477</v>
      </c>
      <c r="G1552" s="301" t="s">
        <v>1769</v>
      </c>
      <c r="H1552" s="118" t="s">
        <v>1327</v>
      </c>
      <c r="I1552" s="105"/>
      <c r="J1552" s="105"/>
      <c r="K1552" s="118" t="s">
        <v>1479</v>
      </c>
      <c r="L1552" s="261" t="s">
        <v>1411</v>
      </c>
      <c r="M1552" s="159"/>
      <c r="N1552" s="159"/>
      <c r="O1552" s="159"/>
      <c r="P1552" s="159"/>
      <c r="Q1552" s="159"/>
      <c r="R1552" s="159"/>
      <c r="S1552" s="159"/>
    </row>
    <row r="1553" spans="1:19" ht="25">
      <c r="A1553" s="105"/>
      <c r="B1553" s="105"/>
      <c r="C1553" s="105"/>
      <c r="D1553" s="141" t="s">
        <v>263</v>
      </c>
      <c r="E1553" s="105" t="s">
        <v>1770</v>
      </c>
      <c r="F1553" s="141" t="s">
        <v>1477</v>
      </c>
      <c r="G1553" s="301" t="s">
        <v>1771</v>
      </c>
      <c r="H1553" s="118" t="s">
        <v>1327</v>
      </c>
      <c r="I1553" s="105"/>
      <c r="J1553" s="105"/>
      <c r="K1553" s="118" t="s">
        <v>1479</v>
      </c>
      <c r="L1553" s="261" t="s">
        <v>1411</v>
      </c>
      <c r="M1553" s="159"/>
      <c r="N1553" s="159"/>
      <c r="O1553" s="159"/>
      <c r="P1553" s="159"/>
      <c r="Q1553" s="159"/>
      <c r="R1553" s="159"/>
      <c r="S1553" s="159"/>
    </row>
    <row r="1554" spans="1:19" ht="25">
      <c r="A1554" s="105"/>
      <c r="B1554" s="105"/>
      <c r="C1554" s="105"/>
      <c r="D1554" s="141" t="s">
        <v>263</v>
      </c>
      <c r="E1554" s="105" t="s">
        <v>1772</v>
      </c>
      <c r="F1554" s="141" t="s">
        <v>1477</v>
      </c>
      <c r="G1554" s="301" t="s">
        <v>1773</v>
      </c>
      <c r="H1554" s="118" t="s">
        <v>1327</v>
      </c>
      <c r="I1554" s="105"/>
      <c r="J1554" s="105"/>
      <c r="K1554" s="118" t="s">
        <v>1479</v>
      </c>
      <c r="L1554" s="261" t="s">
        <v>1411</v>
      </c>
      <c r="M1554" s="159"/>
      <c r="N1554" s="159"/>
      <c r="O1554" s="159"/>
      <c r="P1554" s="159"/>
      <c r="Q1554" s="159"/>
      <c r="R1554" s="159"/>
      <c r="S1554" s="159"/>
    </row>
    <row r="1555" spans="1:19" ht="26">
      <c r="A1555" s="105"/>
      <c r="B1555" s="105"/>
      <c r="C1555" s="105"/>
      <c r="D1555" s="141" t="s">
        <v>263</v>
      </c>
      <c r="E1555" s="302" t="s">
        <v>1774</v>
      </c>
      <c r="F1555" s="141" t="s">
        <v>1477</v>
      </c>
      <c r="G1555" s="301" t="s">
        <v>1775</v>
      </c>
      <c r="H1555" s="118" t="s">
        <v>1327</v>
      </c>
      <c r="I1555" s="105"/>
      <c r="J1555" s="105"/>
      <c r="K1555" s="118" t="s">
        <v>1479</v>
      </c>
      <c r="L1555" s="261" t="s">
        <v>1411</v>
      </c>
      <c r="M1555" s="159"/>
      <c r="N1555" s="159"/>
      <c r="O1555" s="159"/>
      <c r="P1555" s="159"/>
      <c r="Q1555" s="159"/>
      <c r="R1555" s="159"/>
      <c r="S1555" s="159"/>
    </row>
    <row r="1556" spans="1:19" ht="25">
      <c r="A1556" s="105"/>
      <c r="B1556" s="105"/>
      <c r="C1556" s="105"/>
      <c r="D1556" s="141" t="s">
        <v>263</v>
      </c>
      <c r="E1556" s="105" t="s">
        <v>1776</v>
      </c>
      <c r="F1556" s="141" t="s">
        <v>1477</v>
      </c>
      <c r="G1556" s="301" t="s">
        <v>1777</v>
      </c>
      <c r="H1556" s="118" t="s">
        <v>1327</v>
      </c>
      <c r="I1556" s="105"/>
      <c r="J1556" s="105"/>
      <c r="K1556" s="118" t="s">
        <v>1479</v>
      </c>
      <c r="L1556" s="261" t="s">
        <v>1411</v>
      </c>
      <c r="M1556" s="159"/>
      <c r="N1556" s="159"/>
      <c r="O1556" s="159"/>
      <c r="P1556" s="159"/>
      <c r="Q1556" s="159"/>
      <c r="R1556" s="159"/>
      <c r="S1556" s="159"/>
    </row>
    <row r="1557" spans="1:19" ht="25">
      <c r="A1557" s="105"/>
      <c r="B1557" s="105"/>
      <c r="C1557" s="105"/>
      <c r="D1557" s="141" t="s">
        <v>263</v>
      </c>
      <c r="E1557" s="105" t="s">
        <v>1778</v>
      </c>
      <c r="F1557" s="141" t="s">
        <v>1477</v>
      </c>
      <c r="G1557" s="301" t="s">
        <v>1779</v>
      </c>
      <c r="H1557" s="118" t="s">
        <v>1327</v>
      </c>
      <c r="I1557" s="105"/>
      <c r="J1557" s="105"/>
      <c r="K1557" s="118" t="s">
        <v>1479</v>
      </c>
      <c r="L1557" s="261" t="s">
        <v>1411</v>
      </c>
      <c r="M1557" s="159"/>
      <c r="N1557" s="159"/>
      <c r="O1557" s="159"/>
      <c r="P1557" s="159"/>
      <c r="Q1557" s="159"/>
      <c r="R1557" s="159"/>
      <c r="S1557" s="159"/>
    </row>
    <row r="1558" spans="1:19" ht="26">
      <c r="A1558" s="105"/>
      <c r="B1558" s="105"/>
      <c r="C1558" s="105"/>
      <c r="D1558" s="141" t="s">
        <v>263</v>
      </c>
      <c r="E1558" s="302" t="s">
        <v>1780</v>
      </c>
      <c r="F1558" s="141" t="s">
        <v>1477</v>
      </c>
      <c r="G1558" s="301" t="s">
        <v>1781</v>
      </c>
      <c r="H1558" s="118" t="s">
        <v>1327</v>
      </c>
      <c r="I1558" s="105"/>
      <c r="J1558" s="105"/>
      <c r="K1558" s="118" t="s">
        <v>1479</v>
      </c>
      <c r="L1558" s="261" t="s">
        <v>1411</v>
      </c>
      <c r="M1558" s="159"/>
      <c r="N1558" s="159"/>
      <c r="O1558" s="159"/>
      <c r="P1558" s="159"/>
      <c r="Q1558" s="159"/>
      <c r="R1558" s="159"/>
      <c r="S1558" s="159"/>
    </row>
    <row r="1559" spans="1:19" ht="25">
      <c r="A1559" s="105"/>
      <c r="B1559" s="105"/>
      <c r="C1559" s="105"/>
      <c r="D1559" s="141" t="s">
        <v>263</v>
      </c>
      <c r="E1559" s="105" t="s">
        <v>1782</v>
      </c>
      <c r="F1559" s="141" t="s">
        <v>1477</v>
      </c>
      <c r="G1559" s="301" t="s">
        <v>1783</v>
      </c>
      <c r="H1559" s="118" t="s">
        <v>1327</v>
      </c>
      <c r="I1559" s="105"/>
      <c r="J1559" s="105"/>
      <c r="K1559" s="118" t="s">
        <v>1479</v>
      </c>
      <c r="L1559" s="261" t="s">
        <v>1411</v>
      </c>
      <c r="M1559" s="159"/>
      <c r="N1559" s="159"/>
      <c r="O1559" s="159"/>
      <c r="P1559" s="159"/>
      <c r="Q1559" s="159"/>
      <c r="R1559" s="159"/>
      <c r="S1559" s="159"/>
    </row>
    <row r="1560" spans="1:19" ht="25">
      <c r="A1560" s="105"/>
      <c r="B1560" s="105"/>
      <c r="C1560" s="105"/>
      <c r="D1560" s="141" t="s">
        <v>263</v>
      </c>
      <c r="E1560" s="105" t="s">
        <v>1784</v>
      </c>
      <c r="F1560" s="141" t="s">
        <v>1477</v>
      </c>
      <c r="G1560" s="301" t="s">
        <v>1785</v>
      </c>
      <c r="H1560" s="118" t="s">
        <v>1327</v>
      </c>
      <c r="I1560" s="105"/>
      <c r="J1560" s="105"/>
      <c r="K1560" s="118" t="s">
        <v>1479</v>
      </c>
      <c r="L1560" s="261" t="s">
        <v>1411</v>
      </c>
      <c r="M1560" s="159"/>
      <c r="N1560" s="159"/>
      <c r="O1560" s="159"/>
      <c r="P1560" s="159"/>
      <c r="Q1560" s="159"/>
      <c r="R1560" s="159"/>
      <c r="S1560" s="159"/>
    </row>
    <row r="1561" spans="1:19" ht="26">
      <c r="A1561" s="105"/>
      <c r="B1561" s="105"/>
      <c r="C1561" s="105"/>
      <c r="D1561" s="141" t="s">
        <v>263</v>
      </c>
      <c r="E1561" s="302" t="s">
        <v>1786</v>
      </c>
      <c r="F1561" s="141" t="s">
        <v>1477</v>
      </c>
      <c r="G1561" s="301" t="s">
        <v>1787</v>
      </c>
      <c r="H1561" s="118" t="s">
        <v>1327</v>
      </c>
      <c r="I1561" s="105"/>
      <c r="J1561" s="105"/>
      <c r="K1561" s="118" t="s">
        <v>1479</v>
      </c>
      <c r="L1561" s="261" t="s">
        <v>1411</v>
      </c>
      <c r="M1561" s="159"/>
      <c r="N1561" s="159"/>
      <c r="O1561" s="159"/>
      <c r="P1561" s="159"/>
      <c r="Q1561" s="159"/>
      <c r="R1561" s="159"/>
      <c r="S1561" s="159"/>
    </row>
    <row r="1562" spans="1:19" ht="25">
      <c r="A1562" s="105"/>
      <c r="B1562" s="105"/>
      <c r="C1562" s="105"/>
      <c r="D1562" s="141" t="s">
        <v>263</v>
      </c>
      <c r="E1562" s="105" t="s">
        <v>1788</v>
      </c>
      <c r="F1562" s="141" t="s">
        <v>1477</v>
      </c>
      <c r="G1562" s="301" t="s">
        <v>1789</v>
      </c>
      <c r="H1562" s="118" t="s">
        <v>1327</v>
      </c>
      <c r="I1562" s="105"/>
      <c r="J1562" s="105"/>
      <c r="K1562" s="118" t="s">
        <v>1479</v>
      </c>
      <c r="L1562" s="261" t="s">
        <v>1411</v>
      </c>
      <c r="M1562" s="159"/>
      <c r="N1562" s="159"/>
      <c r="O1562" s="159"/>
      <c r="P1562" s="159"/>
      <c r="Q1562" s="159"/>
      <c r="R1562" s="159"/>
      <c r="S1562" s="159"/>
    </row>
    <row r="1563" spans="1:19" ht="25">
      <c r="A1563" s="105"/>
      <c r="B1563" s="105"/>
      <c r="C1563" s="105"/>
      <c r="D1563" s="141" t="s">
        <v>263</v>
      </c>
      <c r="E1563" s="105" t="s">
        <v>1790</v>
      </c>
      <c r="F1563" s="141" t="s">
        <v>1477</v>
      </c>
      <c r="G1563" s="301" t="s">
        <v>1791</v>
      </c>
      <c r="H1563" s="118" t="s">
        <v>1327</v>
      </c>
      <c r="I1563" s="105"/>
      <c r="J1563" s="105"/>
      <c r="K1563" s="118" t="s">
        <v>1479</v>
      </c>
      <c r="L1563" s="261" t="s">
        <v>1411</v>
      </c>
      <c r="M1563" s="159"/>
      <c r="N1563" s="159"/>
      <c r="O1563" s="159"/>
      <c r="P1563" s="159"/>
      <c r="Q1563" s="159"/>
      <c r="R1563" s="159"/>
      <c r="S1563" s="159"/>
    </row>
    <row r="1564" spans="1:19" ht="26">
      <c r="A1564" s="105"/>
      <c r="B1564" s="105"/>
      <c r="C1564" s="105"/>
      <c r="D1564" s="141" t="s">
        <v>263</v>
      </c>
      <c r="E1564" s="302" t="s">
        <v>1792</v>
      </c>
      <c r="F1564" s="141" t="s">
        <v>1477</v>
      </c>
      <c r="G1564" s="301" t="s">
        <v>1793</v>
      </c>
      <c r="H1564" s="118" t="s">
        <v>1327</v>
      </c>
      <c r="I1564" s="105"/>
      <c r="J1564" s="105"/>
      <c r="K1564" s="118" t="s">
        <v>1479</v>
      </c>
      <c r="L1564" s="261" t="s">
        <v>1411</v>
      </c>
      <c r="M1564" s="159"/>
      <c r="N1564" s="159"/>
      <c r="O1564" s="159"/>
      <c r="P1564" s="159"/>
      <c r="Q1564" s="159"/>
      <c r="R1564" s="159"/>
      <c r="S1564" s="159"/>
    </row>
    <row r="1565" spans="1:19" ht="25">
      <c r="A1565" s="105"/>
      <c r="B1565" s="105"/>
      <c r="C1565" s="105"/>
      <c r="D1565" s="141" t="s">
        <v>263</v>
      </c>
      <c r="E1565" s="105" t="s">
        <v>1794</v>
      </c>
      <c r="F1565" s="141" t="s">
        <v>1477</v>
      </c>
      <c r="G1565" s="301" t="s">
        <v>1795</v>
      </c>
      <c r="H1565" s="118" t="s">
        <v>1327</v>
      </c>
      <c r="I1565" s="105"/>
      <c r="J1565" s="105"/>
      <c r="K1565" s="118" t="s">
        <v>1479</v>
      </c>
      <c r="L1565" s="261" t="s">
        <v>1411</v>
      </c>
      <c r="M1565" s="159"/>
      <c r="N1565" s="159"/>
      <c r="O1565" s="159"/>
      <c r="P1565" s="159"/>
      <c r="Q1565" s="159"/>
      <c r="R1565" s="159"/>
      <c r="S1565" s="159"/>
    </row>
    <row r="1566" spans="1:19" ht="25">
      <c r="A1566" s="105"/>
      <c r="B1566" s="105"/>
      <c r="C1566" s="105"/>
      <c r="D1566" s="141" t="s">
        <v>263</v>
      </c>
      <c r="E1566" s="105" t="s">
        <v>1796</v>
      </c>
      <c r="F1566" s="141" t="s">
        <v>1477</v>
      </c>
      <c r="G1566" s="301" t="s">
        <v>1797</v>
      </c>
      <c r="H1566" s="118" t="s">
        <v>1327</v>
      </c>
      <c r="I1566" s="105"/>
      <c r="J1566" s="105"/>
      <c r="K1566" s="118" t="s">
        <v>1479</v>
      </c>
      <c r="L1566" s="261" t="s">
        <v>1411</v>
      </c>
      <c r="M1566" s="159"/>
      <c r="N1566" s="159"/>
      <c r="O1566" s="159"/>
      <c r="P1566" s="159"/>
      <c r="Q1566" s="159"/>
      <c r="R1566" s="159"/>
      <c r="S1566" s="159"/>
    </row>
    <row r="1567" spans="1:19" ht="26">
      <c r="A1567" s="105"/>
      <c r="B1567" s="105"/>
      <c r="C1567" s="105"/>
      <c r="D1567" s="141" t="s">
        <v>263</v>
      </c>
      <c r="E1567" s="302" t="s">
        <v>1798</v>
      </c>
      <c r="F1567" s="141" t="s">
        <v>1477</v>
      </c>
      <c r="G1567" s="301" t="s">
        <v>1799</v>
      </c>
      <c r="H1567" s="118" t="s">
        <v>1327</v>
      </c>
      <c r="I1567" s="105"/>
      <c r="J1567" s="105"/>
      <c r="K1567" s="118" t="s">
        <v>1479</v>
      </c>
      <c r="L1567" s="261" t="s">
        <v>1411</v>
      </c>
      <c r="M1567" s="159"/>
      <c r="N1567" s="159"/>
      <c r="O1567" s="159"/>
      <c r="P1567" s="159"/>
      <c r="Q1567" s="159"/>
      <c r="R1567" s="159"/>
      <c r="S1567" s="159"/>
    </row>
    <row r="1568" spans="1:19" ht="25">
      <c r="A1568" s="105"/>
      <c r="B1568" s="105"/>
      <c r="C1568" s="105"/>
      <c r="D1568" s="141" t="s">
        <v>263</v>
      </c>
      <c r="E1568" s="105" t="s">
        <v>1800</v>
      </c>
      <c r="F1568" s="141" t="s">
        <v>1477</v>
      </c>
      <c r="G1568" s="301" t="s">
        <v>1801</v>
      </c>
      <c r="H1568" s="118" t="s">
        <v>1327</v>
      </c>
      <c r="I1568" s="105"/>
      <c r="J1568" s="105"/>
      <c r="K1568" s="118" t="s">
        <v>1479</v>
      </c>
      <c r="L1568" s="261" t="s">
        <v>1411</v>
      </c>
      <c r="M1568" s="159"/>
      <c r="N1568" s="159"/>
      <c r="O1568" s="159"/>
      <c r="P1568" s="159"/>
      <c r="Q1568" s="159"/>
      <c r="R1568" s="159"/>
      <c r="S1568" s="159"/>
    </row>
    <row r="1569" spans="1:19" ht="25">
      <c r="A1569" s="105"/>
      <c r="B1569" s="105"/>
      <c r="C1569" s="105"/>
      <c r="D1569" s="141" t="s">
        <v>263</v>
      </c>
      <c r="E1569" s="105" t="s">
        <v>1802</v>
      </c>
      <c r="F1569" s="141" t="s">
        <v>1477</v>
      </c>
      <c r="G1569" s="301" t="s">
        <v>1803</v>
      </c>
      <c r="H1569" s="118" t="s">
        <v>1327</v>
      </c>
      <c r="I1569" s="105"/>
      <c r="J1569" s="105"/>
      <c r="K1569" s="118" t="s">
        <v>1479</v>
      </c>
      <c r="L1569" s="261" t="s">
        <v>1411</v>
      </c>
      <c r="M1569" s="159"/>
      <c r="N1569" s="159"/>
      <c r="O1569" s="159"/>
      <c r="P1569" s="159"/>
      <c r="Q1569" s="159"/>
      <c r="R1569" s="159"/>
      <c r="S1569" s="159"/>
    </row>
    <row r="1570" spans="1:19" ht="26">
      <c r="A1570" s="105"/>
      <c r="B1570" s="105"/>
      <c r="C1570" s="105"/>
      <c r="D1570" s="141" t="s">
        <v>263</v>
      </c>
      <c r="E1570" s="302" t="s">
        <v>1804</v>
      </c>
      <c r="F1570" s="141" t="s">
        <v>1477</v>
      </c>
      <c r="G1570" s="301" t="s">
        <v>1805</v>
      </c>
      <c r="H1570" s="118" t="s">
        <v>1327</v>
      </c>
      <c r="I1570" s="105"/>
      <c r="J1570" s="105"/>
      <c r="K1570" s="118" t="s">
        <v>1479</v>
      </c>
      <c r="L1570" s="261" t="s">
        <v>1411</v>
      </c>
      <c r="M1570" s="159"/>
      <c r="N1570" s="159"/>
      <c r="O1570" s="159"/>
      <c r="P1570" s="159"/>
      <c r="Q1570" s="159"/>
      <c r="R1570" s="159"/>
      <c r="S1570" s="159"/>
    </row>
    <row r="1571" spans="1:19" ht="25">
      <c r="A1571" s="105"/>
      <c r="B1571" s="105"/>
      <c r="C1571" s="105"/>
      <c r="D1571" s="141" t="s">
        <v>263</v>
      </c>
      <c r="E1571" s="105" t="s">
        <v>1806</v>
      </c>
      <c r="F1571" s="141" t="s">
        <v>1477</v>
      </c>
      <c r="G1571" s="301" t="s">
        <v>1807</v>
      </c>
      <c r="H1571" s="118" t="s">
        <v>1327</v>
      </c>
      <c r="I1571" s="105"/>
      <c r="J1571" s="105"/>
      <c r="K1571" s="118" t="s">
        <v>1479</v>
      </c>
      <c r="L1571" s="261" t="s">
        <v>1411</v>
      </c>
      <c r="M1571" s="159"/>
      <c r="N1571" s="159"/>
      <c r="O1571" s="159"/>
      <c r="P1571" s="159"/>
      <c r="Q1571" s="159"/>
      <c r="R1571" s="159"/>
      <c r="S1571" s="159"/>
    </row>
    <row r="1572" spans="1:19" ht="25">
      <c r="A1572" s="105"/>
      <c r="B1572" s="105"/>
      <c r="C1572" s="105"/>
      <c r="D1572" s="141" t="s">
        <v>263</v>
      </c>
      <c r="E1572" s="105" t="s">
        <v>1808</v>
      </c>
      <c r="F1572" s="141" t="s">
        <v>1477</v>
      </c>
      <c r="G1572" s="301" t="s">
        <v>1809</v>
      </c>
      <c r="H1572" s="118" t="s">
        <v>1327</v>
      </c>
      <c r="I1572" s="105"/>
      <c r="J1572" s="105"/>
      <c r="K1572" s="118" t="s">
        <v>1479</v>
      </c>
      <c r="L1572" s="261" t="s">
        <v>1411</v>
      </c>
      <c r="M1572" s="159"/>
      <c r="N1572" s="159"/>
      <c r="O1572" s="159"/>
      <c r="P1572" s="159"/>
      <c r="Q1572" s="159"/>
      <c r="R1572" s="159"/>
      <c r="S1572" s="159"/>
    </row>
    <row r="1573" spans="1:19" ht="26">
      <c r="A1573" s="105"/>
      <c r="B1573" s="105"/>
      <c r="C1573" s="105"/>
      <c r="D1573" s="141" t="s">
        <v>263</v>
      </c>
      <c r="E1573" s="302" t="s">
        <v>1810</v>
      </c>
      <c r="F1573" s="141" t="s">
        <v>1477</v>
      </c>
      <c r="G1573" s="301" t="s">
        <v>1811</v>
      </c>
      <c r="H1573" s="118" t="s">
        <v>1327</v>
      </c>
      <c r="I1573" s="105"/>
      <c r="J1573" s="105"/>
      <c r="K1573" s="118" t="s">
        <v>1479</v>
      </c>
      <c r="L1573" s="261" t="s">
        <v>1411</v>
      </c>
      <c r="M1573" s="159"/>
      <c r="N1573" s="159"/>
      <c r="O1573" s="159"/>
      <c r="P1573" s="159"/>
      <c r="Q1573" s="159"/>
      <c r="R1573" s="159"/>
      <c r="S1573" s="159"/>
    </row>
    <row r="1574" spans="1:19" ht="25">
      <c r="A1574" s="105"/>
      <c r="B1574" s="105"/>
      <c r="C1574" s="105"/>
      <c r="D1574" s="141" t="s">
        <v>263</v>
      </c>
      <c r="E1574" s="105" t="s">
        <v>1812</v>
      </c>
      <c r="F1574" s="141" t="s">
        <v>1477</v>
      </c>
      <c r="G1574" s="301" t="s">
        <v>1813</v>
      </c>
      <c r="H1574" s="118" t="s">
        <v>1327</v>
      </c>
      <c r="I1574" s="105"/>
      <c r="J1574" s="105"/>
      <c r="K1574" s="118" t="s">
        <v>1479</v>
      </c>
      <c r="L1574" s="261" t="s">
        <v>1411</v>
      </c>
      <c r="M1574" s="159"/>
      <c r="N1574" s="159"/>
      <c r="O1574" s="159"/>
      <c r="P1574" s="159"/>
      <c r="Q1574" s="159"/>
      <c r="R1574" s="159"/>
      <c r="S1574" s="159"/>
    </row>
    <row r="1575" spans="1:19" ht="25">
      <c r="A1575" s="105"/>
      <c r="B1575" s="105"/>
      <c r="C1575" s="105"/>
      <c r="D1575" s="141" t="s">
        <v>263</v>
      </c>
      <c r="E1575" s="105" t="s">
        <v>1814</v>
      </c>
      <c r="F1575" s="141" t="s">
        <v>1477</v>
      </c>
      <c r="G1575" s="301" t="s">
        <v>1815</v>
      </c>
      <c r="H1575" s="118" t="s">
        <v>1327</v>
      </c>
      <c r="I1575" s="105"/>
      <c r="J1575" s="105"/>
      <c r="K1575" s="118" t="s">
        <v>1479</v>
      </c>
      <c r="L1575" s="261" t="s">
        <v>1411</v>
      </c>
      <c r="M1575" s="159"/>
      <c r="N1575" s="159"/>
      <c r="O1575" s="159"/>
      <c r="P1575" s="159"/>
      <c r="Q1575" s="159"/>
      <c r="R1575" s="159"/>
      <c r="S1575" s="159"/>
    </row>
    <row r="1576" spans="1:19" ht="26">
      <c r="A1576" s="105"/>
      <c r="B1576" s="105"/>
      <c r="C1576" s="105"/>
      <c r="D1576" s="141" t="s">
        <v>263</v>
      </c>
      <c r="E1576" s="302" t="s">
        <v>1816</v>
      </c>
      <c r="F1576" s="141" t="s">
        <v>1477</v>
      </c>
      <c r="G1576" s="301" t="s">
        <v>1817</v>
      </c>
      <c r="H1576" s="118" t="s">
        <v>1327</v>
      </c>
      <c r="I1576" s="105"/>
      <c r="J1576" s="105"/>
      <c r="K1576" s="118" t="s">
        <v>1479</v>
      </c>
      <c r="L1576" s="261" t="s">
        <v>1411</v>
      </c>
      <c r="M1576" s="159"/>
      <c r="N1576" s="159"/>
      <c r="O1576" s="159"/>
      <c r="P1576" s="159"/>
      <c r="Q1576" s="159"/>
      <c r="R1576" s="159"/>
      <c r="S1576" s="159"/>
    </row>
    <row r="1577" spans="1:19" ht="25">
      <c r="A1577" s="105"/>
      <c r="B1577" s="105"/>
      <c r="C1577" s="105"/>
      <c r="D1577" s="141" t="s">
        <v>263</v>
      </c>
      <c r="E1577" s="105" t="s">
        <v>1818</v>
      </c>
      <c r="F1577" s="141" t="s">
        <v>1477</v>
      </c>
      <c r="G1577" s="301" t="s">
        <v>1819</v>
      </c>
      <c r="H1577" s="118" t="s">
        <v>1327</v>
      </c>
      <c r="I1577" s="105"/>
      <c r="J1577" s="105"/>
      <c r="K1577" s="118" t="s">
        <v>1479</v>
      </c>
      <c r="L1577" s="261" t="s">
        <v>1411</v>
      </c>
      <c r="M1577" s="159"/>
      <c r="N1577" s="159"/>
      <c r="O1577" s="159"/>
      <c r="P1577" s="159"/>
      <c r="Q1577" s="159"/>
      <c r="R1577" s="159"/>
      <c r="S1577" s="159"/>
    </row>
    <row r="1578" spans="1:19" ht="25">
      <c r="A1578" s="105"/>
      <c r="B1578" s="105"/>
      <c r="C1578" s="105"/>
      <c r="D1578" s="141" t="s">
        <v>263</v>
      </c>
      <c r="E1578" s="105" t="s">
        <v>1820</v>
      </c>
      <c r="F1578" s="141" t="s">
        <v>1477</v>
      </c>
      <c r="G1578" s="301" t="s">
        <v>1821</v>
      </c>
      <c r="H1578" s="118" t="s">
        <v>1327</v>
      </c>
      <c r="I1578" s="105"/>
      <c r="J1578" s="105"/>
      <c r="K1578" s="118" t="s">
        <v>1479</v>
      </c>
      <c r="L1578" s="261" t="s">
        <v>1411</v>
      </c>
      <c r="M1578" s="159"/>
      <c r="N1578" s="159"/>
      <c r="O1578" s="159"/>
      <c r="P1578" s="159"/>
      <c r="Q1578" s="159"/>
      <c r="R1578" s="159"/>
      <c r="S1578" s="159"/>
    </row>
    <row r="1579" spans="1:19" ht="26">
      <c r="A1579" s="105"/>
      <c r="B1579" s="105"/>
      <c r="C1579" s="105"/>
      <c r="D1579" s="141" t="s">
        <v>263</v>
      </c>
      <c r="E1579" s="302" t="s">
        <v>1822</v>
      </c>
      <c r="F1579" s="141" t="s">
        <v>1477</v>
      </c>
      <c r="G1579" s="301" t="s">
        <v>1823</v>
      </c>
      <c r="H1579" s="118" t="s">
        <v>1327</v>
      </c>
      <c r="I1579" s="105"/>
      <c r="J1579" s="105"/>
      <c r="K1579" s="118" t="s">
        <v>1479</v>
      </c>
      <c r="L1579" s="261" t="s">
        <v>1411</v>
      </c>
      <c r="M1579" s="159"/>
      <c r="N1579" s="159"/>
      <c r="O1579" s="159"/>
      <c r="P1579" s="159"/>
      <c r="Q1579" s="159"/>
      <c r="R1579" s="159"/>
      <c r="S1579" s="159"/>
    </row>
    <row r="1580" spans="1:19" ht="25">
      <c r="A1580" s="105"/>
      <c r="B1580" s="105"/>
      <c r="C1580" s="105"/>
      <c r="D1580" s="141" t="s">
        <v>263</v>
      </c>
      <c r="E1580" s="105" t="s">
        <v>1824</v>
      </c>
      <c r="F1580" s="141" t="s">
        <v>1477</v>
      </c>
      <c r="G1580" s="301" t="s">
        <v>1825</v>
      </c>
      <c r="H1580" s="118" t="s">
        <v>1327</v>
      </c>
      <c r="I1580" s="105"/>
      <c r="J1580" s="105"/>
      <c r="K1580" s="118" t="s">
        <v>1479</v>
      </c>
      <c r="L1580" s="261" t="s">
        <v>1411</v>
      </c>
      <c r="M1580" s="159"/>
      <c r="N1580" s="159"/>
      <c r="O1580" s="159"/>
      <c r="P1580" s="159"/>
      <c r="Q1580" s="159"/>
      <c r="R1580" s="159"/>
      <c r="S1580" s="159"/>
    </row>
    <row r="1581" spans="1:19" ht="25">
      <c r="A1581" s="105"/>
      <c r="B1581" s="105"/>
      <c r="C1581" s="105"/>
      <c r="D1581" s="141" t="s">
        <v>263</v>
      </c>
      <c r="E1581" s="105" t="s">
        <v>1826</v>
      </c>
      <c r="F1581" s="141" t="s">
        <v>1477</v>
      </c>
      <c r="G1581" s="301" t="s">
        <v>1827</v>
      </c>
      <c r="H1581" s="118" t="s">
        <v>1327</v>
      </c>
      <c r="I1581" s="105"/>
      <c r="J1581" s="105"/>
      <c r="K1581" s="118" t="s">
        <v>1479</v>
      </c>
      <c r="L1581" s="261" t="s">
        <v>1411</v>
      </c>
      <c r="M1581" s="159"/>
      <c r="N1581" s="159"/>
      <c r="O1581" s="159"/>
      <c r="P1581" s="159"/>
      <c r="Q1581" s="159"/>
      <c r="R1581" s="159"/>
      <c r="S1581" s="159"/>
    </row>
    <row r="1582" spans="1:19" ht="26">
      <c r="A1582" s="105"/>
      <c r="B1582" s="105"/>
      <c r="C1582" s="105"/>
      <c r="D1582" s="141" t="s">
        <v>263</v>
      </c>
      <c r="E1582" s="302" t="s">
        <v>1828</v>
      </c>
      <c r="F1582" s="141" t="s">
        <v>1477</v>
      </c>
      <c r="G1582" s="301" t="s">
        <v>1829</v>
      </c>
      <c r="H1582" s="118" t="s">
        <v>1327</v>
      </c>
      <c r="I1582" s="105"/>
      <c r="J1582" s="105"/>
      <c r="K1582" s="118" t="s">
        <v>1479</v>
      </c>
      <c r="L1582" s="261" t="s">
        <v>1411</v>
      </c>
      <c r="M1582" s="159"/>
      <c r="N1582" s="159"/>
      <c r="O1582" s="159"/>
      <c r="P1582" s="159"/>
      <c r="Q1582" s="159"/>
      <c r="R1582" s="159"/>
      <c r="S1582" s="159"/>
    </row>
    <row r="1583" spans="1:19" ht="25">
      <c r="A1583" s="105"/>
      <c r="B1583" s="105"/>
      <c r="C1583" s="105"/>
      <c r="D1583" s="141" t="s">
        <v>263</v>
      </c>
      <c r="E1583" s="105" t="s">
        <v>1830</v>
      </c>
      <c r="F1583" s="141" t="s">
        <v>1477</v>
      </c>
      <c r="G1583" s="301" t="s">
        <v>1831</v>
      </c>
      <c r="H1583" s="118" t="s">
        <v>1327</v>
      </c>
      <c r="I1583" s="105"/>
      <c r="J1583" s="105"/>
      <c r="K1583" s="118" t="s">
        <v>1479</v>
      </c>
      <c r="L1583" s="261" t="s">
        <v>1411</v>
      </c>
      <c r="M1583" s="159"/>
      <c r="N1583" s="159"/>
      <c r="O1583" s="159"/>
      <c r="P1583" s="159"/>
      <c r="Q1583" s="159"/>
      <c r="R1583" s="159"/>
      <c r="S1583" s="159"/>
    </row>
    <row r="1584" spans="1:19" ht="25">
      <c r="A1584" s="105"/>
      <c r="B1584" s="105"/>
      <c r="C1584" s="105"/>
      <c r="D1584" s="141" t="s">
        <v>263</v>
      </c>
      <c r="E1584" s="105" t="s">
        <v>1832</v>
      </c>
      <c r="F1584" s="141" t="s">
        <v>1477</v>
      </c>
      <c r="G1584" s="301" t="s">
        <v>1833</v>
      </c>
      <c r="H1584" s="118" t="s">
        <v>1327</v>
      </c>
      <c r="I1584" s="105"/>
      <c r="J1584" s="105"/>
      <c r="K1584" s="118" t="s">
        <v>1479</v>
      </c>
      <c r="L1584" s="261" t="s">
        <v>1411</v>
      </c>
      <c r="M1584" s="159"/>
      <c r="N1584" s="159"/>
      <c r="O1584" s="159"/>
      <c r="P1584" s="159"/>
      <c r="Q1584" s="159"/>
      <c r="R1584" s="159"/>
      <c r="S1584" s="159"/>
    </row>
    <row r="1585" spans="1:16384" ht="26">
      <c r="A1585" s="105"/>
      <c r="B1585" s="105"/>
      <c r="C1585" s="105"/>
      <c r="D1585" s="141" t="s">
        <v>263</v>
      </c>
      <c r="E1585" s="302" t="s">
        <v>1834</v>
      </c>
      <c r="F1585" s="141" t="s">
        <v>1477</v>
      </c>
      <c r="G1585" s="301" t="s">
        <v>1835</v>
      </c>
      <c r="H1585" s="118" t="s">
        <v>1327</v>
      </c>
      <c r="I1585" s="105"/>
      <c r="J1585" s="105"/>
      <c r="K1585" s="118" t="s">
        <v>1479</v>
      </c>
      <c r="L1585" s="261" t="s">
        <v>1411</v>
      </c>
      <c r="M1585" s="159"/>
      <c r="N1585" s="159"/>
      <c r="O1585" s="159"/>
      <c r="P1585" s="159"/>
      <c r="Q1585" s="159"/>
      <c r="R1585" s="159"/>
      <c r="S1585" s="159"/>
    </row>
    <row r="1586" spans="1:16384" ht="50">
      <c r="A1586" s="118" t="s">
        <v>1417</v>
      </c>
      <c r="B1586" s="141"/>
      <c r="C1586" s="141"/>
      <c r="D1586" s="141" t="s">
        <v>263</v>
      </c>
      <c r="E1586" s="118" t="s">
        <v>1836</v>
      </c>
      <c r="F1586" s="141" t="s">
        <v>1477</v>
      </c>
      <c r="G1586" s="141" t="s">
        <v>1837</v>
      </c>
      <c r="H1586" s="118" t="s">
        <v>1293</v>
      </c>
      <c r="I1586" s="118"/>
      <c r="J1586" s="141"/>
      <c r="K1586" s="118" t="s">
        <v>1479</v>
      </c>
      <c r="L1586" s="261" t="s">
        <v>1411</v>
      </c>
      <c r="M1586" s="159"/>
      <c r="N1586" s="159"/>
      <c r="O1586" s="159"/>
      <c r="P1586" s="159"/>
      <c r="Q1586" s="159"/>
      <c r="R1586" s="159"/>
      <c r="S1586" s="159"/>
    </row>
    <row r="1587" spans="1:16384" ht="75">
      <c r="A1587" s="118" t="s">
        <v>1417</v>
      </c>
      <c r="B1587" s="141"/>
      <c r="C1587" s="141"/>
      <c r="D1587" s="141" t="s">
        <v>263</v>
      </c>
      <c r="E1587" s="118" t="s">
        <v>1838</v>
      </c>
      <c r="F1587" s="141" t="s">
        <v>1477</v>
      </c>
      <c r="G1587" s="141" t="s">
        <v>1839</v>
      </c>
      <c r="H1587" s="118" t="s">
        <v>1293</v>
      </c>
      <c r="I1587" s="118"/>
      <c r="J1587" s="141"/>
      <c r="K1587" s="118" t="s">
        <v>1479</v>
      </c>
      <c r="L1587" s="261" t="s">
        <v>1411</v>
      </c>
      <c r="M1587" s="159"/>
      <c r="N1587" s="159"/>
      <c r="O1587" s="159"/>
      <c r="P1587" s="159"/>
      <c r="Q1587" s="159"/>
      <c r="R1587" s="159"/>
      <c r="S1587" s="159"/>
    </row>
    <row r="1588" spans="1:16384" customFormat="1" ht="174">
      <c r="A1588" s="118" t="s">
        <v>1417</v>
      </c>
      <c r="B1588" s="41"/>
      <c r="C1588" s="41"/>
      <c r="D1588" s="141" t="s">
        <v>263</v>
      </c>
      <c r="E1588" s="51" t="s">
        <v>1840</v>
      </c>
      <c r="F1588" s="141" t="s">
        <v>1477</v>
      </c>
      <c r="G1588" s="141" t="s">
        <v>1841</v>
      </c>
      <c r="H1588" s="118" t="s">
        <v>267</v>
      </c>
      <c r="I1588" s="41"/>
      <c r="J1588" s="41"/>
      <c r="K1588" s="118" t="s">
        <v>1479</v>
      </c>
      <c r="L1588" s="261" t="s">
        <v>1411</v>
      </c>
    </row>
    <row r="1589" spans="1:16384" customFormat="1" ht="14.5"/>
    <row r="1590" spans="1:16384" s="291" customFormat="1" ht="13">
      <c r="A1590" s="518" t="s">
        <v>1842</v>
      </c>
      <c r="B1590" s="523"/>
      <c r="C1590" s="523"/>
      <c r="D1590" s="523"/>
      <c r="E1590" s="523"/>
      <c r="F1590" s="523"/>
      <c r="G1590" s="523"/>
      <c r="H1590" s="523"/>
      <c r="I1590" s="523"/>
      <c r="J1590" s="523"/>
      <c r="K1590" s="523"/>
      <c r="L1590" s="536"/>
      <c r="M1590" s="536"/>
      <c r="N1590" s="536"/>
      <c r="O1590" s="536"/>
      <c r="P1590" s="536"/>
      <c r="Q1590" s="536"/>
      <c r="R1590" s="536"/>
      <c r="S1590" s="536"/>
      <c r="T1590" s="536"/>
      <c r="U1590" s="536"/>
      <c r="V1590" s="536"/>
      <c r="W1590" s="536"/>
      <c r="X1590" s="536"/>
      <c r="Y1590" s="536"/>
      <c r="Z1590" s="536"/>
      <c r="AA1590" s="536"/>
      <c r="AB1590" s="536"/>
      <c r="AC1590" s="536"/>
      <c r="AD1590" s="536"/>
      <c r="AE1590" s="536"/>
      <c r="AF1590" s="536"/>
      <c r="AG1590" s="536"/>
      <c r="AH1590" s="527"/>
      <c r="AI1590" s="528"/>
      <c r="AJ1590" s="528"/>
      <c r="AK1590" s="528"/>
      <c r="AL1590" s="528"/>
      <c r="AM1590" s="528"/>
      <c r="AN1590" s="528"/>
      <c r="AO1590" s="528"/>
      <c r="AP1590" s="528"/>
      <c r="AQ1590" s="528"/>
      <c r="AR1590" s="528"/>
      <c r="AS1590" s="527"/>
      <c r="AT1590" s="528"/>
      <c r="AU1590" s="528"/>
      <c r="AV1590" s="528"/>
      <c r="AW1590" s="528"/>
      <c r="AX1590" s="528"/>
      <c r="AY1590" s="528"/>
      <c r="AZ1590" s="528"/>
      <c r="BA1590" s="528"/>
      <c r="BB1590" s="528"/>
      <c r="BC1590" s="528"/>
      <c r="BD1590" s="527"/>
      <c r="BE1590" s="528"/>
      <c r="BF1590" s="528"/>
      <c r="BG1590" s="528"/>
      <c r="BH1590" s="528"/>
      <c r="BI1590" s="528"/>
      <c r="BJ1590" s="528"/>
      <c r="BK1590" s="528"/>
      <c r="BL1590" s="528"/>
      <c r="BM1590" s="528"/>
      <c r="BN1590" s="528"/>
      <c r="BO1590" s="527"/>
      <c r="BP1590" s="528"/>
      <c r="BQ1590" s="528"/>
      <c r="BR1590" s="528"/>
      <c r="BS1590" s="528"/>
      <c r="BT1590" s="528"/>
      <c r="BU1590" s="528"/>
      <c r="BV1590" s="528"/>
      <c r="BW1590" s="528"/>
      <c r="BX1590" s="528"/>
      <c r="BY1590" s="528"/>
      <c r="BZ1590" s="527"/>
      <c r="CA1590" s="528"/>
      <c r="CB1590" s="528"/>
      <c r="CC1590" s="528"/>
      <c r="CD1590" s="528"/>
      <c r="CE1590" s="528"/>
      <c r="CF1590" s="528"/>
      <c r="CG1590" s="528"/>
      <c r="CH1590" s="528"/>
      <c r="CI1590" s="528"/>
      <c r="CJ1590" s="528"/>
      <c r="CK1590" s="527"/>
      <c r="CL1590" s="528"/>
      <c r="CM1590" s="528"/>
      <c r="CN1590" s="528"/>
      <c r="CO1590" s="528"/>
      <c r="CP1590" s="528"/>
      <c r="CQ1590" s="528"/>
      <c r="CR1590" s="528"/>
      <c r="CS1590" s="528"/>
      <c r="CT1590" s="528"/>
      <c r="CU1590" s="528"/>
      <c r="CV1590" s="527"/>
      <c r="CW1590" s="528"/>
      <c r="CX1590" s="528"/>
      <c r="CY1590" s="528"/>
      <c r="CZ1590" s="528"/>
      <c r="DA1590" s="528"/>
      <c r="DB1590" s="528"/>
      <c r="DC1590" s="528"/>
      <c r="DD1590" s="528"/>
      <c r="DE1590" s="528"/>
      <c r="DF1590" s="528"/>
      <c r="DG1590" s="527"/>
      <c r="DH1590" s="528"/>
      <c r="DI1590" s="528"/>
      <c r="DJ1590" s="528"/>
      <c r="DK1590" s="528"/>
      <c r="DL1590" s="528"/>
      <c r="DM1590" s="528"/>
      <c r="DN1590" s="528"/>
      <c r="DO1590" s="528"/>
      <c r="DP1590" s="528"/>
      <c r="DQ1590" s="528"/>
      <c r="DR1590" s="527"/>
      <c r="DS1590" s="528"/>
      <c r="DT1590" s="528"/>
      <c r="DU1590" s="528"/>
      <c r="DV1590" s="528"/>
      <c r="DW1590" s="528"/>
      <c r="DX1590" s="528"/>
      <c r="DY1590" s="528"/>
      <c r="DZ1590" s="528"/>
      <c r="EA1590" s="528"/>
      <c r="EB1590" s="528"/>
      <c r="EC1590" s="527"/>
      <c r="ED1590" s="528"/>
      <c r="EE1590" s="528"/>
      <c r="EF1590" s="528"/>
      <c r="EG1590" s="528"/>
      <c r="EH1590" s="528"/>
      <c r="EI1590" s="528"/>
      <c r="EJ1590" s="528"/>
      <c r="EK1590" s="528"/>
      <c r="EL1590" s="528"/>
      <c r="EM1590" s="528"/>
      <c r="EN1590" s="527"/>
      <c r="EO1590" s="528"/>
      <c r="EP1590" s="528"/>
      <c r="EQ1590" s="528"/>
      <c r="ER1590" s="528"/>
      <c r="ES1590" s="528"/>
      <c r="ET1590" s="528"/>
      <c r="EU1590" s="528"/>
      <c r="EV1590" s="528"/>
      <c r="EW1590" s="528"/>
      <c r="EX1590" s="528"/>
      <c r="EY1590" s="527"/>
      <c r="EZ1590" s="528"/>
      <c r="FA1590" s="528"/>
      <c r="FB1590" s="528"/>
      <c r="FC1590" s="528"/>
      <c r="FD1590" s="528"/>
      <c r="FE1590" s="528"/>
      <c r="FF1590" s="528"/>
      <c r="FG1590" s="528"/>
      <c r="FH1590" s="528"/>
      <c r="FI1590" s="528"/>
      <c r="FJ1590" s="527"/>
      <c r="FK1590" s="528"/>
      <c r="FL1590" s="528"/>
      <c r="FM1590" s="528"/>
      <c r="FN1590" s="528"/>
      <c r="FO1590" s="528"/>
      <c r="FP1590" s="528"/>
      <c r="FQ1590" s="528"/>
      <c r="FR1590" s="528"/>
      <c r="FS1590" s="528"/>
      <c r="FT1590" s="528"/>
      <c r="FU1590" s="527"/>
      <c r="FV1590" s="528"/>
      <c r="FW1590" s="528"/>
      <c r="FX1590" s="528"/>
      <c r="FY1590" s="528"/>
      <c r="FZ1590" s="528"/>
      <c r="GA1590" s="528"/>
      <c r="GB1590" s="528"/>
      <c r="GC1590" s="528"/>
      <c r="GD1590" s="528"/>
      <c r="GE1590" s="528"/>
      <c r="GF1590" s="527"/>
      <c r="GG1590" s="528"/>
      <c r="GH1590" s="528"/>
      <c r="GI1590" s="528"/>
      <c r="GJ1590" s="528"/>
      <c r="GK1590" s="528"/>
      <c r="GL1590" s="528"/>
      <c r="GM1590" s="528"/>
      <c r="GN1590" s="528"/>
      <c r="GO1590" s="528"/>
      <c r="GP1590" s="528"/>
      <c r="GQ1590" s="527"/>
      <c r="GR1590" s="528"/>
      <c r="GS1590" s="528"/>
      <c r="GT1590" s="528"/>
      <c r="GU1590" s="528"/>
      <c r="GV1590" s="528"/>
      <c r="GW1590" s="528"/>
      <c r="GX1590" s="528"/>
      <c r="GY1590" s="528"/>
      <c r="GZ1590" s="528"/>
      <c r="HA1590" s="528"/>
      <c r="HB1590" s="527"/>
      <c r="HC1590" s="528"/>
      <c r="HD1590" s="528"/>
      <c r="HE1590" s="528"/>
      <c r="HF1590" s="528"/>
      <c r="HG1590" s="528"/>
      <c r="HH1590" s="528"/>
      <c r="HI1590" s="528"/>
      <c r="HJ1590" s="528"/>
      <c r="HK1590" s="528"/>
      <c r="HL1590" s="528"/>
      <c r="HM1590" s="527"/>
      <c r="HN1590" s="528"/>
      <c r="HO1590" s="528"/>
      <c r="HP1590" s="528"/>
      <c r="HQ1590" s="528"/>
      <c r="HR1590" s="528"/>
      <c r="HS1590" s="528"/>
      <c r="HT1590" s="528"/>
      <c r="HU1590" s="528"/>
      <c r="HV1590" s="528"/>
      <c r="HW1590" s="528"/>
      <c r="HX1590" s="527"/>
      <c r="HY1590" s="528"/>
      <c r="HZ1590" s="528"/>
      <c r="IA1590" s="528"/>
      <c r="IB1590" s="528"/>
      <c r="IC1590" s="528"/>
      <c r="ID1590" s="528"/>
      <c r="IE1590" s="528"/>
      <c r="IF1590" s="528"/>
      <c r="IG1590" s="528"/>
      <c r="IH1590" s="528"/>
      <c r="II1590" s="527"/>
      <c r="IJ1590" s="528"/>
      <c r="IK1590" s="528"/>
      <c r="IL1590" s="528"/>
      <c r="IM1590" s="528"/>
      <c r="IN1590" s="528"/>
      <c r="IO1590" s="528"/>
      <c r="IP1590" s="528"/>
      <c r="IQ1590" s="528"/>
      <c r="IR1590" s="528"/>
      <c r="IS1590" s="528"/>
      <c r="IT1590" s="527"/>
      <c r="IU1590" s="528"/>
      <c r="IV1590" s="528"/>
      <c r="IW1590" s="528"/>
      <c r="IX1590" s="528"/>
      <c r="IY1590" s="528"/>
      <c r="IZ1590" s="528"/>
      <c r="JA1590" s="528"/>
      <c r="JB1590" s="528"/>
      <c r="JC1590" s="528"/>
      <c r="JD1590" s="528"/>
      <c r="JE1590" s="527"/>
      <c r="JF1590" s="528"/>
      <c r="JG1590" s="528"/>
      <c r="JH1590" s="528"/>
      <c r="JI1590" s="528"/>
      <c r="JJ1590" s="528"/>
      <c r="JK1590" s="528"/>
      <c r="JL1590" s="528"/>
      <c r="JM1590" s="528"/>
      <c r="JN1590" s="528"/>
      <c r="JO1590" s="528"/>
      <c r="JP1590" s="527"/>
      <c r="JQ1590" s="528"/>
      <c r="JR1590" s="528"/>
      <c r="JS1590" s="528"/>
      <c r="JT1590" s="528"/>
      <c r="JU1590" s="528"/>
      <c r="JV1590" s="528"/>
      <c r="JW1590" s="528"/>
      <c r="JX1590" s="528"/>
      <c r="JY1590" s="528"/>
      <c r="JZ1590" s="528"/>
      <c r="KA1590" s="527"/>
      <c r="KB1590" s="528"/>
      <c r="KC1590" s="528"/>
      <c r="KD1590" s="528"/>
      <c r="KE1590" s="528"/>
      <c r="KF1590" s="528"/>
      <c r="KG1590" s="528"/>
      <c r="KH1590" s="528"/>
      <c r="KI1590" s="528"/>
      <c r="KJ1590" s="528"/>
      <c r="KK1590" s="528"/>
      <c r="KL1590" s="527"/>
      <c r="KM1590" s="528"/>
      <c r="KN1590" s="528"/>
      <c r="KO1590" s="528"/>
      <c r="KP1590" s="528"/>
      <c r="KQ1590" s="528"/>
      <c r="KR1590" s="528"/>
      <c r="KS1590" s="528"/>
      <c r="KT1590" s="528"/>
      <c r="KU1590" s="528"/>
      <c r="KV1590" s="528"/>
      <c r="KW1590" s="527"/>
      <c r="KX1590" s="528"/>
      <c r="KY1590" s="528"/>
      <c r="KZ1590" s="528"/>
      <c r="LA1590" s="528"/>
      <c r="LB1590" s="528"/>
      <c r="LC1590" s="528"/>
      <c r="LD1590" s="528"/>
      <c r="LE1590" s="528"/>
      <c r="LF1590" s="528"/>
      <c r="LG1590" s="528"/>
      <c r="LH1590" s="527"/>
      <c r="LI1590" s="528"/>
      <c r="LJ1590" s="528"/>
      <c r="LK1590" s="528"/>
      <c r="LL1590" s="528"/>
      <c r="LM1590" s="528"/>
      <c r="LN1590" s="528"/>
      <c r="LO1590" s="528"/>
      <c r="LP1590" s="528"/>
      <c r="LQ1590" s="528"/>
      <c r="LR1590" s="528"/>
      <c r="LS1590" s="527"/>
      <c r="LT1590" s="528"/>
      <c r="LU1590" s="528"/>
      <c r="LV1590" s="528"/>
      <c r="LW1590" s="528"/>
      <c r="LX1590" s="528"/>
      <c r="LY1590" s="528"/>
      <c r="LZ1590" s="528"/>
      <c r="MA1590" s="528"/>
      <c r="MB1590" s="528"/>
      <c r="MC1590" s="528"/>
      <c r="MD1590" s="527"/>
      <c r="ME1590" s="528"/>
      <c r="MF1590" s="528"/>
      <c r="MG1590" s="528"/>
      <c r="MH1590" s="528"/>
      <c r="MI1590" s="528"/>
      <c r="MJ1590" s="528"/>
      <c r="MK1590" s="528"/>
      <c r="ML1590" s="528"/>
      <c r="MM1590" s="528"/>
      <c r="MN1590" s="528"/>
      <c r="MO1590" s="527"/>
      <c r="MP1590" s="528"/>
      <c r="MQ1590" s="528"/>
      <c r="MR1590" s="528"/>
      <c r="MS1590" s="528"/>
      <c r="MT1590" s="528"/>
      <c r="MU1590" s="528"/>
      <c r="MV1590" s="528"/>
      <c r="MW1590" s="528"/>
      <c r="MX1590" s="528"/>
      <c r="MY1590" s="528"/>
      <c r="MZ1590" s="527"/>
      <c r="NA1590" s="528"/>
      <c r="NB1590" s="528"/>
      <c r="NC1590" s="528"/>
      <c r="ND1590" s="528"/>
      <c r="NE1590" s="528"/>
      <c r="NF1590" s="528"/>
      <c r="NG1590" s="528"/>
      <c r="NH1590" s="528"/>
      <c r="NI1590" s="528"/>
      <c r="NJ1590" s="528"/>
      <c r="NK1590" s="527"/>
      <c r="NL1590" s="528"/>
      <c r="NM1590" s="528"/>
      <c r="NN1590" s="528"/>
      <c r="NO1590" s="528"/>
      <c r="NP1590" s="528"/>
      <c r="NQ1590" s="528"/>
      <c r="NR1590" s="528"/>
      <c r="NS1590" s="528"/>
      <c r="NT1590" s="528"/>
      <c r="NU1590" s="528"/>
      <c r="NV1590" s="527"/>
      <c r="NW1590" s="528"/>
      <c r="NX1590" s="528"/>
      <c r="NY1590" s="528"/>
      <c r="NZ1590" s="528"/>
      <c r="OA1590" s="528"/>
      <c r="OB1590" s="528"/>
      <c r="OC1590" s="528"/>
      <c r="OD1590" s="528"/>
      <c r="OE1590" s="528"/>
      <c r="OF1590" s="528"/>
      <c r="OG1590" s="527"/>
      <c r="OH1590" s="528"/>
      <c r="OI1590" s="528"/>
      <c r="OJ1590" s="528"/>
      <c r="OK1590" s="528"/>
      <c r="OL1590" s="528"/>
      <c r="OM1590" s="528"/>
      <c r="ON1590" s="528"/>
      <c r="OO1590" s="528"/>
      <c r="OP1590" s="528"/>
      <c r="OQ1590" s="528"/>
      <c r="OR1590" s="527"/>
      <c r="OS1590" s="528"/>
      <c r="OT1590" s="528"/>
      <c r="OU1590" s="528"/>
      <c r="OV1590" s="528"/>
      <c r="OW1590" s="528"/>
      <c r="OX1590" s="528"/>
      <c r="OY1590" s="528"/>
      <c r="OZ1590" s="528"/>
      <c r="PA1590" s="528"/>
      <c r="PB1590" s="528"/>
      <c r="PC1590" s="527"/>
      <c r="PD1590" s="528"/>
      <c r="PE1590" s="528"/>
      <c r="PF1590" s="528"/>
      <c r="PG1590" s="528"/>
      <c r="PH1590" s="528"/>
      <c r="PI1590" s="528"/>
      <c r="PJ1590" s="528"/>
      <c r="PK1590" s="528"/>
      <c r="PL1590" s="528"/>
      <c r="PM1590" s="528"/>
      <c r="PN1590" s="527"/>
      <c r="PO1590" s="528"/>
      <c r="PP1590" s="528"/>
      <c r="PQ1590" s="528"/>
      <c r="PR1590" s="528"/>
      <c r="PS1590" s="528"/>
      <c r="PT1590" s="528"/>
      <c r="PU1590" s="528"/>
      <c r="PV1590" s="528"/>
      <c r="PW1590" s="528"/>
      <c r="PX1590" s="528"/>
      <c r="PY1590" s="527"/>
      <c r="PZ1590" s="528"/>
      <c r="QA1590" s="528"/>
      <c r="QB1590" s="528"/>
      <c r="QC1590" s="528"/>
      <c r="QD1590" s="528"/>
      <c r="QE1590" s="528"/>
      <c r="QF1590" s="528"/>
      <c r="QG1590" s="528"/>
      <c r="QH1590" s="528"/>
      <c r="QI1590" s="528"/>
      <c r="QJ1590" s="527"/>
      <c r="QK1590" s="528"/>
      <c r="QL1590" s="528"/>
      <c r="QM1590" s="528"/>
      <c r="QN1590" s="528"/>
      <c r="QO1590" s="528"/>
      <c r="QP1590" s="528"/>
      <c r="QQ1590" s="528"/>
      <c r="QR1590" s="528"/>
      <c r="QS1590" s="528"/>
      <c r="QT1590" s="528"/>
      <c r="QU1590" s="527"/>
      <c r="QV1590" s="528"/>
      <c r="QW1590" s="528"/>
      <c r="QX1590" s="528"/>
      <c r="QY1590" s="528"/>
      <c r="QZ1590" s="528"/>
      <c r="RA1590" s="528"/>
      <c r="RB1590" s="528"/>
      <c r="RC1590" s="528"/>
      <c r="RD1590" s="528"/>
      <c r="RE1590" s="528"/>
      <c r="RF1590" s="527"/>
      <c r="RG1590" s="528"/>
      <c r="RH1590" s="528"/>
      <c r="RI1590" s="528"/>
      <c r="RJ1590" s="528"/>
      <c r="RK1590" s="528"/>
      <c r="RL1590" s="528"/>
      <c r="RM1590" s="528"/>
      <c r="RN1590" s="528"/>
      <c r="RO1590" s="528"/>
      <c r="RP1590" s="528"/>
      <c r="RQ1590" s="527"/>
      <c r="RR1590" s="528"/>
      <c r="RS1590" s="528"/>
      <c r="RT1590" s="528"/>
      <c r="RU1590" s="528"/>
      <c r="RV1590" s="528"/>
      <c r="RW1590" s="528"/>
      <c r="RX1590" s="528"/>
      <c r="RY1590" s="528"/>
      <c r="RZ1590" s="528"/>
      <c r="SA1590" s="528"/>
      <c r="SB1590" s="527"/>
      <c r="SC1590" s="528"/>
      <c r="SD1590" s="528"/>
      <c r="SE1590" s="528"/>
      <c r="SF1590" s="528"/>
      <c r="SG1590" s="528"/>
      <c r="SH1590" s="528"/>
      <c r="SI1590" s="528"/>
      <c r="SJ1590" s="528"/>
      <c r="SK1590" s="528"/>
      <c r="SL1590" s="528"/>
      <c r="SM1590" s="527"/>
      <c r="SN1590" s="528"/>
      <c r="SO1590" s="528"/>
      <c r="SP1590" s="528"/>
      <c r="SQ1590" s="528"/>
      <c r="SR1590" s="528"/>
      <c r="SS1590" s="528"/>
      <c r="ST1590" s="528"/>
      <c r="SU1590" s="528"/>
      <c r="SV1590" s="528"/>
      <c r="SW1590" s="528"/>
      <c r="SX1590" s="527"/>
      <c r="SY1590" s="528"/>
      <c r="SZ1590" s="528"/>
      <c r="TA1590" s="528"/>
      <c r="TB1590" s="528"/>
      <c r="TC1590" s="528"/>
      <c r="TD1590" s="528"/>
      <c r="TE1590" s="528"/>
      <c r="TF1590" s="528"/>
      <c r="TG1590" s="528"/>
      <c r="TH1590" s="528"/>
      <c r="TI1590" s="527"/>
      <c r="TJ1590" s="528"/>
      <c r="TK1590" s="528"/>
      <c r="TL1590" s="528"/>
      <c r="TM1590" s="528"/>
      <c r="TN1590" s="528"/>
      <c r="TO1590" s="528"/>
      <c r="TP1590" s="528"/>
      <c r="TQ1590" s="528"/>
      <c r="TR1590" s="528"/>
      <c r="TS1590" s="528"/>
      <c r="TT1590" s="527"/>
      <c r="TU1590" s="528"/>
      <c r="TV1590" s="528"/>
      <c r="TW1590" s="528"/>
      <c r="TX1590" s="528"/>
      <c r="TY1590" s="528"/>
      <c r="TZ1590" s="528"/>
      <c r="UA1590" s="528"/>
      <c r="UB1590" s="528"/>
      <c r="UC1590" s="528"/>
      <c r="UD1590" s="528"/>
      <c r="UE1590" s="527"/>
      <c r="UF1590" s="528"/>
      <c r="UG1590" s="528"/>
      <c r="UH1590" s="528"/>
      <c r="UI1590" s="528"/>
      <c r="UJ1590" s="528"/>
      <c r="UK1590" s="528"/>
      <c r="UL1590" s="528"/>
      <c r="UM1590" s="528"/>
      <c r="UN1590" s="528"/>
      <c r="UO1590" s="528"/>
      <c r="UP1590" s="527"/>
      <c r="UQ1590" s="528"/>
      <c r="UR1590" s="528"/>
      <c r="US1590" s="528"/>
      <c r="UT1590" s="528"/>
      <c r="UU1590" s="528"/>
      <c r="UV1590" s="528"/>
      <c r="UW1590" s="528"/>
      <c r="UX1590" s="528"/>
      <c r="UY1590" s="528"/>
      <c r="UZ1590" s="528"/>
      <c r="VA1590" s="527"/>
      <c r="VB1590" s="528"/>
      <c r="VC1590" s="528"/>
      <c r="VD1590" s="528"/>
      <c r="VE1590" s="528"/>
      <c r="VF1590" s="528"/>
      <c r="VG1590" s="528"/>
      <c r="VH1590" s="528"/>
      <c r="VI1590" s="528"/>
      <c r="VJ1590" s="528"/>
      <c r="VK1590" s="528"/>
      <c r="VL1590" s="527"/>
      <c r="VM1590" s="528"/>
      <c r="VN1590" s="528"/>
      <c r="VO1590" s="528"/>
      <c r="VP1590" s="528"/>
      <c r="VQ1590" s="528"/>
      <c r="VR1590" s="528"/>
      <c r="VS1590" s="528"/>
      <c r="VT1590" s="528"/>
      <c r="VU1590" s="528"/>
      <c r="VV1590" s="528"/>
      <c r="VW1590" s="527"/>
      <c r="VX1590" s="528"/>
      <c r="VY1590" s="528"/>
      <c r="VZ1590" s="528"/>
      <c r="WA1590" s="528"/>
      <c r="WB1590" s="528"/>
      <c r="WC1590" s="528"/>
      <c r="WD1590" s="528"/>
      <c r="WE1590" s="528"/>
      <c r="WF1590" s="528"/>
      <c r="WG1590" s="528"/>
      <c r="WH1590" s="527"/>
      <c r="WI1590" s="528"/>
      <c r="WJ1590" s="528"/>
      <c r="WK1590" s="528"/>
      <c r="WL1590" s="528"/>
      <c r="WM1590" s="528"/>
      <c r="WN1590" s="528"/>
      <c r="WO1590" s="528"/>
      <c r="WP1590" s="528"/>
      <c r="WQ1590" s="528"/>
      <c r="WR1590" s="528"/>
      <c r="WS1590" s="527"/>
      <c r="WT1590" s="528"/>
      <c r="WU1590" s="528"/>
      <c r="WV1590" s="528"/>
      <c r="WW1590" s="528"/>
      <c r="WX1590" s="528"/>
      <c r="WY1590" s="528"/>
      <c r="WZ1590" s="528"/>
      <c r="XA1590" s="528"/>
      <c r="XB1590" s="528"/>
      <c r="XC1590" s="528"/>
      <c r="XD1590" s="527"/>
      <c r="XE1590" s="528"/>
      <c r="XF1590" s="528"/>
      <c r="XG1590" s="528"/>
      <c r="XH1590" s="528"/>
      <c r="XI1590" s="528"/>
      <c r="XJ1590" s="528"/>
      <c r="XK1590" s="528"/>
      <c r="XL1590" s="528"/>
      <c r="XM1590" s="528"/>
      <c r="XN1590" s="528"/>
      <c r="XO1590" s="527"/>
      <c r="XP1590" s="528"/>
      <c r="XQ1590" s="528"/>
      <c r="XR1590" s="528"/>
      <c r="XS1590" s="528"/>
      <c r="XT1590" s="528"/>
      <c r="XU1590" s="528"/>
      <c r="XV1590" s="528"/>
      <c r="XW1590" s="528"/>
      <c r="XX1590" s="528"/>
      <c r="XY1590" s="528"/>
      <c r="XZ1590" s="527"/>
      <c r="YA1590" s="528"/>
      <c r="YB1590" s="528"/>
      <c r="YC1590" s="528"/>
      <c r="YD1590" s="528"/>
      <c r="YE1590" s="528"/>
      <c r="YF1590" s="528"/>
      <c r="YG1590" s="528"/>
      <c r="YH1590" s="528"/>
      <c r="YI1590" s="528"/>
      <c r="YJ1590" s="528"/>
      <c r="YK1590" s="527"/>
      <c r="YL1590" s="528"/>
      <c r="YM1590" s="528"/>
      <c r="YN1590" s="528"/>
      <c r="YO1590" s="528"/>
      <c r="YP1590" s="528"/>
      <c r="YQ1590" s="528"/>
      <c r="YR1590" s="528"/>
      <c r="YS1590" s="528"/>
      <c r="YT1590" s="528"/>
      <c r="YU1590" s="528"/>
      <c r="YV1590" s="527"/>
      <c r="YW1590" s="528"/>
      <c r="YX1590" s="528"/>
      <c r="YY1590" s="528"/>
      <c r="YZ1590" s="528"/>
      <c r="ZA1590" s="528"/>
      <c r="ZB1590" s="528"/>
      <c r="ZC1590" s="528"/>
      <c r="ZD1590" s="528"/>
      <c r="ZE1590" s="528"/>
      <c r="ZF1590" s="528"/>
      <c r="ZG1590" s="527"/>
      <c r="ZH1590" s="528"/>
      <c r="ZI1590" s="528"/>
      <c r="ZJ1590" s="528"/>
      <c r="ZK1590" s="528"/>
      <c r="ZL1590" s="528"/>
      <c r="ZM1590" s="528"/>
      <c r="ZN1590" s="528"/>
      <c r="ZO1590" s="528"/>
      <c r="ZP1590" s="528"/>
      <c r="ZQ1590" s="528"/>
      <c r="ZR1590" s="527"/>
      <c r="ZS1590" s="528"/>
      <c r="ZT1590" s="528"/>
      <c r="ZU1590" s="528"/>
      <c r="ZV1590" s="528"/>
      <c r="ZW1590" s="528"/>
      <c r="ZX1590" s="528"/>
      <c r="ZY1590" s="528"/>
      <c r="ZZ1590" s="528"/>
      <c r="AAA1590" s="528"/>
      <c r="AAB1590" s="528"/>
      <c r="AAC1590" s="527"/>
      <c r="AAD1590" s="528"/>
      <c r="AAE1590" s="528"/>
      <c r="AAF1590" s="528"/>
      <c r="AAG1590" s="528"/>
      <c r="AAH1590" s="528"/>
      <c r="AAI1590" s="528"/>
      <c r="AAJ1590" s="528"/>
      <c r="AAK1590" s="528"/>
      <c r="AAL1590" s="528"/>
      <c r="AAM1590" s="528"/>
      <c r="AAN1590" s="527"/>
      <c r="AAO1590" s="528"/>
      <c r="AAP1590" s="528"/>
      <c r="AAQ1590" s="528"/>
      <c r="AAR1590" s="528"/>
      <c r="AAS1590" s="528"/>
      <c r="AAT1590" s="528"/>
      <c r="AAU1590" s="528"/>
      <c r="AAV1590" s="528"/>
      <c r="AAW1590" s="528"/>
      <c r="AAX1590" s="528"/>
      <c r="AAY1590" s="527"/>
      <c r="AAZ1590" s="528"/>
      <c r="ABA1590" s="528"/>
      <c r="ABB1590" s="528"/>
      <c r="ABC1590" s="528"/>
      <c r="ABD1590" s="528"/>
      <c r="ABE1590" s="528"/>
      <c r="ABF1590" s="528"/>
      <c r="ABG1590" s="528"/>
      <c r="ABH1590" s="528"/>
      <c r="ABI1590" s="528"/>
      <c r="ABJ1590" s="527"/>
      <c r="ABK1590" s="528"/>
      <c r="ABL1590" s="528"/>
      <c r="ABM1590" s="528"/>
      <c r="ABN1590" s="528"/>
      <c r="ABO1590" s="528"/>
      <c r="ABP1590" s="528"/>
      <c r="ABQ1590" s="528"/>
      <c r="ABR1590" s="528"/>
      <c r="ABS1590" s="528"/>
      <c r="ABT1590" s="528"/>
      <c r="ABU1590" s="527"/>
      <c r="ABV1590" s="528"/>
      <c r="ABW1590" s="528"/>
      <c r="ABX1590" s="528"/>
      <c r="ABY1590" s="528"/>
      <c r="ABZ1590" s="528"/>
      <c r="ACA1590" s="528"/>
      <c r="ACB1590" s="528"/>
      <c r="ACC1590" s="528"/>
      <c r="ACD1590" s="528"/>
      <c r="ACE1590" s="528"/>
      <c r="ACF1590" s="527"/>
      <c r="ACG1590" s="528"/>
      <c r="ACH1590" s="528"/>
      <c r="ACI1590" s="528"/>
      <c r="ACJ1590" s="528"/>
      <c r="ACK1590" s="528"/>
      <c r="ACL1590" s="528"/>
      <c r="ACM1590" s="528"/>
      <c r="ACN1590" s="528"/>
      <c r="ACO1590" s="528"/>
      <c r="ACP1590" s="528"/>
      <c r="ACQ1590" s="527"/>
      <c r="ACR1590" s="528"/>
      <c r="ACS1590" s="528"/>
      <c r="ACT1590" s="528"/>
      <c r="ACU1590" s="528"/>
      <c r="ACV1590" s="528"/>
      <c r="ACW1590" s="528"/>
      <c r="ACX1590" s="528"/>
      <c r="ACY1590" s="528"/>
      <c r="ACZ1590" s="528"/>
      <c r="ADA1590" s="528"/>
      <c r="ADB1590" s="527"/>
      <c r="ADC1590" s="528"/>
      <c r="ADD1590" s="528"/>
      <c r="ADE1590" s="528"/>
      <c r="ADF1590" s="528"/>
      <c r="ADG1590" s="528"/>
      <c r="ADH1590" s="528"/>
      <c r="ADI1590" s="528"/>
      <c r="ADJ1590" s="528"/>
      <c r="ADK1590" s="528"/>
      <c r="ADL1590" s="528"/>
      <c r="ADM1590" s="527"/>
      <c r="ADN1590" s="528"/>
      <c r="ADO1590" s="528"/>
      <c r="ADP1590" s="528"/>
      <c r="ADQ1590" s="528"/>
      <c r="ADR1590" s="528"/>
      <c r="ADS1590" s="528"/>
      <c r="ADT1590" s="528"/>
      <c r="ADU1590" s="528"/>
      <c r="ADV1590" s="528"/>
      <c r="ADW1590" s="528"/>
      <c r="ADX1590" s="527"/>
      <c r="ADY1590" s="528"/>
      <c r="ADZ1590" s="528"/>
      <c r="AEA1590" s="528"/>
      <c r="AEB1590" s="528"/>
      <c r="AEC1590" s="528"/>
      <c r="AED1590" s="528"/>
      <c r="AEE1590" s="528"/>
      <c r="AEF1590" s="528"/>
      <c r="AEG1590" s="528"/>
      <c r="AEH1590" s="528"/>
      <c r="AEI1590" s="527"/>
      <c r="AEJ1590" s="528"/>
      <c r="AEK1590" s="528"/>
      <c r="AEL1590" s="528"/>
      <c r="AEM1590" s="528"/>
      <c r="AEN1590" s="528"/>
      <c r="AEO1590" s="528"/>
      <c r="AEP1590" s="528"/>
      <c r="AEQ1590" s="528"/>
      <c r="AER1590" s="528"/>
      <c r="AES1590" s="528"/>
      <c r="AET1590" s="527"/>
      <c r="AEU1590" s="528"/>
      <c r="AEV1590" s="528"/>
      <c r="AEW1590" s="528"/>
      <c r="AEX1590" s="528"/>
      <c r="AEY1590" s="528"/>
      <c r="AEZ1590" s="528"/>
      <c r="AFA1590" s="528"/>
      <c r="AFB1590" s="528"/>
      <c r="AFC1590" s="528"/>
      <c r="AFD1590" s="528"/>
      <c r="AFE1590" s="527"/>
      <c r="AFF1590" s="528"/>
      <c r="AFG1590" s="528"/>
      <c r="AFH1590" s="528"/>
      <c r="AFI1590" s="528"/>
      <c r="AFJ1590" s="528"/>
      <c r="AFK1590" s="528"/>
      <c r="AFL1590" s="528"/>
      <c r="AFM1590" s="528"/>
      <c r="AFN1590" s="528"/>
      <c r="AFO1590" s="528"/>
      <c r="AFP1590" s="527"/>
      <c r="AFQ1590" s="528"/>
      <c r="AFR1590" s="528"/>
      <c r="AFS1590" s="528"/>
      <c r="AFT1590" s="528"/>
      <c r="AFU1590" s="528"/>
      <c r="AFV1590" s="528"/>
      <c r="AFW1590" s="528"/>
      <c r="AFX1590" s="528"/>
      <c r="AFY1590" s="528"/>
      <c r="AFZ1590" s="528"/>
      <c r="AGA1590" s="527"/>
      <c r="AGB1590" s="528"/>
      <c r="AGC1590" s="528"/>
      <c r="AGD1590" s="528"/>
      <c r="AGE1590" s="528"/>
      <c r="AGF1590" s="528"/>
      <c r="AGG1590" s="528"/>
      <c r="AGH1590" s="528"/>
      <c r="AGI1590" s="528"/>
      <c r="AGJ1590" s="528"/>
      <c r="AGK1590" s="528"/>
      <c r="AGL1590" s="527"/>
      <c r="AGM1590" s="528"/>
      <c r="AGN1590" s="528"/>
      <c r="AGO1590" s="528"/>
      <c r="AGP1590" s="528"/>
      <c r="AGQ1590" s="528"/>
      <c r="AGR1590" s="528"/>
      <c r="AGS1590" s="528"/>
      <c r="AGT1590" s="528"/>
      <c r="AGU1590" s="528"/>
      <c r="AGV1590" s="528"/>
      <c r="AGW1590" s="527"/>
      <c r="AGX1590" s="528"/>
      <c r="AGY1590" s="528"/>
      <c r="AGZ1590" s="528"/>
      <c r="AHA1590" s="528"/>
      <c r="AHB1590" s="528"/>
      <c r="AHC1590" s="528"/>
      <c r="AHD1590" s="528"/>
      <c r="AHE1590" s="528"/>
      <c r="AHF1590" s="528"/>
      <c r="AHG1590" s="528"/>
      <c r="AHH1590" s="527"/>
      <c r="AHI1590" s="528"/>
      <c r="AHJ1590" s="528"/>
      <c r="AHK1590" s="528"/>
      <c r="AHL1590" s="528"/>
      <c r="AHM1590" s="528"/>
      <c r="AHN1590" s="528"/>
      <c r="AHO1590" s="528"/>
      <c r="AHP1590" s="528"/>
      <c r="AHQ1590" s="528"/>
      <c r="AHR1590" s="528"/>
      <c r="AHS1590" s="527"/>
      <c r="AHT1590" s="528"/>
      <c r="AHU1590" s="528"/>
      <c r="AHV1590" s="528"/>
      <c r="AHW1590" s="528"/>
      <c r="AHX1590" s="528"/>
      <c r="AHY1590" s="528"/>
      <c r="AHZ1590" s="528"/>
      <c r="AIA1590" s="528"/>
      <c r="AIB1590" s="528"/>
      <c r="AIC1590" s="528"/>
      <c r="AID1590" s="527"/>
      <c r="AIE1590" s="528"/>
      <c r="AIF1590" s="528"/>
      <c r="AIG1590" s="528"/>
      <c r="AIH1590" s="528"/>
      <c r="AII1590" s="528"/>
      <c r="AIJ1590" s="528"/>
      <c r="AIK1590" s="528"/>
      <c r="AIL1590" s="528"/>
      <c r="AIM1590" s="528"/>
      <c r="AIN1590" s="528"/>
      <c r="AIO1590" s="527"/>
      <c r="AIP1590" s="528"/>
      <c r="AIQ1590" s="528"/>
      <c r="AIR1590" s="528"/>
      <c r="AIS1590" s="528"/>
      <c r="AIT1590" s="528"/>
      <c r="AIU1590" s="528"/>
      <c r="AIV1590" s="528"/>
      <c r="AIW1590" s="528"/>
      <c r="AIX1590" s="528"/>
      <c r="AIY1590" s="528"/>
      <c r="AIZ1590" s="527"/>
      <c r="AJA1590" s="528"/>
      <c r="AJB1590" s="528"/>
      <c r="AJC1590" s="528"/>
      <c r="AJD1590" s="528"/>
      <c r="AJE1590" s="528"/>
      <c r="AJF1590" s="528"/>
      <c r="AJG1590" s="528"/>
      <c r="AJH1590" s="528"/>
      <c r="AJI1590" s="528"/>
      <c r="AJJ1590" s="528"/>
      <c r="AJK1590" s="527"/>
      <c r="AJL1590" s="528"/>
      <c r="AJM1590" s="528"/>
      <c r="AJN1590" s="528"/>
      <c r="AJO1590" s="528"/>
      <c r="AJP1590" s="528"/>
      <c r="AJQ1590" s="528"/>
      <c r="AJR1590" s="528"/>
      <c r="AJS1590" s="528"/>
      <c r="AJT1590" s="528"/>
      <c r="AJU1590" s="528"/>
      <c r="AJV1590" s="527"/>
      <c r="AJW1590" s="528"/>
      <c r="AJX1590" s="528"/>
      <c r="AJY1590" s="528"/>
      <c r="AJZ1590" s="528"/>
      <c r="AKA1590" s="528"/>
      <c r="AKB1590" s="528"/>
      <c r="AKC1590" s="528"/>
      <c r="AKD1590" s="528"/>
      <c r="AKE1590" s="528"/>
      <c r="AKF1590" s="528"/>
      <c r="AKG1590" s="527"/>
      <c r="AKH1590" s="528"/>
      <c r="AKI1590" s="528"/>
      <c r="AKJ1590" s="528"/>
      <c r="AKK1590" s="528"/>
      <c r="AKL1590" s="528"/>
      <c r="AKM1590" s="528"/>
      <c r="AKN1590" s="528"/>
      <c r="AKO1590" s="528"/>
      <c r="AKP1590" s="528"/>
      <c r="AKQ1590" s="528"/>
      <c r="AKR1590" s="527"/>
      <c r="AKS1590" s="528"/>
      <c r="AKT1590" s="528"/>
      <c r="AKU1590" s="528"/>
      <c r="AKV1590" s="528"/>
      <c r="AKW1590" s="528"/>
      <c r="AKX1590" s="528"/>
      <c r="AKY1590" s="528"/>
      <c r="AKZ1590" s="528"/>
      <c r="ALA1590" s="528"/>
      <c r="ALB1590" s="528"/>
      <c r="ALC1590" s="527"/>
      <c r="ALD1590" s="528"/>
      <c r="ALE1590" s="528"/>
      <c r="ALF1590" s="528"/>
      <c r="ALG1590" s="528"/>
      <c r="ALH1590" s="528"/>
      <c r="ALI1590" s="528"/>
      <c r="ALJ1590" s="528"/>
      <c r="ALK1590" s="528"/>
      <c r="ALL1590" s="528"/>
      <c r="ALM1590" s="528"/>
      <c r="ALN1590" s="527"/>
      <c r="ALO1590" s="528"/>
      <c r="ALP1590" s="528"/>
      <c r="ALQ1590" s="528"/>
      <c r="ALR1590" s="528"/>
      <c r="ALS1590" s="528"/>
      <c r="ALT1590" s="528"/>
      <c r="ALU1590" s="528"/>
      <c r="ALV1590" s="528"/>
      <c r="ALW1590" s="528"/>
      <c r="ALX1590" s="528"/>
      <c r="ALY1590" s="527"/>
      <c r="ALZ1590" s="528"/>
      <c r="AMA1590" s="528"/>
      <c r="AMB1590" s="528"/>
      <c r="AMC1590" s="528"/>
      <c r="AMD1590" s="528"/>
      <c r="AME1590" s="528"/>
      <c r="AMF1590" s="528"/>
      <c r="AMG1590" s="528"/>
      <c r="AMH1590" s="528"/>
      <c r="AMI1590" s="528"/>
      <c r="AMJ1590" s="527"/>
      <c r="AMK1590" s="528"/>
      <c r="AML1590" s="528"/>
      <c r="AMM1590" s="528"/>
      <c r="AMN1590" s="528"/>
      <c r="AMO1590" s="528"/>
      <c r="AMP1590" s="528"/>
      <c r="AMQ1590" s="528"/>
      <c r="AMR1590" s="528"/>
      <c r="AMS1590" s="528"/>
      <c r="AMT1590" s="528"/>
      <c r="AMU1590" s="527"/>
      <c r="AMV1590" s="528"/>
      <c r="AMW1590" s="528"/>
      <c r="AMX1590" s="528"/>
      <c r="AMY1590" s="528"/>
      <c r="AMZ1590" s="528"/>
      <c r="ANA1590" s="528"/>
      <c r="ANB1590" s="528"/>
      <c r="ANC1590" s="528"/>
      <c r="AND1590" s="528"/>
      <c r="ANE1590" s="528"/>
      <c r="ANF1590" s="527"/>
      <c r="ANG1590" s="528"/>
      <c r="ANH1590" s="528"/>
      <c r="ANI1590" s="528"/>
      <c r="ANJ1590" s="528"/>
      <c r="ANK1590" s="528"/>
      <c r="ANL1590" s="528"/>
      <c r="ANM1590" s="528"/>
      <c r="ANN1590" s="528"/>
      <c r="ANO1590" s="528"/>
      <c r="ANP1590" s="528"/>
      <c r="ANQ1590" s="527"/>
      <c r="ANR1590" s="528"/>
      <c r="ANS1590" s="528"/>
      <c r="ANT1590" s="528"/>
      <c r="ANU1590" s="528"/>
      <c r="ANV1590" s="528"/>
      <c r="ANW1590" s="528"/>
      <c r="ANX1590" s="528"/>
      <c r="ANY1590" s="528"/>
      <c r="ANZ1590" s="528"/>
      <c r="AOA1590" s="528"/>
      <c r="AOB1590" s="527"/>
      <c r="AOC1590" s="528"/>
      <c r="AOD1590" s="528"/>
      <c r="AOE1590" s="528"/>
      <c r="AOF1590" s="528"/>
      <c r="AOG1590" s="528"/>
      <c r="AOH1590" s="528"/>
      <c r="AOI1590" s="528"/>
      <c r="AOJ1590" s="528"/>
      <c r="AOK1590" s="528"/>
      <c r="AOL1590" s="528"/>
      <c r="AOM1590" s="527"/>
      <c r="AON1590" s="528"/>
      <c r="AOO1590" s="528"/>
      <c r="AOP1590" s="528"/>
      <c r="AOQ1590" s="528"/>
      <c r="AOR1590" s="528"/>
      <c r="AOS1590" s="528"/>
      <c r="AOT1590" s="528"/>
      <c r="AOU1590" s="528"/>
      <c r="AOV1590" s="528"/>
      <c r="AOW1590" s="528"/>
      <c r="AOX1590" s="527"/>
      <c r="AOY1590" s="528"/>
      <c r="AOZ1590" s="528"/>
      <c r="APA1590" s="528"/>
      <c r="APB1590" s="528"/>
      <c r="APC1590" s="528"/>
      <c r="APD1590" s="528"/>
      <c r="APE1590" s="528"/>
      <c r="APF1590" s="528"/>
      <c r="APG1590" s="528"/>
      <c r="APH1590" s="528"/>
      <c r="API1590" s="527"/>
      <c r="APJ1590" s="528"/>
      <c r="APK1590" s="528"/>
      <c r="APL1590" s="528"/>
      <c r="APM1590" s="528"/>
      <c r="APN1590" s="528"/>
      <c r="APO1590" s="528"/>
      <c r="APP1590" s="528"/>
      <c r="APQ1590" s="528"/>
      <c r="APR1590" s="528"/>
      <c r="APS1590" s="528"/>
      <c r="APT1590" s="527"/>
      <c r="APU1590" s="528"/>
      <c r="APV1590" s="528"/>
      <c r="APW1590" s="528"/>
      <c r="APX1590" s="528"/>
      <c r="APY1590" s="528"/>
      <c r="APZ1590" s="528"/>
      <c r="AQA1590" s="528"/>
      <c r="AQB1590" s="528"/>
      <c r="AQC1590" s="528"/>
      <c r="AQD1590" s="528"/>
      <c r="AQE1590" s="527"/>
      <c r="AQF1590" s="528"/>
      <c r="AQG1590" s="528"/>
      <c r="AQH1590" s="528"/>
      <c r="AQI1590" s="528"/>
      <c r="AQJ1590" s="528"/>
      <c r="AQK1590" s="528"/>
      <c r="AQL1590" s="528"/>
      <c r="AQM1590" s="528"/>
      <c r="AQN1590" s="528"/>
      <c r="AQO1590" s="528"/>
      <c r="AQP1590" s="527"/>
      <c r="AQQ1590" s="528"/>
      <c r="AQR1590" s="528"/>
      <c r="AQS1590" s="528"/>
      <c r="AQT1590" s="528"/>
      <c r="AQU1590" s="528"/>
      <c r="AQV1590" s="528"/>
      <c r="AQW1590" s="528"/>
      <c r="AQX1590" s="528"/>
      <c r="AQY1590" s="528"/>
      <c r="AQZ1590" s="528"/>
      <c r="ARA1590" s="527"/>
      <c r="ARB1590" s="528"/>
      <c r="ARC1590" s="528"/>
      <c r="ARD1590" s="528"/>
      <c r="ARE1590" s="528"/>
      <c r="ARF1590" s="528"/>
      <c r="ARG1590" s="528"/>
      <c r="ARH1590" s="528"/>
      <c r="ARI1590" s="528"/>
      <c r="ARJ1590" s="528"/>
      <c r="ARK1590" s="528"/>
      <c r="ARL1590" s="527"/>
      <c r="ARM1590" s="528"/>
      <c r="ARN1590" s="528"/>
      <c r="ARO1590" s="528"/>
      <c r="ARP1590" s="528"/>
      <c r="ARQ1590" s="528"/>
      <c r="ARR1590" s="528"/>
      <c r="ARS1590" s="528"/>
      <c r="ART1590" s="528"/>
      <c r="ARU1590" s="528"/>
      <c r="ARV1590" s="528"/>
      <c r="ARW1590" s="527"/>
      <c r="ARX1590" s="528"/>
      <c r="ARY1590" s="528"/>
      <c r="ARZ1590" s="528"/>
      <c r="ASA1590" s="528"/>
      <c r="ASB1590" s="528"/>
      <c r="ASC1590" s="528"/>
      <c r="ASD1590" s="528"/>
      <c r="ASE1590" s="528"/>
      <c r="ASF1590" s="528"/>
      <c r="ASG1590" s="528"/>
      <c r="ASH1590" s="527"/>
      <c r="ASI1590" s="528"/>
      <c r="ASJ1590" s="528"/>
      <c r="ASK1590" s="528"/>
      <c r="ASL1590" s="528"/>
      <c r="ASM1590" s="528"/>
      <c r="ASN1590" s="528"/>
      <c r="ASO1590" s="528"/>
      <c r="ASP1590" s="528"/>
      <c r="ASQ1590" s="528"/>
      <c r="ASR1590" s="528"/>
      <c r="ASS1590" s="527"/>
      <c r="AST1590" s="528"/>
      <c r="ASU1590" s="528"/>
      <c r="ASV1590" s="528"/>
      <c r="ASW1590" s="528"/>
      <c r="ASX1590" s="528"/>
      <c r="ASY1590" s="528"/>
      <c r="ASZ1590" s="528"/>
      <c r="ATA1590" s="528"/>
      <c r="ATB1590" s="528"/>
      <c r="ATC1590" s="528"/>
      <c r="ATD1590" s="527"/>
      <c r="ATE1590" s="528"/>
      <c r="ATF1590" s="528"/>
      <c r="ATG1590" s="528"/>
      <c r="ATH1590" s="528"/>
      <c r="ATI1590" s="528"/>
      <c r="ATJ1590" s="528"/>
      <c r="ATK1590" s="528"/>
      <c r="ATL1590" s="528"/>
      <c r="ATM1590" s="528"/>
      <c r="ATN1590" s="528"/>
      <c r="ATO1590" s="527"/>
      <c r="ATP1590" s="528"/>
      <c r="ATQ1590" s="528"/>
      <c r="ATR1590" s="528"/>
      <c r="ATS1590" s="528"/>
      <c r="ATT1590" s="528"/>
      <c r="ATU1590" s="528"/>
      <c r="ATV1590" s="528"/>
      <c r="ATW1590" s="528"/>
      <c r="ATX1590" s="528"/>
      <c r="ATY1590" s="528"/>
      <c r="ATZ1590" s="527"/>
      <c r="AUA1590" s="528"/>
      <c r="AUB1590" s="528"/>
      <c r="AUC1590" s="528"/>
      <c r="AUD1590" s="528"/>
      <c r="AUE1590" s="528"/>
      <c r="AUF1590" s="528"/>
      <c r="AUG1590" s="528"/>
      <c r="AUH1590" s="528"/>
      <c r="AUI1590" s="528"/>
      <c r="AUJ1590" s="528"/>
      <c r="AUK1590" s="527"/>
      <c r="AUL1590" s="528"/>
      <c r="AUM1590" s="528"/>
      <c r="AUN1590" s="528"/>
      <c r="AUO1590" s="528"/>
      <c r="AUP1590" s="528"/>
      <c r="AUQ1590" s="528"/>
      <c r="AUR1590" s="528"/>
      <c r="AUS1590" s="528"/>
      <c r="AUT1590" s="528"/>
      <c r="AUU1590" s="528"/>
      <c r="AUV1590" s="527"/>
      <c r="AUW1590" s="528"/>
      <c r="AUX1590" s="528"/>
      <c r="AUY1590" s="528"/>
      <c r="AUZ1590" s="528"/>
      <c r="AVA1590" s="528"/>
      <c r="AVB1590" s="528"/>
      <c r="AVC1590" s="528"/>
      <c r="AVD1590" s="528"/>
      <c r="AVE1590" s="528"/>
      <c r="AVF1590" s="528"/>
      <c r="AVG1590" s="527"/>
      <c r="AVH1590" s="528"/>
      <c r="AVI1590" s="528"/>
      <c r="AVJ1590" s="528"/>
      <c r="AVK1590" s="528"/>
      <c r="AVL1590" s="528"/>
      <c r="AVM1590" s="528"/>
      <c r="AVN1590" s="528"/>
      <c r="AVO1590" s="528"/>
      <c r="AVP1590" s="528"/>
      <c r="AVQ1590" s="528"/>
      <c r="AVR1590" s="527"/>
      <c r="AVS1590" s="528"/>
      <c r="AVT1590" s="528"/>
      <c r="AVU1590" s="528"/>
      <c r="AVV1590" s="528"/>
      <c r="AVW1590" s="528"/>
      <c r="AVX1590" s="528"/>
      <c r="AVY1590" s="528"/>
      <c r="AVZ1590" s="528"/>
      <c r="AWA1590" s="528"/>
      <c r="AWB1590" s="528"/>
      <c r="AWC1590" s="527"/>
      <c r="AWD1590" s="528"/>
      <c r="AWE1590" s="528"/>
      <c r="AWF1590" s="528"/>
      <c r="AWG1590" s="528"/>
      <c r="AWH1590" s="528"/>
      <c r="AWI1590" s="528"/>
      <c r="AWJ1590" s="528"/>
      <c r="AWK1590" s="528"/>
      <c r="AWL1590" s="528"/>
      <c r="AWM1590" s="528"/>
      <c r="AWN1590" s="527"/>
      <c r="AWO1590" s="528"/>
      <c r="AWP1590" s="528"/>
      <c r="AWQ1590" s="528"/>
      <c r="AWR1590" s="528"/>
      <c r="AWS1590" s="528"/>
      <c r="AWT1590" s="528"/>
      <c r="AWU1590" s="528"/>
      <c r="AWV1590" s="528"/>
      <c r="AWW1590" s="528"/>
      <c r="AWX1590" s="528"/>
      <c r="AWY1590" s="527"/>
      <c r="AWZ1590" s="528"/>
      <c r="AXA1590" s="528"/>
      <c r="AXB1590" s="528"/>
      <c r="AXC1590" s="528"/>
      <c r="AXD1590" s="528"/>
      <c r="AXE1590" s="528"/>
      <c r="AXF1590" s="528"/>
      <c r="AXG1590" s="528"/>
      <c r="AXH1590" s="528"/>
      <c r="AXI1590" s="528"/>
      <c r="AXJ1590" s="527"/>
      <c r="AXK1590" s="528"/>
      <c r="AXL1590" s="528"/>
      <c r="AXM1590" s="528"/>
      <c r="AXN1590" s="528"/>
      <c r="AXO1590" s="528"/>
      <c r="AXP1590" s="528"/>
      <c r="AXQ1590" s="528"/>
      <c r="AXR1590" s="528"/>
      <c r="AXS1590" s="528"/>
      <c r="AXT1590" s="528"/>
      <c r="AXU1590" s="527"/>
      <c r="AXV1590" s="528"/>
      <c r="AXW1590" s="528"/>
      <c r="AXX1590" s="528"/>
      <c r="AXY1590" s="528"/>
      <c r="AXZ1590" s="528"/>
      <c r="AYA1590" s="528"/>
      <c r="AYB1590" s="528"/>
      <c r="AYC1590" s="528"/>
      <c r="AYD1590" s="528"/>
      <c r="AYE1590" s="528"/>
      <c r="AYF1590" s="527"/>
      <c r="AYG1590" s="528"/>
      <c r="AYH1590" s="528"/>
      <c r="AYI1590" s="528"/>
      <c r="AYJ1590" s="528"/>
      <c r="AYK1590" s="528"/>
      <c r="AYL1590" s="528"/>
      <c r="AYM1590" s="528"/>
      <c r="AYN1590" s="528"/>
      <c r="AYO1590" s="528"/>
      <c r="AYP1590" s="528"/>
      <c r="AYQ1590" s="527"/>
      <c r="AYR1590" s="528"/>
      <c r="AYS1590" s="528"/>
      <c r="AYT1590" s="528"/>
      <c r="AYU1590" s="528"/>
      <c r="AYV1590" s="528"/>
      <c r="AYW1590" s="528"/>
      <c r="AYX1590" s="528"/>
      <c r="AYY1590" s="528"/>
      <c r="AYZ1590" s="528"/>
      <c r="AZA1590" s="528"/>
      <c r="AZB1590" s="527"/>
      <c r="AZC1590" s="528"/>
      <c r="AZD1590" s="528"/>
      <c r="AZE1590" s="528"/>
      <c r="AZF1590" s="528"/>
      <c r="AZG1590" s="528"/>
      <c r="AZH1590" s="528"/>
      <c r="AZI1590" s="528"/>
      <c r="AZJ1590" s="528"/>
      <c r="AZK1590" s="528"/>
      <c r="AZL1590" s="528"/>
      <c r="AZM1590" s="527"/>
      <c r="AZN1590" s="528"/>
      <c r="AZO1590" s="528"/>
      <c r="AZP1590" s="528"/>
      <c r="AZQ1590" s="528"/>
      <c r="AZR1590" s="528"/>
      <c r="AZS1590" s="528"/>
      <c r="AZT1590" s="528"/>
      <c r="AZU1590" s="528"/>
      <c r="AZV1590" s="528"/>
      <c r="AZW1590" s="528"/>
      <c r="AZX1590" s="527"/>
      <c r="AZY1590" s="528"/>
      <c r="AZZ1590" s="528"/>
      <c r="BAA1590" s="528"/>
      <c r="BAB1590" s="528"/>
      <c r="BAC1590" s="528"/>
      <c r="BAD1590" s="528"/>
      <c r="BAE1590" s="528"/>
      <c r="BAF1590" s="528"/>
      <c r="BAG1590" s="528"/>
      <c r="BAH1590" s="528"/>
      <c r="BAI1590" s="527"/>
      <c r="BAJ1590" s="528"/>
      <c r="BAK1590" s="528"/>
      <c r="BAL1590" s="528"/>
      <c r="BAM1590" s="528"/>
      <c r="BAN1590" s="528"/>
      <c r="BAO1590" s="528"/>
      <c r="BAP1590" s="528"/>
      <c r="BAQ1590" s="528"/>
      <c r="BAR1590" s="528"/>
      <c r="BAS1590" s="528"/>
      <c r="BAT1590" s="527"/>
      <c r="BAU1590" s="528"/>
      <c r="BAV1590" s="528"/>
      <c r="BAW1590" s="528"/>
      <c r="BAX1590" s="528"/>
      <c r="BAY1590" s="528"/>
      <c r="BAZ1590" s="528"/>
      <c r="BBA1590" s="528"/>
      <c r="BBB1590" s="528"/>
      <c r="BBC1590" s="528"/>
      <c r="BBD1590" s="528"/>
      <c r="BBE1590" s="527"/>
      <c r="BBF1590" s="528"/>
      <c r="BBG1590" s="528"/>
      <c r="BBH1590" s="528"/>
      <c r="BBI1590" s="528"/>
      <c r="BBJ1590" s="528"/>
      <c r="BBK1590" s="528"/>
      <c r="BBL1590" s="528"/>
      <c r="BBM1590" s="528"/>
      <c r="BBN1590" s="528"/>
      <c r="BBO1590" s="528"/>
      <c r="BBP1590" s="527"/>
      <c r="BBQ1590" s="528"/>
      <c r="BBR1590" s="528"/>
      <c r="BBS1590" s="528"/>
      <c r="BBT1590" s="528"/>
      <c r="BBU1590" s="528"/>
      <c r="BBV1590" s="528"/>
      <c r="BBW1590" s="528"/>
      <c r="BBX1590" s="528"/>
      <c r="BBY1590" s="528"/>
      <c r="BBZ1590" s="528"/>
      <c r="BCA1590" s="527"/>
      <c r="BCB1590" s="528"/>
      <c r="BCC1590" s="528"/>
      <c r="BCD1590" s="528"/>
      <c r="BCE1590" s="528"/>
      <c r="BCF1590" s="528"/>
      <c r="BCG1590" s="528"/>
      <c r="BCH1590" s="528"/>
      <c r="BCI1590" s="528"/>
      <c r="BCJ1590" s="528"/>
      <c r="BCK1590" s="528"/>
      <c r="BCL1590" s="527"/>
      <c r="BCM1590" s="528"/>
      <c r="BCN1590" s="528"/>
      <c r="BCO1590" s="528"/>
      <c r="BCP1590" s="528"/>
      <c r="BCQ1590" s="528"/>
      <c r="BCR1590" s="528"/>
      <c r="BCS1590" s="528"/>
      <c r="BCT1590" s="528"/>
      <c r="BCU1590" s="528"/>
      <c r="BCV1590" s="528"/>
      <c r="BCW1590" s="527"/>
      <c r="BCX1590" s="528"/>
      <c r="BCY1590" s="528"/>
      <c r="BCZ1590" s="528"/>
      <c r="BDA1590" s="528"/>
      <c r="BDB1590" s="528"/>
      <c r="BDC1590" s="528"/>
      <c r="BDD1590" s="528"/>
      <c r="BDE1590" s="528"/>
      <c r="BDF1590" s="528"/>
      <c r="BDG1590" s="528"/>
      <c r="BDH1590" s="527"/>
      <c r="BDI1590" s="528"/>
      <c r="BDJ1590" s="528"/>
      <c r="BDK1590" s="528"/>
      <c r="BDL1590" s="528"/>
      <c r="BDM1590" s="528"/>
      <c r="BDN1590" s="528"/>
      <c r="BDO1590" s="528"/>
      <c r="BDP1590" s="528"/>
      <c r="BDQ1590" s="528"/>
      <c r="BDR1590" s="528"/>
      <c r="BDS1590" s="527"/>
      <c r="BDT1590" s="528"/>
      <c r="BDU1590" s="528"/>
      <c r="BDV1590" s="528"/>
      <c r="BDW1590" s="528"/>
      <c r="BDX1590" s="528"/>
      <c r="BDY1590" s="528"/>
      <c r="BDZ1590" s="528"/>
      <c r="BEA1590" s="528"/>
      <c r="BEB1590" s="528"/>
      <c r="BEC1590" s="528"/>
      <c r="BED1590" s="527"/>
      <c r="BEE1590" s="528"/>
      <c r="BEF1590" s="528"/>
      <c r="BEG1590" s="528"/>
      <c r="BEH1590" s="528"/>
      <c r="BEI1590" s="528"/>
      <c r="BEJ1590" s="528"/>
      <c r="BEK1590" s="528"/>
      <c r="BEL1590" s="528"/>
      <c r="BEM1590" s="528"/>
      <c r="BEN1590" s="528"/>
      <c r="BEO1590" s="527"/>
      <c r="BEP1590" s="528"/>
      <c r="BEQ1590" s="528"/>
      <c r="BER1590" s="528"/>
      <c r="BES1590" s="528"/>
      <c r="BET1590" s="528"/>
      <c r="BEU1590" s="528"/>
      <c r="BEV1590" s="528"/>
      <c r="BEW1590" s="528"/>
      <c r="BEX1590" s="528"/>
      <c r="BEY1590" s="528"/>
      <c r="BEZ1590" s="527"/>
      <c r="BFA1590" s="528"/>
      <c r="BFB1590" s="528"/>
      <c r="BFC1590" s="528"/>
      <c r="BFD1590" s="528"/>
      <c r="BFE1590" s="528"/>
      <c r="BFF1590" s="528"/>
      <c r="BFG1590" s="528"/>
      <c r="BFH1590" s="528"/>
      <c r="BFI1590" s="528"/>
      <c r="BFJ1590" s="528"/>
      <c r="BFK1590" s="527"/>
      <c r="BFL1590" s="528"/>
      <c r="BFM1590" s="528"/>
      <c r="BFN1590" s="528"/>
      <c r="BFO1590" s="528"/>
      <c r="BFP1590" s="528"/>
      <c r="BFQ1590" s="528"/>
      <c r="BFR1590" s="528"/>
      <c r="BFS1590" s="528"/>
      <c r="BFT1590" s="528"/>
      <c r="BFU1590" s="528"/>
      <c r="BFV1590" s="527"/>
      <c r="BFW1590" s="528"/>
      <c r="BFX1590" s="528"/>
      <c r="BFY1590" s="528"/>
      <c r="BFZ1590" s="528"/>
      <c r="BGA1590" s="528"/>
      <c r="BGB1590" s="528"/>
      <c r="BGC1590" s="528"/>
      <c r="BGD1590" s="528"/>
      <c r="BGE1590" s="528"/>
      <c r="BGF1590" s="528"/>
      <c r="BGG1590" s="527"/>
      <c r="BGH1590" s="528"/>
      <c r="BGI1590" s="528"/>
      <c r="BGJ1590" s="528"/>
      <c r="BGK1590" s="528"/>
      <c r="BGL1590" s="528"/>
      <c r="BGM1590" s="528"/>
      <c r="BGN1590" s="528"/>
      <c r="BGO1590" s="528"/>
      <c r="BGP1590" s="528"/>
      <c r="BGQ1590" s="528"/>
      <c r="BGR1590" s="527"/>
      <c r="BGS1590" s="528"/>
      <c r="BGT1590" s="528"/>
      <c r="BGU1590" s="528"/>
      <c r="BGV1590" s="528"/>
      <c r="BGW1590" s="528"/>
      <c r="BGX1590" s="528"/>
      <c r="BGY1590" s="528"/>
      <c r="BGZ1590" s="528"/>
      <c r="BHA1590" s="528"/>
      <c r="BHB1590" s="528"/>
      <c r="BHC1590" s="527"/>
      <c r="BHD1590" s="528"/>
      <c r="BHE1590" s="528"/>
      <c r="BHF1590" s="528"/>
      <c r="BHG1590" s="528"/>
      <c r="BHH1590" s="528"/>
      <c r="BHI1590" s="528"/>
      <c r="BHJ1590" s="528"/>
      <c r="BHK1590" s="528"/>
      <c r="BHL1590" s="528"/>
      <c r="BHM1590" s="528"/>
      <c r="BHN1590" s="527"/>
      <c r="BHO1590" s="528"/>
      <c r="BHP1590" s="528"/>
      <c r="BHQ1590" s="528"/>
      <c r="BHR1590" s="528"/>
      <c r="BHS1590" s="528"/>
      <c r="BHT1590" s="528"/>
      <c r="BHU1590" s="528"/>
      <c r="BHV1590" s="528"/>
      <c r="BHW1590" s="528"/>
      <c r="BHX1590" s="528"/>
      <c r="BHY1590" s="527"/>
      <c r="BHZ1590" s="528"/>
      <c r="BIA1590" s="528"/>
      <c r="BIB1590" s="528"/>
      <c r="BIC1590" s="528"/>
      <c r="BID1590" s="528"/>
      <c r="BIE1590" s="528"/>
      <c r="BIF1590" s="528"/>
      <c r="BIG1590" s="528"/>
      <c r="BIH1590" s="528"/>
      <c r="BII1590" s="528"/>
      <c r="BIJ1590" s="527"/>
      <c r="BIK1590" s="528"/>
      <c r="BIL1590" s="528"/>
      <c r="BIM1590" s="528"/>
      <c r="BIN1590" s="528"/>
      <c r="BIO1590" s="528"/>
      <c r="BIP1590" s="528"/>
      <c r="BIQ1590" s="528"/>
      <c r="BIR1590" s="528"/>
      <c r="BIS1590" s="528"/>
      <c r="BIT1590" s="528"/>
      <c r="BIU1590" s="527"/>
      <c r="BIV1590" s="528"/>
      <c r="BIW1590" s="528"/>
      <c r="BIX1590" s="528"/>
      <c r="BIY1590" s="528"/>
      <c r="BIZ1590" s="528"/>
      <c r="BJA1590" s="528"/>
      <c r="BJB1590" s="528"/>
      <c r="BJC1590" s="528"/>
      <c r="BJD1590" s="528"/>
      <c r="BJE1590" s="528"/>
      <c r="BJF1590" s="527"/>
      <c r="BJG1590" s="528"/>
      <c r="BJH1590" s="528"/>
      <c r="BJI1590" s="528"/>
      <c r="BJJ1590" s="528"/>
      <c r="BJK1590" s="528"/>
      <c r="BJL1590" s="528"/>
      <c r="BJM1590" s="528"/>
      <c r="BJN1590" s="528"/>
      <c r="BJO1590" s="528"/>
      <c r="BJP1590" s="528"/>
      <c r="BJQ1590" s="527"/>
      <c r="BJR1590" s="528"/>
      <c r="BJS1590" s="528"/>
      <c r="BJT1590" s="528"/>
      <c r="BJU1590" s="528"/>
      <c r="BJV1590" s="528"/>
      <c r="BJW1590" s="528"/>
      <c r="BJX1590" s="528"/>
      <c r="BJY1590" s="528"/>
      <c r="BJZ1590" s="528"/>
      <c r="BKA1590" s="528"/>
      <c r="BKB1590" s="527"/>
      <c r="BKC1590" s="528"/>
      <c r="BKD1590" s="528"/>
      <c r="BKE1590" s="528"/>
      <c r="BKF1590" s="528"/>
      <c r="BKG1590" s="528"/>
      <c r="BKH1590" s="528"/>
      <c r="BKI1590" s="528"/>
      <c r="BKJ1590" s="528"/>
      <c r="BKK1590" s="528"/>
      <c r="BKL1590" s="528"/>
      <c r="BKM1590" s="527"/>
      <c r="BKN1590" s="528"/>
      <c r="BKO1590" s="528"/>
      <c r="BKP1590" s="528"/>
      <c r="BKQ1590" s="528"/>
      <c r="BKR1590" s="528"/>
      <c r="BKS1590" s="528"/>
      <c r="BKT1590" s="528"/>
      <c r="BKU1590" s="528"/>
      <c r="BKV1590" s="528"/>
      <c r="BKW1590" s="528"/>
      <c r="BKX1590" s="527"/>
      <c r="BKY1590" s="528"/>
      <c r="BKZ1590" s="528"/>
      <c r="BLA1590" s="528"/>
      <c r="BLB1590" s="528"/>
      <c r="BLC1590" s="528"/>
      <c r="BLD1590" s="528"/>
      <c r="BLE1590" s="528"/>
      <c r="BLF1590" s="528"/>
      <c r="BLG1590" s="528"/>
      <c r="BLH1590" s="528"/>
      <c r="BLI1590" s="527"/>
      <c r="BLJ1590" s="528"/>
      <c r="BLK1590" s="528"/>
      <c r="BLL1590" s="528"/>
      <c r="BLM1590" s="528"/>
      <c r="BLN1590" s="528"/>
      <c r="BLO1590" s="528"/>
      <c r="BLP1590" s="528"/>
      <c r="BLQ1590" s="528"/>
      <c r="BLR1590" s="528"/>
      <c r="BLS1590" s="528"/>
      <c r="BLT1590" s="527"/>
      <c r="BLU1590" s="528"/>
      <c r="BLV1590" s="528"/>
      <c r="BLW1590" s="528"/>
      <c r="BLX1590" s="528"/>
      <c r="BLY1590" s="528"/>
      <c r="BLZ1590" s="528"/>
      <c r="BMA1590" s="528"/>
      <c r="BMB1590" s="528"/>
      <c r="BMC1590" s="528"/>
      <c r="BMD1590" s="528"/>
      <c r="BME1590" s="527"/>
      <c r="BMF1590" s="528"/>
      <c r="BMG1590" s="528"/>
      <c r="BMH1590" s="528"/>
      <c r="BMI1590" s="528"/>
      <c r="BMJ1590" s="528"/>
      <c r="BMK1590" s="528"/>
      <c r="BML1590" s="528"/>
      <c r="BMM1590" s="528"/>
      <c r="BMN1590" s="528"/>
      <c r="BMO1590" s="528"/>
      <c r="BMP1590" s="527"/>
      <c r="BMQ1590" s="528"/>
      <c r="BMR1590" s="528"/>
      <c r="BMS1590" s="528"/>
      <c r="BMT1590" s="528"/>
      <c r="BMU1590" s="528"/>
      <c r="BMV1590" s="528"/>
      <c r="BMW1590" s="528"/>
      <c r="BMX1590" s="528"/>
      <c r="BMY1590" s="528"/>
      <c r="BMZ1590" s="528"/>
      <c r="BNA1590" s="527"/>
      <c r="BNB1590" s="528"/>
      <c r="BNC1590" s="528"/>
      <c r="BND1590" s="528"/>
      <c r="BNE1590" s="528"/>
      <c r="BNF1590" s="528"/>
      <c r="BNG1590" s="528"/>
      <c r="BNH1590" s="528"/>
      <c r="BNI1590" s="528"/>
      <c r="BNJ1590" s="528"/>
      <c r="BNK1590" s="528"/>
      <c r="BNL1590" s="527"/>
      <c r="BNM1590" s="528"/>
      <c r="BNN1590" s="528"/>
      <c r="BNO1590" s="528"/>
      <c r="BNP1590" s="528"/>
      <c r="BNQ1590" s="528"/>
      <c r="BNR1590" s="528"/>
      <c r="BNS1590" s="528"/>
      <c r="BNT1590" s="528"/>
      <c r="BNU1590" s="528"/>
      <c r="BNV1590" s="528"/>
      <c r="BNW1590" s="527"/>
      <c r="BNX1590" s="528"/>
      <c r="BNY1590" s="528"/>
      <c r="BNZ1590" s="528"/>
      <c r="BOA1590" s="528"/>
      <c r="BOB1590" s="528"/>
      <c r="BOC1590" s="528"/>
      <c r="BOD1590" s="528"/>
      <c r="BOE1590" s="528"/>
      <c r="BOF1590" s="528"/>
      <c r="BOG1590" s="528"/>
      <c r="BOH1590" s="527"/>
      <c r="BOI1590" s="528"/>
      <c r="BOJ1590" s="528"/>
      <c r="BOK1590" s="528"/>
      <c r="BOL1590" s="528"/>
      <c r="BOM1590" s="528"/>
      <c r="BON1590" s="528"/>
      <c r="BOO1590" s="528"/>
      <c r="BOP1590" s="528"/>
      <c r="BOQ1590" s="528"/>
      <c r="BOR1590" s="528"/>
      <c r="BOS1590" s="527"/>
      <c r="BOT1590" s="528"/>
      <c r="BOU1590" s="528"/>
      <c r="BOV1590" s="528"/>
      <c r="BOW1590" s="528"/>
      <c r="BOX1590" s="528"/>
      <c r="BOY1590" s="528"/>
      <c r="BOZ1590" s="528"/>
      <c r="BPA1590" s="528"/>
      <c r="BPB1590" s="528"/>
      <c r="BPC1590" s="528"/>
      <c r="BPD1590" s="527"/>
      <c r="BPE1590" s="528"/>
      <c r="BPF1590" s="528"/>
      <c r="BPG1590" s="528"/>
      <c r="BPH1590" s="528"/>
      <c r="BPI1590" s="528"/>
      <c r="BPJ1590" s="528"/>
      <c r="BPK1590" s="528"/>
      <c r="BPL1590" s="528"/>
      <c r="BPM1590" s="528"/>
      <c r="BPN1590" s="528"/>
      <c r="BPO1590" s="527"/>
      <c r="BPP1590" s="528"/>
      <c r="BPQ1590" s="528"/>
      <c r="BPR1590" s="528"/>
      <c r="BPS1590" s="528"/>
      <c r="BPT1590" s="528"/>
      <c r="BPU1590" s="528"/>
      <c r="BPV1590" s="528"/>
      <c r="BPW1590" s="528"/>
      <c r="BPX1590" s="528"/>
      <c r="BPY1590" s="528"/>
      <c r="BPZ1590" s="527"/>
      <c r="BQA1590" s="528"/>
      <c r="BQB1590" s="528"/>
      <c r="BQC1590" s="528"/>
      <c r="BQD1590" s="528"/>
      <c r="BQE1590" s="528"/>
      <c r="BQF1590" s="528"/>
      <c r="BQG1590" s="528"/>
      <c r="BQH1590" s="528"/>
      <c r="BQI1590" s="528"/>
      <c r="BQJ1590" s="528"/>
      <c r="BQK1590" s="527"/>
      <c r="BQL1590" s="528"/>
      <c r="BQM1590" s="528"/>
      <c r="BQN1590" s="528"/>
      <c r="BQO1590" s="528"/>
      <c r="BQP1590" s="528"/>
      <c r="BQQ1590" s="528"/>
      <c r="BQR1590" s="528"/>
      <c r="BQS1590" s="528"/>
      <c r="BQT1590" s="528"/>
      <c r="BQU1590" s="528"/>
      <c r="BQV1590" s="527"/>
      <c r="BQW1590" s="528"/>
      <c r="BQX1590" s="528"/>
      <c r="BQY1590" s="528"/>
      <c r="BQZ1590" s="528"/>
      <c r="BRA1590" s="528"/>
      <c r="BRB1590" s="528"/>
      <c r="BRC1590" s="528"/>
      <c r="BRD1590" s="528"/>
      <c r="BRE1590" s="528"/>
      <c r="BRF1590" s="528"/>
      <c r="BRG1590" s="527"/>
      <c r="BRH1590" s="528"/>
      <c r="BRI1590" s="528"/>
      <c r="BRJ1590" s="528"/>
      <c r="BRK1590" s="528"/>
      <c r="BRL1590" s="528"/>
      <c r="BRM1590" s="528"/>
      <c r="BRN1590" s="528"/>
      <c r="BRO1590" s="528"/>
      <c r="BRP1590" s="528"/>
      <c r="BRQ1590" s="528"/>
      <c r="BRR1590" s="527"/>
      <c r="BRS1590" s="528"/>
      <c r="BRT1590" s="528"/>
      <c r="BRU1590" s="528"/>
      <c r="BRV1590" s="528"/>
      <c r="BRW1590" s="528"/>
      <c r="BRX1590" s="528"/>
      <c r="BRY1590" s="528"/>
      <c r="BRZ1590" s="528"/>
      <c r="BSA1590" s="528"/>
      <c r="BSB1590" s="528"/>
      <c r="BSC1590" s="527"/>
      <c r="BSD1590" s="528"/>
      <c r="BSE1590" s="528"/>
      <c r="BSF1590" s="528"/>
      <c r="BSG1590" s="528"/>
      <c r="BSH1590" s="528"/>
      <c r="BSI1590" s="528"/>
      <c r="BSJ1590" s="528"/>
      <c r="BSK1590" s="528"/>
      <c r="BSL1590" s="528"/>
      <c r="BSM1590" s="528"/>
      <c r="BSN1590" s="527"/>
      <c r="BSO1590" s="528"/>
      <c r="BSP1590" s="528"/>
      <c r="BSQ1590" s="528"/>
      <c r="BSR1590" s="528"/>
      <c r="BSS1590" s="528"/>
      <c r="BST1590" s="528"/>
      <c r="BSU1590" s="528"/>
      <c r="BSV1590" s="528"/>
      <c r="BSW1590" s="528"/>
      <c r="BSX1590" s="528"/>
      <c r="BSY1590" s="527"/>
      <c r="BSZ1590" s="528"/>
      <c r="BTA1590" s="528"/>
      <c r="BTB1590" s="528"/>
      <c r="BTC1590" s="528"/>
      <c r="BTD1590" s="528"/>
      <c r="BTE1590" s="528"/>
      <c r="BTF1590" s="528"/>
      <c r="BTG1590" s="528"/>
      <c r="BTH1590" s="528"/>
      <c r="BTI1590" s="528"/>
      <c r="BTJ1590" s="527"/>
      <c r="BTK1590" s="528"/>
      <c r="BTL1590" s="528"/>
      <c r="BTM1590" s="528"/>
      <c r="BTN1590" s="528"/>
      <c r="BTO1590" s="528"/>
      <c r="BTP1590" s="528"/>
      <c r="BTQ1590" s="528"/>
      <c r="BTR1590" s="528"/>
      <c r="BTS1590" s="528"/>
      <c r="BTT1590" s="528"/>
      <c r="BTU1590" s="527"/>
      <c r="BTV1590" s="528"/>
      <c r="BTW1590" s="528"/>
      <c r="BTX1590" s="528"/>
      <c r="BTY1590" s="528"/>
      <c r="BTZ1590" s="528"/>
      <c r="BUA1590" s="528"/>
      <c r="BUB1590" s="528"/>
      <c r="BUC1590" s="528"/>
      <c r="BUD1590" s="528"/>
      <c r="BUE1590" s="528"/>
      <c r="BUF1590" s="527"/>
      <c r="BUG1590" s="528"/>
      <c r="BUH1590" s="528"/>
      <c r="BUI1590" s="528"/>
      <c r="BUJ1590" s="528"/>
      <c r="BUK1590" s="528"/>
      <c r="BUL1590" s="528"/>
      <c r="BUM1590" s="528"/>
      <c r="BUN1590" s="528"/>
      <c r="BUO1590" s="528"/>
      <c r="BUP1590" s="528"/>
      <c r="BUQ1590" s="527"/>
      <c r="BUR1590" s="528"/>
      <c r="BUS1590" s="528"/>
      <c r="BUT1590" s="528"/>
      <c r="BUU1590" s="528"/>
      <c r="BUV1590" s="528"/>
      <c r="BUW1590" s="528"/>
      <c r="BUX1590" s="528"/>
      <c r="BUY1590" s="528"/>
      <c r="BUZ1590" s="528"/>
      <c r="BVA1590" s="528"/>
      <c r="BVB1590" s="527"/>
      <c r="BVC1590" s="528"/>
      <c r="BVD1590" s="528"/>
      <c r="BVE1590" s="528"/>
      <c r="BVF1590" s="528"/>
      <c r="BVG1590" s="528"/>
      <c r="BVH1590" s="528"/>
      <c r="BVI1590" s="528"/>
      <c r="BVJ1590" s="528"/>
      <c r="BVK1590" s="528"/>
      <c r="BVL1590" s="528"/>
      <c r="BVM1590" s="527"/>
      <c r="BVN1590" s="528"/>
      <c r="BVO1590" s="528"/>
      <c r="BVP1590" s="528"/>
      <c r="BVQ1590" s="528"/>
      <c r="BVR1590" s="528"/>
      <c r="BVS1590" s="528"/>
      <c r="BVT1590" s="528"/>
      <c r="BVU1590" s="528"/>
      <c r="BVV1590" s="528"/>
      <c r="BVW1590" s="528"/>
      <c r="BVX1590" s="527"/>
      <c r="BVY1590" s="528"/>
      <c r="BVZ1590" s="528"/>
      <c r="BWA1590" s="528"/>
      <c r="BWB1590" s="528"/>
      <c r="BWC1590" s="528"/>
      <c r="BWD1590" s="528"/>
      <c r="BWE1590" s="528"/>
      <c r="BWF1590" s="528"/>
      <c r="BWG1590" s="528"/>
      <c r="BWH1590" s="528"/>
      <c r="BWI1590" s="527"/>
      <c r="BWJ1590" s="528"/>
      <c r="BWK1590" s="528"/>
      <c r="BWL1590" s="528"/>
      <c r="BWM1590" s="528"/>
      <c r="BWN1590" s="528"/>
      <c r="BWO1590" s="528"/>
      <c r="BWP1590" s="528"/>
      <c r="BWQ1590" s="528"/>
      <c r="BWR1590" s="528"/>
      <c r="BWS1590" s="528"/>
      <c r="BWT1590" s="527"/>
      <c r="BWU1590" s="528"/>
      <c r="BWV1590" s="528"/>
      <c r="BWW1590" s="528"/>
      <c r="BWX1590" s="528"/>
      <c r="BWY1590" s="528"/>
      <c r="BWZ1590" s="528"/>
      <c r="BXA1590" s="528"/>
      <c r="BXB1590" s="528"/>
      <c r="BXC1590" s="528"/>
      <c r="BXD1590" s="528"/>
      <c r="BXE1590" s="527"/>
      <c r="BXF1590" s="528"/>
      <c r="BXG1590" s="528"/>
      <c r="BXH1590" s="528"/>
      <c r="BXI1590" s="528"/>
      <c r="BXJ1590" s="528"/>
      <c r="BXK1590" s="528"/>
      <c r="BXL1590" s="528"/>
      <c r="BXM1590" s="528"/>
      <c r="BXN1590" s="528"/>
      <c r="BXO1590" s="528"/>
      <c r="BXP1590" s="527"/>
      <c r="BXQ1590" s="528"/>
      <c r="BXR1590" s="528"/>
      <c r="BXS1590" s="528"/>
      <c r="BXT1590" s="528"/>
      <c r="BXU1590" s="528"/>
      <c r="BXV1590" s="528"/>
      <c r="BXW1590" s="528"/>
      <c r="BXX1590" s="528"/>
      <c r="BXY1590" s="528"/>
      <c r="BXZ1590" s="528"/>
      <c r="BYA1590" s="527"/>
      <c r="BYB1590" s="528"/>
      <c r="BYC1590" s="528"/>
      <c r="BYD1590" s="528"/>
      <c r="BYE1590" s="528"/>
      <c r="BYF1590" s="528"/>
      <c r="BYG1590" s="528"/>
      <c r="BYH1590" s="528"/>
      <c r="BYI1590" s="528"/>
      <c r="BYJ1590" s="528"/>
      <c r="BYK1590" s="528"/>
      <c r="BYL1590" s="527"/>
      <c r="BYM1590" s="528"/>
      <c r="BYN1590" s="528"/>
      <c r="BYO1590" s="528"/>
      <c r="BYP1590" s="528"/>
      <c r="BYQ1590" s="528"/>
      <c r="BYR1590" s="528"/>
      <c r="BYS1590" s="528"/>
      <c r="BYT1590" s="528"/>
      <c r="BYU1590" s="528"/>
      <c r="BYV1590" s="528"/>
      <c r="BYW1590" s="527"/>
      <c r="BYX1590" s="528"/>
      <c r="BYY1590" s="528"/>
      <c r="BYZ1590" s="528"/>
      <c r="BZA1590" s="528"/>
      <c r="BZB1590" s="528"/>
      <c r="BZC1590" s="528"/>
      <c r="BZD1590" s="528"/>
      <c r="BZE1590" s="528"/>
      <c r="BZF1590" s="528"/>
      <c r="BZG1590" s="528"/>
      <c r="BZH1590" s="527"/>
      <c r="BZI1590" s="528"/>
      <c r="BZJ1590" s="528"/>
      <c r="BZK1590" s="528"/>
      <c r="BZL1590" s="528"/>
      <c r="BZM1590" s="528"/>
      <c r="BZN1590" s="528"/>
      <c r="BZO1590" s="528"/>
      <c r="BZP1590" s="528"/>
      <c r="BZQ1590" s="528"/>
      <c r="BZR1590" s="528"/>
      <c r="BZS1590" s="527"/>
      <c r="BZT1590" s="528"/>
      <c r="BZU1590" s="528"/>
      <c r="BZV1590" s="528"/>
      <c r="BZW1590" s="528"/>
      <c r="BZX1590" s="528"/>
      <c r="BZY1590" s="528"/>
      <c r="BZZ1590" s="528"/>
      <c r="CAA1590" s="528"/>
      <c r="CAB1590" s="528"/>
      <c r="CAC1590" s="528"/>
      <c r="CAD1590" s="527"/>
      <c r="CAE1590" s="528"/>
      <c r="CAF1590" s="528"/>
      <c r="CAG1590" s="528"/>
      <c r="CAH1590" s="528"/>
      <c r="CAI1590" s="528"/>
      <c r="CAJ1590" s="528"/>
      <c r="CAK1590" s="528"/>
      <c r="CAL1590" s="528"/>
      <c r="CAM1590" s="528"/>
      <c r="CAN1590" s="528"/>
      <c r="CAO1590" s="527"/>
      <c r="CAP1590" s="528"/>
      <c r="CAQ1590" s="528"/>
      <c r="CAR1590" s="528"/>
      <c r="CAS1590" s="528"/>
      <c r="CAT1590" s="528"/>
      <c r="CAU1590" s="528"/>
      <c r="CAV1590" s="528"/>
      <c r="CAW1590" s="528"/>
      <c r="CAX1590" s="528"/>
      <c r="CAY1590" s="528"/>
      <c r="CAZ1590" s="527"/>
      <c r="CBA1590" s="528"/>
      <c r="CBB1590" s="528"/>
      <c r="CBC1590" s="528"/>
      <c r="CBD1590" s="528"/>
      <c r="CBE1590" s="528"/>
      <c r="CBF1590" s="528"/>
      <c r="CBG1590" s="528"/>
      <c r="CBH1590" s="528"/>
      <c r="CBI1590" s="528"/>
      <c r="CBJ1590" s="528"/>
      <c r="CBK1590" s="527"/>
      <c r="CBL1590" s="528"/>
      <c r="CBM1590" s="528"/>
      <c r="CBN1590" s="528"/>
      <c r="CBO1590" s="528"/>
      <c r="CBP1590" s="528"/>
      <c r="CBQ1590" s="528"/>
      <c r="CBR1590" s="528"/>
      <c r="CBS1590" s="528"/>
      <c r="CBT1590" s="528"/>
      <c r="CBU1590" s="528"/>
      <c r="CBV1590" s="527"/>
      <c r="CBW1590" s="528"/>
      <c r="CBX1590" s="528"/>
      <c r="CBY1590" s="528"/>
      <c r="CBZ1590" s="528"/>
      <c r="CCA1590" s="528"/>
      <c r="CCB1590" s="528"/>
      <c r="CCC1590" s="528"/>
      <c r="CCD1590" s="528"/>
      <c r="CCE1590" s="528"/>
      <c r="CCF1590" s="528"/>
      <c r="CCG1590" s="527"/>
      <c r="CCH1590" s="528"/>
      <c r="CCI1590" s="528"/>
      <c r="CCJ1590" s="528"/>
      <c r="CCK1590" s="528"/>
      <c r="CCL1590" s="528"/>
      <c r="CCM1590" s="528"/>
      <c r="CCN1590" s="528"/>
      <c r="CCO1590" s="528"/>
      <c r="CCP1590" s="528"/>
      <c r="CCQ1590" s="528"/>
      <c r="CCR1590" s="527"/>
      <c r="CCS1590" s="528"/>
      <c r="CCT1590" s="528"/>
      <c r="CCU1590" s="528"/>
      <c r="CCV1590" s="528"/>
      <c r="CCW1590" s="528"/>
      <c r="CCX1590" s="528"/>
      <c r="CCY1590" s="528"/>
      <c r="CCZ1590" s="528"/>
      <c r="CDA1590" s="528"/>
      <c r="CDB1590" s="528"/>
      <c r="CDC1590" s="527"/>
      <c r="CDD1590" s="528"/>
      <c r="CDE1590" s="528"/>
      <c r="CDF1590" s="528"/>
      <c r="CDG1590" s="528"/>
      <c r="CDH1590" s="528"/>
      <c r="CDI1590" s="528"/>
      <c r="CDJ1590" s="528"/>
      <c r="CDK1590" s="528"/>
      <c r="CDL1590" s="528"/>
      <c r="CDM1590" s="528"/>
      <c r="CDN1590" s="527"/>
      <c r="CDO1590" s="528"/>
      <c r="CDP1590" s="528"/>
      <c r="CDQ1590" s="528"/>
      <c r="CDR1590" s="528"/>
      <c r="CDS1590" s="528"/>
      <c r="CDT1590" s="528"/>
      <c r="CDU1590" s="528"/>
      <c r="CDV1590" s="528"/>
      <c r="CDW1590" s="528"/>
      <c r="CDX1590" s="528"/>
      <c r="CDY1590" s="527"/>
      <c r="CDZ1590" s="528"/>
      <c r="CEA1590" s="528"/>
      <c r="CEB1590" s="528"/>
      <c r="CEC1590" s="528"/>
      <c r="CED1590" s="528"/>
      <c r="CEE1590" s="528"/>
      <c r="CEF1590" s="528"/>
      <c r="CEG1590" s="528"/>
      <c r="CEH1590" s="528"/>
      <c r="CEI1590" s="528"/>
      <c r="CEJ1590" s="527"/>
      <c r="CEK1590" s="528"/>
      <c r="CEL1590" s="528"/>
      <c r="CEM1590" s="528"/>
      <c r="CEN1590" s="528"/>
      <c r="CEO1590" s="528"/>
      <c r="CEP1590" s="528"/>
      <c r="CEQ1590" s="528"/>
      <c r="CER1590" s="528"/>
      <c r="CES1590" s="528"/>
      <c r="CET1590" s="528"/>
      <c r="CEU1590" s="527"/>
      <c r="CEV1590" s="528"/>
      <c r="CEW1590" s="528"/>
      <c r="CEX1590" s="528"/>
      <c r="CEY1590" s="528"/>
      <c r="CEZ1590" s="528"/>
      <c r="CFA1590" s="528"/>
      <c r="CFB1590" s="528"/>
      <c r="CFC1590" s="528"/>
      <c r="CFD1590" s="528"/>
      <c r="CFE1590" s="528"/>
      <c r="CFF1590" s="527"/>
      <c r="CFG1590" s="528"/>
      <c r="CFH1590" s="528"/>
      <c r="CFI1590" s="528"/>
      <c r="CFJ1590" s="528"/>
      <c r="CFK1590" s="528"/>
      <c r="CFL1590" s="528"/>
      <c r="CFM1590" s="528"/>
      <c r="CFN1590" s="528"/>
      <c r="CFO1590" s="528"/>
      <c r="CFP1590" s="528"/>
      <c r="CFQ1590" s="527"/>
      <c r="CFR1590" s="528"/>
      <c r="CFS1590" s="528"/>
      <c r="CFT1590" s="528"/>
      <c r="CFU1590" s="528"/>
      <c r="CFV1590" s="528"/>
      <c r="CFW1590" s="528"/>
      <c r="CFX1590" s="528"/>
      <c r="CFY1590" s="528"/>
      <c r="CFZ1590" s="528"/>
      <c r="CGA1590" s="528"/>
      <c r="CGB1590" s="527"/>
      <c r="CGC1590" s="528"/>
      <c r="CGD1590" s="528"/>
      <c r="CGE1590" s="528"/>
      <c r="CGF1590" s="528"/>
      <c r="CGG1590" s="528"/>
      <c r="CGH1590" s="528"/>
      <c r="CGI1590" s="528"/>
      <c r="CGJ1590" s="528"/>
      <c r="CGK1590" s="528"/>
      <c r="CGL1590" s="528"/>
      <c r="CGM1590" s="527"/>
      <c r="CGN1590" s="528"/>
      <c r="CGO1590" s="528"/>
      <c r="CGP1590" s="528"/>
      <c r="CGQ1590" s="528"/>
      <c r="CGR1590" s="528"/>
      <c r="CGS1590" s="528"/>
      <c r="CGT1590" s="528"/>
      <c r="CGU1590" s="528"/>
      <c r="CGV1590" s="528"/>
      <c r="CGW1590" s="528"/>
      <c r="CGX1590" s="527"/>
      <c r="CGY1590" s="528"/>
      <c r="CGZ1590" s="528"/>
      <c r="CHA1590" s="528"/>
      <c r="CHB1590" s="528"/>
      <c r="CHC1590" s="528"/>
      <c r="CHD1590" s="528"/>
      <c r="CHE1590" s="528"/>
      <c r="CHF1590" s="528"/>
      <c r="CHG1590" s="528"/>
      <c r="CHH1590" s="528"/>
      <c r="CHI1590" s="527"/>
      <c r="CHJ1590" s="528"/>
      <c r="CHK1590" s="528"/>
      <c r="CHL1590" s="528"/>
      <c r="CHM1590" s="528"/>
      <c r="CHN1590" s="528"/>
      <c r="CHO1590" s="528"/>
      <c r="CHP1590" s="528"/>
      <c r="CHQ1590" s="528"/>
      <c r="CHR1590" s="528"/>
      <c r="CHS1590" s="528"/>
      <c r="CHT1590" s="527"/>
      <c r="CHU1590" s="528"/>
      <c r="CHV1590" s="528"/>
      <c r="CHW1590" s="528"/>
      <c r="CHX1590" s="528"/>
      <c r="CHY1590" s="528"/>
      <c r="CHZ1590" s="528"/>
      <c r="CIA1590" s="528"/>
      <c r="CIB1590" s="528"/>
      <c r="CIC1590" s="528"/>
      <c r="CID1590" s="528"/>
      <c r="CIE1590" s="527"/>
      <c r="CIF1590" s="528"/>
      <c r="CIG1590" s="528"/>
      <c r="CIH1590" s="528"/>
      <c r="CII1590" s="528"/>
      <c r="CIJ1590" s="528"/>
      <c r="CIK1590" s="528"/>
      <c r="CIL1590" s="528"/>
      <c r="CIM1590" s="528"/>
      <c r="CIN1590" s="528"/>
      <c r="CIO1590" s="528"/>
      <c r="CIP1590" s="527"/>
      <c r="CIQ1590" s="528"/>
      <c r="CIR1590" s="528"/>
      <c r="CIS1590" s="528"/>
      <c r="CIT1590" s="528"/>
      <c r="CIU1590" s="528"/>
      <c r="CIV1590" s="528"/>
      <c r="CIW1590" s="528"/>
      <c r="CIX1590" s="528"/>
      <c r="CIY1590" s="528"/>
      <c r="CIZ1590" s="528"/>
      <c r="CJA1590" s="527"/>
      <c r="CJB1590" s="528"/>
      <c r="CJC1590" s="528"/>
      <c r="CJD1590" s="528"/>
      <c r="CJE1590" s="528"/>
      <c r="CJF1590" s="528"/>
      <c r="CJG1590" s="528"/>
      <c r="CJH1590" s="528"/>
      <c r="CJI1590" s="528"/>
      <c r="CJJ1590" s="528"/>
      <c r="CJK1590" s="528"/>
      <c r="CJL1590" s="527"/>
      <c r="CJM1590" s="528"/>
      <c r="CJN1590" s="528"/>
      <c r="CJO1590" s="528"/>
      <c r="CJP1590" s="528"/>
      <c r="CJQ1590" s="528"/>
      <c r="CJR1590" s="528"/>
      <c r="CJS1590" s="528"/>
      <c r="CJT1590" s="528"/>
      <c r="CJU1590" s="528"/>
      <c r="CJV1590" s="528"/>
      <c r="CJW1590" s="527"/>
      <c r="CJX1590" s="528"/>
      <c r="CJY1590" s="528"/>
      <c r="CJZ1590" s="528"/>
      <c r="CKA1590" s="528"/>
      <c r="CKB1590" s="528"/>
      <c r="CKC1590" s="528"/>
      <c r="CKD1590" s="528"/>
      <c r="CKE1590" s="528"/>
      <c r="CKF1590" s="528"/>
      <c r="CKG1590" s="528"/>
      <c r="CKH1590" s="527"/>
      <c r="CKI1590" s="528"/>
      <c r="CKJ1590" s="528"/>
      <c r="CKK1590" s="528"/>
      <c r="CKL1590" s="528"/>
      <c r="CKM1590" s="528"/>
      <c r="CKN1590" s="528"/>
      <c r="CKO1590" s="528"/>
      <c r="CKP1590" s="528"/>
      <c r="CKQ1590" s="528"/>
      <c r="CKR1590" s="528"/>
      <c r="CKS1590" s="527"/>
      <c r="CKT1590" s="528"/>
      <c r="CKU1590" s="528"/>
      <c r="CKV1590" s="528"/>
      <c r="CKW1590" s="528"/>
      <c r="CKX1590" s="528"/>
      <c r="CKY1590" s="528"/>
      <c r="CKZ1590" s="528"/>
      <c r="CLA1590" s="528"/>
      <c r="CLB1590" s="528"/>
      <c r="CLC1590" s="528"/>
      <c r="CLD1590" s="527"/>
      <c r="CLE1590" s="528"/>
      <c r="CLF1590" s="528"/>
      <c r="CLG1590" s="528"/>
      <c r="CLH1590" s="528"/>
      <c r="CLI1590" s="528"/>
      <c r="CLJ1590" s="528"/>
      <c r="CLK1590" s="528"/>
      <c r="CLL1590" s="528"/>
      <c r="CLM1590" s="528"/>
      <c r="CLN1590" s="528"/>
      <c r="CLO1590" s="527"/>
      <c r="CLP1590" s="528"/>
      <c r="CLQ1590" s="528"/>
      <c r="CLR1590" s="528"/>
      <c r="CLS1590" s="528"/>
      <c r="CLT1590" s="528"/>
      <c r="CLU1590" s="528"/>
      <c r="CLV1590" s="528"/>
      <c r="CLW1590" s="528"/>
      <c r="CLX1590" s="528"/>
      <c r="CLY1590" s="528"/>
      <c r="CLZ1590" s="527"/>
      <c r="CMA1590" s="528"/>
      <c r="CMB1590" s="528"/>
      <c r="CMC1590" s="528"/>
      <c r="CMD1590" s="528"/>
      <c r="CME1590" s="528"/>
      <c r="CMF1590" s="528"/>
      <c r="CMG1590" s="528"/>
      <c r="CMH1590" s="528"/>
      <c r="CMI1590" s="528"/>
      <c r="CMJ1590" s="528"/>
      <c r="CMK1590" s="527"/>
      <c r="CML1590" s="528"/>
      <c r="CMM1590" s="528"/>
      <c r="CMN1590" s="528"/>
      <c r="CMO1590" s="528"/>
      <c r="CMP1590" s="528"/>
      <c r="CMQ1590" s="528"/>
      <c r="CMR1590" s="528"/>
      <c r="CMS1590" s="528"/>
      <c r="CMT1590" s="528"/>
      <c r="CMU1590" s="528"/>
      <c r="CMV1590" s="527"/>
      <c r="CMW1590" s="528"/>
      <c r="CMX1590" s="528"/>
      <c r="CMY1590" s="528"/>
      <c r="CMZ1590" s="528"/>
      <c r="CNA1590" s="528"/>
      <c r="CNB1590" s="528"/>
      <c r="CNC1590" s="528"/>
      <c r="CND1590" s="528"/>
      <c r="CNE1590" s="528"/>
      <c r="CNF1590" s="528"/>
      <c r="CNG1590" s="527"/>
      <c r="CNH1590" s="528"/>
      <c r="CNI1590" s="528"/>
      <c r="CNJ1590" s="528"/>
      <c r="CNK1590" s="528"/>
      <c r="CNL1590" s="528"/>
      <c r="CNM1590" s="528"/>
      <c r="CNN1590" s="528"/>
      <c r="CNO1590" s="528"/>
      <c r="CNP1590" s="528"/>
      <c r="CNQ1590" s="528"/>
      <c r="CNR1590" s="527"/>
      <c r="CNS1590" s="528"/>
      <c r="CNT1590" s="528"/>
      <c r="CNU1590" s="528"/>
      <c r="CNV1590" s="528"/>
      <c r="CNW1590" s="528"/>
      <c r="CNX1590" s="528"/>
      <c r="CNY1590" s="528"/>
      <c r="CNZ1590" s="528"/>
      <c r="COA1590" s="528"/>
      <c r="COB1590" s="528"/>
      <c r="COC1590" s="527"/>
      <c r="COD1590" s="528"/>
      <c r="COE1590" s="528"/>
      <c r="COF1590" s="528"/>
      <c r="COG1590" s="528"/>
      <c r="COH1590" s="528"/>
      <c r="COI1590" s="528"/>
      <c r="COJ1590" s="528"/>
      <c r="COK1590" s="528"/>
      <c r="COL1590" s="528"/>
      <c r="COM1590" s="528"/>
      <c r="CON1590" s="527"/>
      <c r="COO1590" s="528"/>
      <c r="COP1590" s="528"/>
      <c r="COQ1590" s="528"/>
      <c r="COR1590" s="528"/>
      <c r="COS1590" s="528"/>
      <c r="COT1590" s="528"/>
      <c r="COU1590" s="528"/>
      <c r="COV1590" s="528"/>
      <c r="COW1590" s="528"/>
      <c r="COX1590" s="528"/>
      <c r="COY1590" s="527"/>
      <c r="COZ1590" s="528"/>
      <c r="CPA1590" s="528"/>
      <c r="CPB1590" s="528"/>
      <c r="CPC1590" s="528"/>
      <c r="CPD1590" s="528"/>
      <c r="CPE1590" s="528"/>
      <c r="CPF1590" s="528"/>
      <c r="CPG1590" s="528"/>
      <c r="CPH1590" s="528"/>
      <c r="CPI1590" s="528"/>
      <c r="CPJ1590" s="527"/>
      <c r="CPK1590" s="528"/>
      <c r="CPL1590" s="528"/>
      <c r="CPM1590" s="528"/>
      <c r="CPN1590" s="528"/>
      <c r="CPO1590" s="528"/>
      <c r="CPP1590" s="528"/>
      <c r="CPQ1590" s="528"/>
      <c r="CPR1590" s="528"/>
      <c r="CPS1590" s="528"/>
      <c r="CPT1590" s="528"/>
      <c r="CPU1590" s="527"/>
      <c r="CPV1590" s="528"/>
      <c r="CPW1590" s="528"/>
      <c r="CPX1590" s="528"/>
      <c r="CPY1590" s="528"/>
      <c r="CPZ1590" s="528"/>
      <c r="CQA1590" s="528"/>
      <c r="CQB1590" s="528"/>
      <c r="CQC1590" s="528"/>
      <c r="CQD1590" s="528"/>
      <c r="CQE1590" s="528"/>
      <c r="CQF1590" s="527"/>
      <c r="CQG1590" s="528"/>
      <c r="CQH1590" s="528"/>
      <c r="CQI1590" s="528"/>
      <c r="CQJ1590" s="528"/>
      <c r="CQK1590" s="528"/>
      <c r="CQL1590" s="528"/>
      <c r="CQM1590" s="528"/>
      <c r="CQN1590" s="528"/>
      <c r="CQO1590" s="528"/>
      <c r="CQP1590" s="528"/>
      <c r="CQQ1590" s="527"/>
      <c r="CQR1590" s="528"/>
      <c r="CQS1590" s="528"/>
      <c r="CQT1590" s="528"/>
      <c r="CQU1590" s="528"/>
      <c r="CQV1590" s="528"/>
      <c r="CQW1590" s="528"/>
      <c r="CQX1590" s="528"/>
      <c r="CQY1590" s="528"/>
      <c r="CQZ1590" s="528"/>
      <c r="CRA1590" s="528"/>
      <c r="CRB1590" s="527"/>
      <c r="CRC1590" s="528"/>
      <c r="CRD1590" s="528"/>
      <c r="CRE1590" s="528"/>
      <c r="CRF1590" s="528"/>
      <c r="CRG1590" s="528"/>
      <c r="CRH1590" s="528"/>
      <c r="CRI1590" s="528"/>
      <c r="CRJ1590" s="528"/>
      <c r="CRK1590" s="528"/>
      <c r="CRL1590" s="528"/>
      <c r="CRM1590" s="527"/>
      <c r="CRN1590" s="528"/>
      <c r="CRO1590" s="528"/>
      <c r="CRP1590" s="528"/>
      <c r="CRQ1590" s="528"/>
      <c r="CRR1590" s="528"/>
      <c r="CRS1590" s="528"/>
      <c r="CRT1590" s="528"/>
      <c r="CRU1590" s="528"/>
      <c r="CRV1590" s="528"/>
      <c r="CRW1590" s="528"/>
      <c r="CRX1590" s="527"/>
      <c r="CRY1590" s="528"/>
      <c r="CRZ1590" s="528"/>
      <c r="CSA1590" s="528"/>
      <c r="CSB1590" s="528"/>
      <c r="CSC1590" s="528"/>
      <c r="CSD1590" s="528"/>
      <c r="CSE1590" s="528"/>
      <c r="CSF1590" s="528"/>
      <c r="CSG1590" s="528"/>
      <c r="CSH1590" s="528"/>
      <c r="CSI1590" s="527"/>
      <c r="CSJ1590" s="528"/>
      <c r="CSK1590" s="528"/>
      <c r="CSL1590" s="528"/>
      <c r="CSM1590" s="528"/>
      <c r="CSN1590" s="528"/>
      <c r="CSO1590" s="528"/>
      <c r="CSP1590" s="528"/>
      <c r="CSQ1590" s="528"/>
      <c r="CSR1590" s="528"/>
      <c r="CSS1590" s="528"/>
      <c r="CST1590" s="527"/>
      <c r="CSU1590" s="528"/>
      <c r="CSV1590" s="528"/>
      <c r="CSW1590" s="528"/>
      <c r="CSX1590" s="528"/>
      <c r="CSY1590" s="528"/>
      <c r="CSZ1590" s="528"/>
      <c r="CTA1590" s="528"/>
      <c r="CTB1590" s="528"/>
      <c r="CTC1590" s="528"/>
      <c r="CTD1590" s="528"/>
      <c r="CTE1590" s="527"/>
      <c r="CTF1590" s="528"/>
      <c r="CTG1590" s="528"/>
      <c r="CTH1590" s="528"/>
      <c r="CTI1590" s="528"/>
      <c r="CTJ1590" s="528"/>
      <c r="CTK1590" s="528"/>
      <c r="CTL1590" s="528"/>
      <c r="CTM1590" s="528"/>
      <c r="CTN1590" s="528"/>
      <c r="CTO1590" s="528"/>
      <c r="CTP1590" s="527"/>
      <c r="CTQ1590" s="528"/>
      <c r="CTR1590" s="528"/>
      <c r="CTS1590" s="528"/>
      <c r="CTT1590" s="528"/>
      <c r="CTU1590" s="528"/>
      <c r="CTV1590" s="528"/>
      <c r="CTW1590" s="528"/>
      <c r="CTX1590" s="528"/>
      <c r="CTY1590" s="528"/>
      <c r="CTZ1590" s="528"/>
      <c r="CUA1590" s="527"/>
      <c r="CUB1590" s="528"/>
      <c r="CUC1590" s="528"/>
      <c r="CUD1590" s="528"/>
      <c r="CUE1590" s="528"/>
      <c r="CUF1590" s="528"/>
      <c r="CUG1590" s="528"/>
      <c r="CUH1590" s="528"/>
      <c r="CUI1590" s="528"/>
      <c r="CUJ1590" s="528"/>
      <c r="CUK1590" s="528"/>
      <c r="CUL1590" s="527"/>
      <c r="CUM1590" s="528"/>
      <c r="CUN1590" s="528"/>
      <c r="CUO1590" s="528"/>
      <c r="CUP1590" s="528"/>
      <c r="CUQ1590" s="528"/>
      <c r="CUR1590" s="528"/>
      <c r="CUS1590" s="528"/>
      <c r="CUT1590" s="528"/>
      <c r="CUU1590" s="528"/>
      <c r="CUV1590" s="528"/>
      <c r="CUW1590" s="527"/>
      <c r="CUX1590" s="528"/>
      <c r="CUY1590" s="528"/>
      <c r="CUZ1590" s="528"/>
      <c r="CVA1590" s="528"/>
      <c r="CVB1590" s="528"/>
      <c r="CVC1590" s="528"/>
      <c r="CVD1590" s="528"/>
      <c r="CVE1590" s="528"/>
      <c r="CVF1590" s="528"/>
      <c r="CVG1590" s="528"/>
      <c r="CVH1590" s="527"/>
      <c r="CVI1590" s="528"/>
      <c r="CVJ1590" s="528"/>
      <c r="CVK1590" s="528"/>
      <c r="CVL1590" s="528"/>
      <c r="CVM1590" s="528"/>
      <c r="CVN1590" s="528"/>
      <c r="CVO1590" s="528"/>
      <c r="CVP1590" s="528"/>
      <c r="CVQ1590" s="528"/>
      <c r="CVR1590" s="528"/>
      <c r="CVS1590" s="527"/>
      <c r="CVT1590" s="528"/>
      <c r="CVU1590" s="528"/>
      <c r="CVV1590" s="528"/>
      <c r="CVW1590" s="528"/>
      <c r="CVX1590" s="528"/>
      <c r="CVY1590" s="528"/>
      <c r="CVZ1590" s="528"/>
      <c r="CWA1590" s="528"/>
      <c r="CWB1590" s="528"/>
      <c r="CWC1590" s="528"/>
      <c r="CWD1590" s="527"/>
      <c r="CWE1590" s="528"/>
      <c r="CWF1590" s="528"/>
      <c r="CWG1590" s="528"/>
      <c r="CWH1590" s="528"/>
      <c r="CWI1590" s="528"/>
      <c r="CWJ1590" s="528"/>
      <c r="CWK1590" s="528"/>
      <c r="CWL1590" s="528"/>
      <c r="CWM1590" s="528"/>
      <c r="CWN1590" s="528"/>
      <c r="CWO1590" s="527"/>
      <c r="CWP1590" s="528"/>
      <c r="CWQ1590" s="528"/>
      <c r="CWR1590" s="528"/>
      <c r="CWS1590" s="528"/>
      <c r="CWT1590" s="528"/>
      <c r="CWU1590" s="528"/>
      <c r="CWV1590" s="528"/>
      <c r="CWW1590" s="528"/>
      <c r="CWX1590" s="528"/>
      <c r="CWY1590" s="528"/>
      <c r="CWZ1590" s="527"/>
      <c r="CXA1590" s="528"/>
      <c r="CXB1590" s="528"/>
      <c r="CXC1590" s="528"/>
      <c r="CXD1590" s="528"/>
      <c r="CXE1590" s="528"/>
      <c r="CXF1590" s="528"/>
      <c r="CXG1590" s="528"/>
      <c r="CXH1590" s="528"/>
      <c r="CXI1590" s="528"/>
      <c r="CXJ1590" s="528"/>
      <c r="CXK1590" s="527"/>
      <c r="CXL1590" s="528"/>
      <c r="CXM1590" s="528"/>
      <c r="CXN1590" s="528"/>
      <c r="CXO1590" s="528"/>
      <c r="CXP1590" s="528"/>
      <c r="CXQ1590" s="528"/>
      <c r="CXR1590" s="528"/>
      <c r="CXS1590" s="528"/>
      <c r="CXT1590" s="528"/>
      <c r="CXU1590" s="528"/>
      <c r="CXV1590" s="527"/>
      <c r="CXW1590" s="528"/>
      <c r="CXX1590" s="528"/>
      <c r="CXY1590" s="528"/>
      <c r="CXZ1590" s="528"/>
      <c r="CYA1590" s="528"/>
      <c r="CYB1590" s="528"/>
      <c r="CYC1590" s="528"/>
      <c r="CYD1590" s="528"/>
      <c r="CYE1590" s="528"/>
      <c r="CYF1590" s="528"/>
      <c r="CYG1590" s="527"/>
      <c r="CYH1590" s="528"/>
      <c r="CYI1590" s="528"/>
      <c r="CYJ1590" s="528"/>
      <c r="CYK1590" s="528"/>
      <c r="CYL1590" s="528"/>
      <c r="CYM1590" s="528"/>
      <c r="CYN1590" s="528"/>
      <c r="CYO1590" s="528"/>
      <c r="CYP1590" s="528"/>
      <c r="CYQ1590" s="528"/>
      <c r="CYR1590" s="527"/>
      <c r="CYS1590" s="528"/>
      <c r="CYT1590" s="528"/>
      <c r="CYU1590" s="528"/>
      <c r="CYV1590" s="528"/>
      <c r="CYW1590" s="528"/>
      <c r="CYX1590" s="528"/>
      <c r="CYY1590" s="528"/>
      <c r="CYZ1590" s="528"/>
      <c r="CZA1590" s="528"/>
      <c r="CZB1590" s="528"/>
      <c r="CZC1590" s="527"/>
      <c r="CZD1590" s="528"/>
      <c r="CZE1590" s="528"/>
      <c r="CZF1590" s="528"/>
      <c r="CZG1590" s="528"/>
      <c r="CZH1590" s="528"/>
      <c r="CZI1590" s="528"/>
      <c r="CZJ1590" s="528"/>
      <c r="CZK1590" s="528"/>
      <c r="CZL1590" s="528"/>
      <c r="CZM1590" s="528"/>
      <c r="CZN1590" s="527"/>
      <c r="CZO1590" s="528"/>
      <c r="CZP1590" s="528"/>
      <c r="CZQ1590" s="528"/>
      <c r="CZR1590" s="528"/>
      <c r="CZS1590" s="528"/>
      <c r="CZT1590" s="528"/>
      <c r="CZU1590" s="528"/>
      <c r="CZV1590" s="528"/>
      <c r="CZW1590" s="528"/>
      <c r="CZX1590" s="528"/>
      <c r="CZY1590" s="527"/>
      <c r="CZZ1590" s="528"/>
      <c r="DAA1590" s="528"/>
      <c r="DAB1590" s="528"/>
      <c r="DAC1590" s="528"/>
      <c r="DAD1590" s="528"/>
      <c r="DAE1590" s="528"/>
      <c r="DAF1590" s="528"/>
      <c r="DAG1590" s="528"/>
      <c r="DAH1590" s="528"/>
      <c r="DAI1590" s="528"/>
      <c r="DAJ1590" s="527"/>
      <c r="DAK1590" s="528"/>
      <c r="DAL1590" s="528"/>
      <c r="DAM1590" s="528"/>
      <c r="DAN1590" s="528"/>
      <c r="DAO1590" s="528"/>
      <c r="DAP1590" s="528"/>
      <c r="DAQ1590" s="528"/>
      <c r="DAR1590" s="528"/>
      <c r="DAS1590" s="528"/>
      <c r="DAT1590" s="528"/>
      <c r="DAU1590" s="527"/>
      <c r="DAV1590" s="528"/>
      <c r="DAW1590" s="528"/>
      <c r="DAX1590" s="528"/>
      <c r="DAY1590" s="528"/>
      <c r="DAZ1590" s="528"/>
      <c r="DBA1590" s="528"/>
      <c r="DBB1590" s="528"/>
      <c r="DBC1590" s="528"/>
      <c r="DBD1590" s="528"/>
      <c r="DBE1590" s="528"/>
      <c r="DBF1590" s="527"/>
      <c r="DBG1590" s="528"/>
      <c r="DBH1590" s="528"/>
      <c r="DBI1590" s="528"/>
      <c r="DBJ1590" s="528"/>
      <c r="DBK1590" s="528"/>
      <c r="DBL1590" s="528"/>
      <c r="DBM1590" s="528"/>
      <c r="DBN1590" s="528"/>
      <c r="DBO1590" s="528"/>
      <c r="DBP1590" s="528"/>
      <c r="DBQ1590" s="527"/>
      <c r="DBR1590" s="528"/>
      <c r="DBS1590" s="528"/>
      <c r="DBT1590" s="528"/>
      <c r="DBU1590" s="528"/>
      <c r="DBV1590" s="528"/>
      <c r="DBW1590" s="528"/>
      <c r="DBX1590" s="528"/>
      <c r="DBY1590" s="528"/>
      <c r="DBZ1590" s="528"/>
      <c r="DCA1590" s="528"/>
      <c r="DCB1590" s="527"/>
      <c r="DCC1590" s="528"/>
      <c r="DCD1590" s="528"/>
      <c r="DCE1590" s="528"/>
      <c r="DCF1590" s="528"/>
      <c r="DCG1590" s="528"/>
      <c r="DCH1590" s="528"/>
      <c r="DCI1590" s="528"/>
      <c r="DCJ1590" s="528"/>
      <c r="DCK1590" s="528"/>
      <c r="DCL1590" s="528"/>
      <c r="DCM1590" s="527"/>
      <c r="DCN1590" s="528"/>
      <c r="DCO1590" s="528"/>
      <c r="DCP1590" s="528"/>
      <c r="DCQ1590" s="528"/>
      <c r="DCR1590" s="528"/>
      <c r="DCS1590" s="528"/>
      <c r="DCT1590" s="528"/>
      <c r="DCU1590" s="528"/>
      <c r="DCV1590" s="528"/>
      <c r="DCW1590" s="528"/>
      <c r="DCX1590" s="527"/>
      <c r="DCY1590" s="528"/>
      <c r="DCZ1590" s="528"/>
      <c r="DDA1590" s="528"/>
      <c r="DDB1590" s="528"/>
      <c r="DDC1590" s="528"/>
      <c r="DDD1590" s="528"/>
      <c r="DDE1590" s="528"/>
      <c r="DDF1590" s="528"/>
      <c r="DDG1590" s="528"/>
      <c r="DDH1590" s="528"/>
      <c r="DDI1590" s="527"/>
      <c r="DDJ1590" s="528"/>
      <c r="DDK1590" s="528"/>
      <c r="DDL1590" s="528"/>
      <c r="DDM1590" s="528"/>
      <c r="DDN1590" s="528"/>
      <c r="DDO1590" s="528"/>
      <c r="DDP1590" s="528"/>
      <c r="DDQ1590" s="528"/>
      <c r="DDR1590" s="528"/>
      <c r="DDS1590" s="528"/>
      <c r="DDT1590" s="527"/>
      <c r="DDU1590" s="528"/>
      <c r="DDV1590" s="528"/>
      <c r="DDW1590" s="528"/>
      <c r="DDX1590" s="528"/>
      <c r="DDY1590" s="528"/>
      <c r="DDZ1590" s="528"/>
      <c r="DEA1590" s="528"/>
      <c r="DEB1590" s="528"/>
      <c r="DEC1590" s="528"/>
      <c r="DED1590" s="528"/>
      <c r="DEE1590" s="527"/>
      <c r="DEF1590" s="528"/>
      <c r="DEG1590" s="528"/>
      <c r="DEH1590" s="528"/>
      <c r="DEI1590" s="528"/>
      <c r="DEJ1590" s="528"/>
      <c r="DEK1590" s="528"/>
      <c r="DEL1590" s="528"/>
      <c r="DEM1590" s="528"/>
      <c r="DEN1590" s="528"/>
      <c r="DEO1590" s="528"/>
      <c r="DEP1590" s="527"/>
      <c r="DEQ1590" s="528"/>
      <c r="DER1590" s="528"/>
      <c r="DES1590" s="528"/>
      <c r="DET1590" s="528"/>
      <c r="DEU1590" s="528"/>
      <c r="DEV1590" s="528"/>
      <c r="DEW1590" s="528"/>
      <c r="DEX1590" s="528"/>
      <c r="DEY1590" s="528"/>
      <c r="DEZ1590" s="528"/>
      <c r="DFA1590" s="527"/>
      <c r="DFB1590" s="528"/>
      <c r="DFC1590" s="528"/>
      <c r="DFD1590" s="528"/>
      <c r="DFE1590" s="528"/>
      <c r="DFF1590" s="528"/>
      <c r="DFG1590" s="528"/>
      <c r="DFH1590" s="528"/>
      <c r="DFI1590" s="528"/>
      <c r="DFJ1590" s="528"/>
      <c r="DFK1590" s="528"/>
      <c r="DFL1590" s="527"/>
      <c r="DFM1590" s="528"/>
      <c r="DFN1590" s="528"/>
      <c r="DFO1590" s="528"/>
      <c r="DFP1590" s="528"/>
      <c r="DFQ1590" s="528"/>
      <c r="DFR1590" s="528"/>
      <c r="DFS1590" s="528"/>
      <c r="DFT1590" s="528"/>
      <c r="DFU1590" s="528"/>
      <c r="DFV1590" s="528"/>
      <c r="DFW1590" s="527"/>
      <c r="DFX1590" s="528"/>
      <c r="DFY1590" s="528"/>
      <c r="DFZ1590" s="528"/>
      <c r="DGA1590" s="528"/>
      <c r="DGB1590" s="528"/>
      <c r="DGC1590" s="528"/>
      <c r="DGD1590" s="528"/>
      <c r="DGE1590" s="528"/>
      <c r="DGF1590" s="528"/>
      <c r="DGG1590" s="528"/>
      <c r="DGH1590" s="527"/>
      <c r="DGI1590" s="528"/>
      <c r="DGJ1590" s="528"/>
      <c r="DGK1590" s="528"/>
      <c r="DGL1590" s="528"/>
      <c r="DGM1590" s="528"/>
      <c r="DGN1590" s="528"/>
      <c r="DGO1590" s="528"/>
      <c r="DGP1590" s="528"/>
      <c r="DGQ1590" s="528"/>
      <c r="DGR1590" s="528"/>
      <c r="DGS1590" s="527"/>
      <c r="DGT1590" s="528"/>
      <c r="DGU1590" s="528"/>
      <c r="DGV1590" s="528"/>
      <c r="DGW1590" s="528"/>
      <c r="DGX1590" s="528"/>
      <c r="DGY1590" s="528"/>
      <c r="DGZ1590" s="528"/>
      <c r="DHA1590" s="528"/>
      <c r="DHB1590" s="528"/>
      <c r="DHC1590" s="528"/>
      <c r="DHD1590" s="527"/>
      <c r="DHE1590" s="528"/>
      <c r="DHF1590" s="528"/>
      <c r="DHG1590" s="528"/>
      <c r="DHH1590" s="528"/>
      <c r="DHI1590" s="528"/>
      <c r="DHJ1590" s="528"/>
      <c r="DHK1590" s="528"/>
      <c r="DHL1590" s="528"/>
      <c r="DHM1590" s="528"/>
      <c r="DHN1590" s="528"/>
      <c r="DHO1590" s="527"/>
      <c r="DHP1590" s="528"/>
      <c r="DHQ1590" s="528"/>
      <c r="DHR1590" s="528"/>
      <c r="DHS1590" s="528"/>
      <c r="DHT1590" s="528"/>
      <c r="DHU1590" s="528"/>
      <c r="DHV1590" s="528"/>
      <c r="DHW1590" s="528"/>
      <c r="DHX1590" s="528"/>
      <c r="DHY1590" s="528"/>
      <c r="DHZ1590" s="527"/>
      <c r="DIA1590" s="528"/>
      <c r="DIB1590" s="528"/>
      <c r="DIC1590" s="528"/>
      <c r="DID1590" s="528"/>
      <c r="DIE1590" s="528"/>
      <c r="DIF1590" s="528"/>
      <c r="DIG1590" s="528"/>
      <c r="DIH1590" s="528"/>
      <c r="DII1590" s="528"/>
      <c r="DIJ1590" s="528"/>
      <c r="DIK1590" s="527"/>
      <c r="DIL1590" s="528"/>
      <c r="DIM1590" s="528"/>
      <c r="DIN1590" s="528"/>
      <c r="DIO1590" s="528"/>
      <c r="DIP1590" s="528"/>
      <c r="DIQ1590" s="528"/>
      <c r="DIR1590" s="528"/>
      <c r="DIS1590" s="528"/>
      <c r="DIT1590" s="528"/>
      <c r="DIU1590" s="528"/>
      <c r="DIV1590" s="527"/>
      <c r="DIW1590" s="528"/>
      <c r="DIX1590" s="528"/>
      <c r="DIY1590" s="528"/>
      <c r="DIZ1590" s="528"/>
      <c r="DJA1590" s="528"/>
      <c r="DJB1590" s="528"/>
      <c r="DJC1590" s="528"/>
      <c r="DJD1590" s="528"/>
      <c r="DJE1590" s="528"/>
      <c r="DJF1590" s="528"/>
      <c r="DJG1590" s="527"/>
      <c r="DJH1590" s="528"/>
      <c r="DJI1590" s="528"/>
      <c r="DJJ1590" s="528"/>
      <c r="DJK1590" s="528"/>
      <c r="DJL1590" s="528"/>
      <c r="DJM1590" s="528"/>
      <c r="DJN1590" s="528"/>
      <c r="DJO1590" s="528"/>
      <c r="DJP1590" s="528"/>
      <c r="DJQ1590" s="528"/>
      <c r="DJR1590" s="527"/>
      <c r="DJS1590" s="528"/>
      <c r="DJT1590" s="528"/>
      <c r="DJU1590" s="528"/>
      <c r="DJV1590" s="528"/>
      <c r="DJW1590" s="528"/>
      <c r="DJX1590" s="528"/>
      <c r="DJY1590" s="528"/>
      <c r="DJZ1590" s="528"/>
      <c r="DKA1590" s="528"/>
      <c r="DKB1590" s="528"/>
      <c r="DKC1590" s="527"/>
      <c r="DKD1590" s="528"/>
      <c r="DKE1590" s="528"/>
      <c r="DKF1590" s="528"/>
      <c r="DKG1590" s="528"/>
      <c r="DKH1590" s="528"/>
      <c r="DKI1590" s="528"/>
      <c r="DKJ1590" s="528"/>
      <c r="DKK1590" s="528"/>
      <c r="DKL1590" s="528"/>
      <c r="DKM1590" s="528"/>
      <c r="DKN1590" s="527"/>
      <c r="DKO1590" s="528"/>
      <c r="DKP1590" s="528"/>
      <c r="DKQ1590" s="528"/>
      <c r="DKR1590" s="528"/>
      <c r="DKS1590" s="528"/>
      <c r="DKT1590" s="528"/>
      <c r="DKU1590" s="528"/>
      <c r="DKV1590" s="528"/>
      <c r="DKW1590" s="528"/>
      <c r="DKX1590" s="528"/>
      <c r="DKY1590" s="527"/>
      <c r="DKZ1590" s="528"/>
      <c r="DLA1590" s="528"/>
      <c r="DLB1590" s="528"/>
      <c r="DLC1590" s="528"/>
      <c r="DLD1590" s="528"/>
      <c r="DLE1590" s="528"/>
      <c r="DLF1590" s="528"/>
      <c r="DLG1590" s="528"/>
      <c r="DLH1590" s="528"/>
      <c r="DLI1590" s="528"/>
      <c r="DLJ1590" s="527"/>
      <c r="DLK1590" s="528"/>
      <c r="DLL1590" s="528"/>
      <c r="DLM1590" s="528"/>
      <c r="DLN1590" s="528"/>
      <c r="DLO1590" s="528"/>
      <c r="DLP1590" s="528"/>
      <c r="DLQ1590" s="528"/>
      <c r="DLR1590" s="528"/>
      <c r="DLS1590" s="528"/>
      <c r="DLT1590" s="528"/>
      <c r="DLU1590" s="527"/>
      <c r="DLV1590" s="528"/>
      <c r="DLW1590" s="528"/>
      <c r="DLX1590" s="528"/>
      <c r="DLY1590" s="528"/>
      <c r="DLZ1590" s="528"/>
      <c r="DMA1590" s="528"/>
      <c r="DMB1590" s="528"/>
      <c r="DMC1590" s="528"/>
      <c r="DMD1590" s="528"/>
      <c r="DME1590" s="528"/>
      <c r="DMF1590" s="527"/>
      <c r="DMG1590" s="528"/>
      <c r="DMH1590" s="528"/>
      <c r="DMI1590" s="528"/>
      <c r="DMJ1590" s="528"/>
      <c r="DMK1590" s="528"/>
      <c r="DML1590" s="528"/>
      <c r="DMM1590" s="528"/>
      <c r="DMN1590" s="528"/>
      <c r="DMO1590" s="528"/>
      <c r="DMP1590" s="528"/>
      <c r="DMQ1590" s="527"/>
      <c r="DMR1590" s="528"/>
      <c r="DMS1590" s="528"/>
      <c r="DMT1590" s="528"/>
      <c r="DMU1590" s="528"/>
      <c r="DMV1590" s="528"/>
      <c r="DMW1590" s="528"/>
      <c r="DMX1590" s="528"/>
      <c r="DMY1590" s="528"/>
      <c r="DMZ1590" s="528"/>
      <c r="DNA1590" s="528"/>
      <c r="DNB1590" s="527"/>
      <c r="DNC1590" s="528"/>
      <c r="DND1590" s="528"/>
      <c r="DNE1590" s="528"/>
      <c r="DNF1590" s="528"/>
      <c r="DNG1590" s="528"/>
      <c r="DNH1590" s="528"/>
      <c r="DNI1590" s="528"/>
      <c r="DNJ1590" s="528"/>
      <c r="DNK1590" s="528"/>
      <c r="DNL1590" s="528"/>
      <c r="DNM1590" s="527"/>
      <c r="DNN1590" s="528"/>
      <c r="DNO1590" s="528"/>
      <c r="DNP1590" s="528"/>
      <c r="DNQ1590" s="528"/>
      <c r="DNR1590" s="528"/>
      <c r="DNS1590" s="528"/>
      <c r="DNT1590" s="528"/>
      <c r="DNU1590" s="528"/>
      <c r="DNV1590" s="528"/>
      <c r="DNW1590" s="528"/>
      <c r="DNX1590" s="527"/>
      <c r="DNY1590" s="528"/>
      <c r="DNZ1590" s="528"/>
      <c r="DOA1590" s="528"/>
      <c r="DOB1590" s="528"/>
      <c r="DOC1590" s="528"/>
      <c r="DOD1590" s="528"/>
      <c r="DOE1590" s="528"/>
      <c r="DOF1590" s="528"/>
      <c r="DOG1590" s="528"/>
      <c r="DOH1590" s="528"/>
      <c r="DOI1590" s="527"/>
      <c r="DOJ1590" s="528"/>
      <c r="DOK1590" s="528"/>
      <c r="DOL1590" s="528"/>
      <c r="DOM1590" s="528"/>
      <c r="DON1590" s="528"/>
      <c r="DOO1590" s="528"/>
      <c r="DOP1590" s="528"/>
      <c r="DOQ1590" s="528"/>
      <c r="DOR1590" s="528"/>
      <c r="DOS1590" s="528"/>
      <c r="DOT1590" s="527"/>
      <c r="DOU1590" s="528"/>
      <c r="DOV1590" s="528"/>
      <c r="DOW1590" s="528"/>
      <c r="DOX1590" s="528"/>
      <c r="DOY1590" s="528"/>
      <c r="DOZ1590" s="528"/>
      <c r="DPA1590" s="528"/>
      <c r="DPB1590" s="528"/>
      <c r="DPC1590" s="528"/>
      <c r="DPD1590" s="528"/>
      <c r="DPE1590" s="527"/>
      <c r="DPF1590" s="528"/>
      <c r="DPG1590" s="528"/>
      <c r="DPH1590" s="528"/>
      <c r="DPI1590" s="528"/>
      <c r="DPJ1590" s="528"/>
      <c r="DPK1590" s="528"/>
      <c r="DPL1590" s="528"/>
      <c r="DPM1590" s="528"/>
      <c r="DPN1590" s="528"/>
      <c r="DPO1590" s="528"/>
      <c r="DPP1590" s="527"/>
      <c r="DPQ1590" s="528"/>
      <c r="DPR1590" s="528"/>
      <c r="DPS1590" s="528"/>
      <c r="DPT1590" s="528"/>
      <c r="DPU1590" s="528"/>
      <c r="DPV1590" s="528"/>
      <c r="DPW1590" s="528"/>
      <c r="DPX1590" s="528"/>
      <c r="DPY1590" s="528"/>
      <c r="DPZ1590" s="528"/>
      <c r="DQA1590" s="527"/>
      <c r="DQB1590" s="528"/>
      <c r="DQC1590" s="528"/>
      <c r="DQD1590" s="528"/>
      <c r="DQE1590" s="528"/>
      <c r="DQF1590" s="528"/>
      <c r="DQG1590" s="528"/>
      <c r="DQH1590" s="528"/>
      <c r="DQI1590" s="528"/>
      <c r="DQJ1590" s="528"/>
      <c r="DQK1590" s="528"/>
      <c r="DQL1590" s="527"/>
      <c r="DQM1590" s="528"/>
      <c r="DQN1590" s="528"/>
      <c r="DQO1590" s="528"/>
      <c r="DQP1590" s="528"/>
      <c r="DQQ1590" s="528"/>
      <c r="DQR1590" s="528"/>
      <c r="DQS1590" s="528"/>
      <c r="DQT1590" s="528"/>
      <c r="DQU1590" s="528"/>
      <c r="DQV1590" s="528"/>
      <c r="DQW1590" s="527"/>
      <c r="DQX1590" s="528"/>
      <c r="DQY1590" s="528"/>
      <c r="DQZ1590" s="528"/>
      <c r="DRA1590" s="528"/>
      <c r="DRB1590" s="528"/>
      <c r="DRC1590" s="528"/>
      <c r="DRD1590" s="528"/>
      <c r="DRE1590" s="528"/>
      <c r="DRF1590" s="528"/>
      <c r="DRG1590" s="528"/>
      <c r="DRH1590" s="527"/>
      <c r="DRI1590" s="528"/>
      <c r="DRJ1590" s="528"/>
      <c r="DRK1590" s="528"/>
      <c r="DRL1590" s="528"/>
      <c r="DRM1590" s="528"/>
      <c r="DRN1590" s="528"/>
      <c r="DRO1590" s="528"/>
      <c r="DRP1590" s="528"/>
      <c r="DRQ1590" s="528"/>
      <c r="DRR1590" s="528"/>
      <c r="DRS1590" s="527"/>
      <c r="DRT1590" s="528"/>
      <c r="DRU1590" s="528"/>
      <c r="DRV1590" s="528"/>
      <c r="DRW1590" s="528"/>
      <c r="DRX1590" s="528"/>
      <c r="DRY1590" s="528"/>
      <c r="DRZ1590" s="528"/>
      <c r="DSA1590" s="528"/>
      <c r="DSB1590" s="528"/>
      <c r="DSC1590" s="528"/>
      <c r="DSD1590" s="527"/>
      <c r="DSE1590" s="528"/>
      <c r="DSF1590" s="528"/>
      <c r="DSG1590" s="528"/>
      <c r="DSH1590" s="528"/>
      <c r="DSI1590" s="528"/>
      <c r="DSJ1590" s="528"/>
      <c r="DSK1590" s="528"/>
      <c r="DSL1590" s="528"/>
      <c r="DSM1590" s="528"/>
      <c r="DSN1590" s="528"/>
      <c r="DSO1590" s="527"/>
      <c r="DSP1590" s="528"/>
      <c r="DSQ1590" s="528"/>
      <c r="DSR1590" s="528"/>
      <c r="DSS1590" s="528"/>
      <c r="DST1590" s="528"/>
      <c r="DSU1590" s="528"/>
      <c r="DSV1590" s="528"/>
      <c r="DSW1590" s="528"/>
      <c r="DSX1590" s="528"/>
      <c r="DSY1590" s="528"/>
      <c r="DSZ1590" s="527"/>
      <c r="DTA1590" s="528"/>
      <c r="DTB1590" s="528"/>
      <c r="DTC1590" s="528"/>
      <c r="DTD1590" s="528"/>
      <c r="DTE1590" s="528"/>
      <c r="DTF1590" s="528"/>
      <c r="DTG1590" s="528"/>
      <c r="DTH1590" s="528"/>
      <c r="DTI1590" s="528"/>
      <c r="DTJ1590" s="528"/>
      <c r="DTK1590" s="527"/>
      <c r="DTL1590" s="528"/>
      <c r="DTM1590" s="528"/>
      <c r="DTN1590" s="528"/>
      <c r="DTO1590" s="528"/>
      <c r="DTP1590" s="528"/>
      <c r="DTQ1590" s="528"/>
      <c r="DTR1590" s="528"/>
      <c r="DTS1590" s="528"/>
      <c r="DTT1590" s="528"/>
      <c r="DTU1590" s="528"/>
      <c r="DTV1590" s="527"/>
      <c r="DTW1590" s="528"/>
      <c r="DTX1590" s="528"/>
      <c r="DTY1590" s="528"/>
      <c r="DTZ1590" s="528"/>
      <c r="DUA1590" s="528"/>
      <c r="DUB1590" s="528"/>
      <c r="DUC1590" s="528"/>
      <c r="DUD1590" s="528"/>
      <c r="DUE1590" s="528"/>
      <c r="DUF1590" s="528"/>
      <c r="DUG1590" s="527"/>
      <c r="DUH1590" s="528"/>
      <c r="DUI1590" s="528"/>
      <c r="DUJ1590" s="528"/>
      <c r="DUK1590" s="528"/>
      <c r="DUL1590" s="528"/>
      <c r="DUM1590" s="528"/>
      <c r="DUN1590" s="528"/>
      <c r="DUO1590" s="528"/>
      <c r="DUP1590" s="528"/>
      <c r="DUQ1590" s="528"/>
      <c r="DUR1590" s="527"/>
      <c r="DUS1590" s="528"/>
      <c r="DUT1590" s="528"/>
      <c r="DUU1590" s="528"/>
      <c r="DUV1590" s="528"/>
      <c r="DUW1590" s="528"/>
      <c r="DUX1590" s="528"/>
      <c r="DUY1590" s="528"/>
      <c r="DUZ1590" s="528"/>
      <c r="DVA1590" s="528"/>
      <c r="DVB1590" s="528"/>
      <c r="DVC1590" s="527"/>
      <c r="DVD1590" s="528"/>
      <c r="DVE1590" s="528"/>
      <c r="DVF1590" s="528"/>
      <c r="DVG1590" s="528"/>
      <c r="DVH1590" s="528"/>
      <c r="DVI1590" s="528"/>
      <c r="DVJ1590" s="528"/>
      <c r="DVK1590" s="528"/>
      <c r="DVL1590" s="528"/>
      <c r="DVM1590" s="528"/>
      <c r="DVN1590" s="527"/>
      <c r="DVO1590" s="528"/>
      <c r="DVP1590" s="528"/>
      <c r="DVQ1590" s="528"/>
      <c r="DVR1590" s="528"/>
      <c r="DVS1590" s="528"/>
      <c r="DVT1590" s="528"/>
      <c r="DVU1590" s="528"/>
      <c r="DVV1590" s="528"/>
      <c r="DVW1590" s="528"/>
      <c r="DVX1590" s="528"/>
      <c r="DVY1590" s="527"/>
      <c r="DVZ1590" s="528"/>
      <c r="DWA1590" s="528"/>
      <c r="DWB1590" s="528"/>
      <c r="DWC1590" s="528"/>
      <c r="DWD1590" s="528"/>
      <c r="DWE1590" s="528"/>
      <c r="DWF1590" s="528"/>
      <c r="DWG1590" s="528"/>
      <c r="DWH1590" s="528"/>
      <c r="DWI1590" s="528"/>
      <c r="DWJ1590" s="527"/>
      <c r="DWK1590" s="528"/>
      <c r="DWL1590" s="528"/>
      <c r="DWM1590" s="528"/>
      <c r="DWN1590" s="528"/>
      <c r="DWO1590" s="528"/>
      <c r="DWP1590" s="528"/>
      <c r="DWQ1590" s="528"/>
      <c r="DWR1590" s="528"/>
      <c r="DWS1590" s="528"/>
      <c r="DWT1590" s="528"/>
      <c r="DWU1590" s="527"/>
      <c r="DWV1590" s="528"/>
      <c r="DWW1590" s="528"/>
      <c r="DWX1590" s="528"/>
      <c r="DWY1590" s="528"/>
      <c r="DWZ1590" s="528"/>
      <c r="DXA1590" s="528"/>
      <c r="DXB1590" s="528"/>
      <c r="DXC1590" s="528"/>
      <c r="DXD1590" s="528"/>
      <c r="DXE1590" s="528"/>
      <c r="DXF1590" s="527"/>
      <c r="DXG1590" s="528"/>
      <c r="DXH1590" s="528"/>
      <c r="DXI1590" s="528"/>
      <c r="DXJ1590" s="528"/>
      <c r="DXK1590" s="528"/>
      <c r="DXL1590" s="528"/>
      <c r="DXM1590" s="528"/>
      <c r="DXN1590" s="528"/>
      <c r="DXO1590" s="528"/>
      <c r="DXP1590" s="528"/>
      <c r="DXQ1590" s="527"/>
      <c r="DXR1590" s="528"/>
      <c r="DXS1590" s="528"/>
      <c r="DXT1590" s="528"/>
      <c r="DXU1590" s="528"/>
      <c r="DXV1590" s="528"/>
      <c r="DXW1590" s="528"/>
      <c r="DXX1590" s="528"/>
      <c r="DXY1590" s="528"/>
      <c r="DXZ1590" s="528"/>
      <c r="DYA1590" s="528"/>
      <c r="DYB1590" s="527"/>
      <c r="DYC1590" s="528"/>
      <c r="DYD1590" s="528"/>
      <c r="DYE1590" s="528"/>
      <c r="DYF1590" s="528"/>
      <c r="DYG1590" s="528"/>
      <c r="DYH1590" s="528"/>
      <c r="DYI1590" s="528"/>
      <c r="DYJ1590" s="528"/>
      <c r="DYK1590" s="528"/>
      <c r="DYL1590" s="528"/>
      <c r="DYM1590" s="527"/>
      <c r="DYN1590" s="528"/>
      <c r="DYO1590" s="528"/>
      <c r="DYP1590" s="528"/>
      <c r="DYQ1590" s="528"/>
      <c r="DYR1590" s="528"/>
      <c r="DYS1590" s="528"/>
      <c r="DYT1590" s="528"/>
      <c r="DYU1590" s="528"/>
      <c r="DYV1590" s="528"/>
      <c r="DYW1590" s="528"/>
      <c r="DYX1590" s="527"/>
      <c r="DYY1590" s="528"/>
      <c r="DYZ1590" s="528"/>
      <c r="DZA1590" s="528"/>
      <c r="DZB1590" s="528"/>
      <c r="DZC1590" s="528"/>
      <c r="DZD1590" s="528"/>
      <c r="DZE1590" s="528"/>
      <c r="DZF1590" s="528"/>
      <c r="DZG1590" s="528"/>
      <c r="DZH1590" s="528"/>
      <c r="DZI1590" s="527"/>
      <c r="DZJ1590" s="528"/>
      <c r="DZK1590" s="528"/>
      <c r="DZL1590" s="528"/>
      <c r="DZM1590" s="528"/>
      <c r="DZN1590" s="528"/>
      <c r="DZO1590" s="528"/>
      <c r="DZP1590" s="528"/>
      <c r="DZQ1590" s="528"/>
      <c r="DZR1590" s="528"/>
      <c r="DZS1590" s="528"/>
      <c r="DZT1590" s="527"/>
      <c r="DZU1590" s="528"/>
      <c r="DZV1590" s="528"/>
      <c r="DZW1590" s="528"/>
      <c r="DZX1590" s="528"/>
      <c r="DZY1590" s="528"/>
      <c r="DZZ1590" s="528"/>
      <c r="EAA1590" s="528"/>
      <c r="EAB1590" s="528"/>
      <c r="EAC1590" s="528"/>
      <c r="EAD1590" s="528"/>
      <c r="EAE1590" s="527"/>
      <c r="EAF1590" s="528"/>
      <c r="EAG1590" s="528"/>
      <c r="EAH1590" s="528"/>
      <c r="EAI1590" s="528"/>
      <c r="EAJ1590" s="528"/>
      <c r="EAK1590" s="528"/>
      <c r="EAL1590" s="528"/>
      <c r="EAM1590" s="528"/>
      <c r="EAN1590" s="528"/>
      <c r="EAO1590" s="528"/>
      <c r="EAP1590" s="527"/>
      <c r="EAQ1590" s="528"/>
      <c r="EAR1590" s="528"/>
      <c r="EAS1590" s="528"/>
      <c r="EAT1590" s="528"/>
      <c r="EAU1590" s="528"/>
      <c r="EAV1590" s="528"/>
      <c r="EAW1590" s="528"/>
      <c r="EAX1590" s="528"/>
      <c r="EAY1590" s="528"/>
      <c r="EAZ1590" s="528"/>
      <c r="EBA1590" s="527"/>
      <c r="EBB1590" s="528"/>
      <c r="EBC1590" s="528"/>
      <c r="EBD1590" s="528"/>
      <c r="EBE1590" s="528"/>
      <c r="EBF1590" s="528"/>
      <c r="EBG1590" s="528"/>
      <c r="EBH1590" s="528"/>
      <c r="EBI1590" s="528"/>
      <c r="EBJ1590" s="528"/>
      <c r="EBK1590" s="528"/>
      <c r="EBL1590" s="527"/>
      <c r="EBM1590" s="528"/>
      <c r="EBN1590" s="528"/>
      <c r="EBO1590" s="528"/>
      <c r="EBP1590" s="528"/>
      <c r="EBQ1590" s="528"/>
      <c r="EBR1590" s="528"/>
      <c r="EBS1590" s="528"/>
      <c r="EBT1590" s="528"/>
      <c r="EBU1590" s="528"/>
      <c r="EBV1590" s="528"/>
      <c r="EBW1590" s="527"/>
      <c r="EBX1590" s="528"/>
      <c r="EBY1590" s="528"/>
      <c r="EBZ1590" s="528"/>
      <c r="ECA1590" s="528"/>
      <c r="ECB1590" s="528"/>
      <c r="ECC1590" s="528"/>
      <c r="ECD1590" s="528"/>
      <c r="ECE1590" s="528"/>
      <c r="ECF1590" s="528"/>
      <c r="ECG1590" s="528"/>
      <c r="ECH1590" s="527"/>
      <c r="ECI1590" s="528"/>
      <c r="ECJ1590" s="528"/>
      <c r="ECK1590" s="528"/>
      <c r="ECL1590" s="528"/>
      <c r="ECM1590" s="528"/>
      <c r="ECN1590" s="528"/>
      <c r="ECO1590" s="528"/>
      <c r="ECP1590" s="528"/>
      <c r="ECQ1590" s="528"/>
      <c r="ECR1590" s="528"/>
      <c r="ECS1590" s="527"/>
      <c r="ECT1590" s="528"/>
      <c r="ECU1590" s="528"/>
      <c r="ECV1590" s="528"/>
      <c r="ECW1590" s="528"/>
      <c r="ECX1590" s="528"/>
      <c r="ECY1590" s="528"/>
      <c r="ECZ1590" s="528"/>
      <c r="EDA1590" s="528"/>
      <c r="EDB1590" s="528"/>
      <c r="EDC1590" s="528"/>
      <c r="EDD1590" s="527"/>
      <c r="EDE1590" s="528"/>
      <c r="EDF1590" s="528"/>
      <c r="EDG1590" s="528"/>
      <c r="EDH1590" s="528"/>
      <c r="EDI1590" s="528"/>
      <c r="EDJ1590" s="528"/>
      <c r="EDK1590" s="528"/>
      <c r="EDL1590" s="528"/>
      <c r="EDM1590" s="528"/>
      <c r="EDN1590" s="528"/>
      <c r="EDO1590" s="527"/>
      <c r="EDP1590" s="528"/>
      <c r="EDQ1590" s="528"/>
      <c r="EDR1590" s="528"/>
      <c r="EDS1590" s="528"/>
      <c r="EDT1590" s="528"/>
      <c r="EDU1590" s="528"/>
      <c r="EDV1590" s="528"/>
      <c r="EDW1590" s="528"/>
      <c r="EDX1590" s="528"/>
      <c r="EDY1590" s="528"/>
      <c r="EDZ1590" s="527"/>
      <c r="EEA1590" s="528"/>
      <c r="EEB1590" s="528"/>
      <c r="EEC1590" s="528"/>
      <c r="EED1590" s="528"/>
      <c r="EEE1590" s="528"/>
      <c r="EEF1590" s="528"/>
      <c r="EEG1590" s="528"/>
      <c r="EEH1590" s="528"/>
      <c r="EEI1590" s="528"/>
      <c r="EEJ1590" s="528"/>
      <c r="EEK1590" s="527"/>
      <c r="EEL1590" s="528"/>
      <c r="EEM1590" s="528"/>
      <c r="EEN1590" s="528"/>
      <c r="EEO1590" s="528"/>
      <c r="EEP1590" s="528"/>
      <c r="EEQ1590" s="528"/>
      <c r="EER1590" s="528"/>
      <c r="EES1590" s="528"/>
      <c r="EET1590" s="528"/>
      <c r="EEU1590" s="528"/>
      <c r="EEV1590" s="527"/>
      <c r="EEW1590" s="528"/>
      <c r="EEX1590" s="528"/>
      <c r="EEY1590" s="528"/>
      <c r="EEZ1590" s="528"/>
      <c r="EFA1590" s="528"/>
      <c r="EFB1590" s="528"/>
      <c r="EFC1590" s="528"/>
      <c r="EFD1590" s="528"/>
      <c r="EFE1590" s="528"/>
      <c r="EFF1590" s="528"/>
      <c r="EFG1590" s="527"/>
      <c r="EFH1590" s="528"/>
      <c r="EFI1590" s="528"/>
      <c r="EFJ1590" s="528"/>
      <c r="EFK1590" s="528"/>
      <c r="EFL1590" s="528"/>
      <c r="EFM1590" s="528"/>
      <c r="EFN1590" s="528"/>
      <c r="EFO1590" s="528"/>
      <c r="EFP1590" s="528"/>
      <c r="EFQ1590" s="528"/>
      <c r="EFR1590" s="527"/>
      <c r="EFS1590" s="528"/>
      <c r="EFT1590" s="528"/>
      <c r="EFU1590" s="528"/>
      <c r="EFV1590" s="528"/>
      <c r="EFW1590" s="528"/>
      <c r="EFX1590" s="528"/>
      <c r="EFY1590" s="528"/>
      <c r="EFZ1590" s="528"/>
      <c r="EGA1590" s="528"/>
      <c r="EGB1590" s="528"/>
      <c r="EGC1590" s="527"/>
      <c r="EGD1590" s="528"/>
      <c r="EGE1590" s="528"/>
      <c r="EGF1590" s="528"/>
      <c r="EGG1590" s="528"/>
      <c r="EGH1590" s="528"/>
      <c r="EGI1590" s="528"/>
      <c r="EGJ1590" s="528"/>
      <c r="EGK1590" s="528"/>
      <c r="EGL1590" s="528"/>
      <c r="EGM1590" s="528"/>
      <c r="EGN1590" s="527"/>
      <c r="EGO1590" s="528"/>
      <c r="EGP1590" s="528"/>
      <c r="EGQ1590" s="528"/>
      <c r="EGR1590" s="528"/>
      <c r="EGS1590" s="528"/>
      <c r="EGT1590" s="528"/>
      <c r="EGU1590" s="528"/>
      <c r="EGV1590" s="528"/>
      <c r="EGW1590" s="528"/>
      <c r="EGX1590" s="528"/>
      <c r="EGY1590" s="527"/>
      <c r="EGZ1590" s="528"/>
      <c r="EHA1590" s="528"/>
      <c r="EHB1590" s="528"/>
      <c r="EHC1590" s="528"/>
      <c r="EHD1590" s="528"/>
      <c r="EHE1590" s="528"/>
      <c r="EHF1590" s="528"/>
      <c r="EHG1590" s="528"/>
      <c r="EHH1590" s="528"/>
      <c r="EHI1590" s="528"/>
      <c r="EHJ1590" s="527"/>
      <c r="EHK1590" s="528"/>
      <c r="EHL1590" s="528"/>
      <c r="EHM1590" s="528"/>
      <c r="EHN1590" s="528"/>
      <c r="EHO1590" s="528"/>
      <c r="EHP1590" s="528"/>
      <c r="EHQ1590" s="528"/>
      <c r="EHR1590" s="528"/>
      <c r="EHS1590" s="528"/>
      <c r="EHT1590" s="528"/>
      <c r="EHU1590" s="527"/>
      <c r="EHV1590" s="528"/>
      <c r="EHW1590" s="528"/>
      <c r="EHX1590" s="528"/>
      <c r="EHY1590" s="528"/>
      <c r="EHZ1590" s="528"/>
      <c r="EIA1590" s="528"/>
      <c r="EIB1590" s="528"/>
      <c r="EIC1590" s="528"/>
      <c r="EID1590" s="528"/>
      <c r="EIE1590" s="528"/>
      <c r="EIF1590" s="527"/>
      <c r="EIG1590" s="528"/>
      <c r="EIH1590" s="528"/>
      <c r="EII1590" s="528"/>
      <c r="EIJ1590" s="528"/>
      <c r="EIK1590" s="528"/>
      <c r="EIL1590" s="528"/>
      <c r="EIM1590" s="528"/>
      <c r="EIN1590" s="528"/>
      <c r="EIO1590" s="528"/>
      <c r="EIP1590" s="528"/>
      <c r="EIQ1590" s="527"/>
      <c r="EIR1590" s="528"/>
      <c r="EIS1590" s="528"/>
      <c r="EIT1590" s="528"/>
      <c r="EIU1590" s="528"/>
      <c r="EIV1590" s="528"/>
      <c r="EIW1590" s="528"/>
      <c r="EIX1590" s="528"/>
      <c r="EIY1590" s="528"/>
      <c r="EIZ1590" s="528"/>
      <c r="EJA1590" s="528"/>
      <c r="EJB1590" s="527"/>
      <c r="EJC1590" s="528"/>
      <c r="EJD1590" s="528"/>
      <c r="EJE1590" s="528"/>
      <c r="EJF1590" s="528"/>
      <c r="EJG1590" s="528"/>
      <c r="EJH1590" s="528"/>
      <c r="EJI1590" s="528"/>
      <c r="EJJ1590" s="528"/>
      <c r="EJK1590" s="528"/>
      <c r="EJL1590" s="528"/>
      <c r="EJM1590" s="527"/>
      <c r="EJN1590" s="528"/>
      <c r="EJO1590" s="528"/>
      <c r="EJP1590" s="528"/>
      <c r="EJQ1590" s="528"/>
      <c r="EJR1590" s="528"/>
      <c r="EJS1590" s="528"/>
      <c r="EJT1590" s="528"/>
      <c r="EJU1590" s="528"/>
      <c r="EJV1590" s="528"/>
      <c r="EJW1590" s="528"/>
      <c r="EJX1590" s="527"/>
      <c r="EJY1590" s="528"/>
      <c r="EJZ1590" s="528"/>
      <c r="EKA1590" s="528"/>
      <c r="EKB1590" s="528"/>
      <c r="EKC1590" s="528"/>
      <c r="EKD1590" s="528"/>
      <c r="EKE1590" s="528"/>
      <c r="EKF1590" s="528"/>
      <c r="EKG1590" s="528"/>
      <c r="EKH1590" s="528"/>
      <c r="EKI1590" s="527"/>
      <c r="EKJ1590" s="528"/>
      <c r="EKK1590" s="528"/>
      <c r="EKL1590" s="528"/>
      <c r="EKM1590" s="528"/>
      <c r="EKN1590" s="528"/>
      <c r="EKO1590" s="528"/>
      <c r="EKP1590" s="528"/>
      <c r="EKQ1590" s="528"/>
      <c r="EKR1590" s="528"/>
      <c r="EKS1590" s="528"/>
      <c r="EKT1590" s="527"/>
      <c r="EKU1590" s="528"/>
      <c r="EKV1590" s="528"/>
      <c r="EKW1590" s="528"/>
      <c r="EKX1590" s="528"/>
      <c r="EKY1590" s="528"/>
      <c r="EKZ1590" s="528"/>
      <c r="ELA1590" s="528"/>
      <c r="ELB1590" s="528"/>
      <c r="ELC1590" s="528"/>
      <c r="ELD1590" s="528"/>
      <c r="ELE1590" s="527"/>
      <c r="ELF1590" s="528"/>
      <c r="ELG1590" s="528"/>
      <c r="ELH1590" s="528"/>
      <c r="ELI1590" s="528"/>
      <c r="ELJ1590" s="528"/>
      <c r="ELK1590" s="528"/>
      <c r="ELL1590" s="528"/>
      <c r="ELM1590" s="528"/>
      <c r="ELN1590" s="528"/>
      <c r="ELO1590" s="528"/>
      <c r="ELP1590" s="527"/>
      <c r="ELQ1590" s="528"/>
      <c r="ELR1590" s="528"/>
      <c r="ELS1590" s="528"/>
      <c r="ELT1590" s="528"/>
      <c r="ELU1590" s="528"/>
      <c r="ELV1590" s="528"/>
      <c r="ELW1590" s="528"/>
      <c r="ELX1590" s="528"/>
      <c r="ELY1590" s="528"/>
      <c r="ELZ1590" s="528"/>
      <c r="EMA1590" s="527"/>
      <c r="EMB1590" s="528"/>
      <c r="EMC1590" s="528"/>
      <c r="EMD1590" s="528"/>
      <c r="EME1590" s="528"/>
      <c r="EMF1590" s="528"/>
      <c r="EMG1590" s="528"/>
      <c r="EMH1590" s="528"/>
      <c r="EMI1590" s="528"/>
      <c r="EMJ1590" s="528"/>
      <c r="EMK1590" s="528"/>
      <c r="EML1590" s="527"/>
      <c r="EMM1590" s="528"/>
      <c r="EMN1590" s="528"/>
      <c r="EMO1590" s="528"/>
      <c r="EMP1590" s="528"/>
      <c r="EMQ1590" s="528"/>
      <c r="EMR1590" s="528"/>
      <c r="EMS1590" s="528"/>
      <c r="EMT1590" s="528"/>
      <c r="EMU1590" s="528"/>
      <c r="EMV1590" s="528"/>
      <c r="EMW1590" s="527"/>
      <c r="EMX1590" s="528"/>
      <c r="EMY1590" s="528"/>
      <c r="EMZ1590" s="528"/>
      <c r="ENA1590" s="528"/>
      <c r="ENB1590" s="528"/>
      <c r="ENC1590" s="528"/>
      <c r="END1590" s="528"/>
      <c r="ENE1590" s="528"/>
      <c r="ENF1590" s="528"/>
      <c r="ENG1590" s="528"/>
      <c r="ENH1590" s="527"/>
      <c r="ENI1590" s="528"/>
      <c r="ENJ1590" s="528"/>
      <c r="ENK1590" s="528"/>
      <c r="ENL1590" s="528"/>
      <c r="ENM1590" s="528"/>
      <c r="ENN1590" s="528"/>
      <c r="ENO1590" s="528"/>
      <c r="ENP1590" s="528"/>
      <c r="ENQ1590" s="528"/>
      <c r="ENR1590" s="528"/>
      <c r="ENS1590" s="527"/>
      <c r="ENT1590" s="528"/>
      <c r="ENU1590" s="528"/>
      <c r="ENV1590" s="528"/>
      <c r="ENW1590" s="528"/>
      <c r="ENX1590" s="528"/>
      <c r="ENY1590" s="528"/>
      <c r="ENZ1590" s="528"/>
      <c r="EOA1590" s="528"/>
      <c r="EOB1590" s="528"/>
      <c r="EOC1590" s="528"/>
      <c r="EOD1590" s="527"/>
      <c r="EOE1590" s="528"/>
      <c r="EOF1590" s="528"/>
      <c r="EOG1590" s="528"/>
      <c r="EOH1590" s="528"/>
      <c r="EOI1590" s="528"/>
      <c r="EOJ1590" s="528"/>
      <c r="EOK1590" s="528"/>
      <c r="EOL1590" s="528"/>
      <c r="EOM1590" s="528"/>
      <c r="EON1590" s="528"/>
      <c r="EOO1590" s="527"/>
      <c r="EOP1590" s="528"/>
      <c r="EOQ1590" s="528"/>
      <c r="EOR1590" s="528"/>
      <c r="EOS1590" s="528"/>
      <c r="EOT1590" s="528"/>
      <c r="EOU1590" s="528"/>
      <c r="EOV1590" s="528"/>
      <c r="EOW1590" s="528"/>
      <c r="EOX1590" s="528"/>
      <c r="EOY1590" s="528"/>
      <c r="EOZ1590" s="527"/>
      <c r="EPA1590" s="528"/>
      <c r="EPB1590" s="528"/>
      <c r="EPC1590" s="528"/>
      <c r="EPD1590" s="528"/>
      <c r="EPE1590" s="528"/>
      <c r="EPF1590" s="528"/>
      <c r="EPG1590" s="528"/>
      <c r="EPH1590" s="528"/>
      <c r="EPI1590" s="528"/>
      <c r="EPJ1590" s="528"/>
      <c r="EPK1590" s="527"/>
      <c r="EPL1590" s="528"/>
      <c r="EPM1590" s="528"/>
      <c r="EPN1590" s="528"/>
      <c r="EPO1590" s="528"/>
      <c r="EPP1590" s="528"/>
      <c r="EPQ1590" s="528"/>
      <c r="EPR1590" s="528"/>
      <c r="EPS1590" s="528"/>
      <c r="EPT1590" s="528"/>
      <c r="EPU1590" s="528"/>
      <c r="EPV1590" s="527"/>
      <c r="EPW1590" s="528"/>
      <c r="EPX1590" s="528"/>
      <c r="EPY1590" s="528"/>
      <c r="EPZ1590" s="528"/>
      <c r="EQA1590" s="528"/>
      <c r="EQB1590" s="528"/>
      <c r="EQC1590" s="528"/>
      <c r="EQD1590" s="528"/>
      <c r="EQE1590" s="528"/>
      <c r="EQF1590" s="528"/>
      <c r="EQG1590" s="527"/>
      <c r="EQH1590" s="528"/>
      <c r="EQI1590" s="528"/>
      <c r="EQJ1590" s="528"/>
      <c r="EQK1590" s="528"/>
      <c r="EQL1590" s="528"/>
      <c r="EQM1590" s="528"/>
      <c r="EQN1590" s="528"/>
      <c r="EQO1590" s="528"/>
      <c r="EQP1590" s="528"/>
      <c r="EQQ1590" s="528"/>
      <c r="EQR1590" s="527"/>
      <c r="EQS1590" s="528"/>
      <c r="EQT1590" s="528"/>
      <c r="EQU1590" s="528"/>
      <c r="EQV1590" s="528"/>
      <c r="EQW1590" s="528"/>
      <c r="EQX1590" s="528"/>
      <c r="EQY1590" s="528"/>
      <c r="EQZ1590" s="528"/>
      <c r="ERA1590" s="528"/>
      <c r="ERB1590" s="528"/>
      <c r="ERC1590" s="527"/>
      <c r="ERD1590" s="528"/>
      <c r="ERE1590" s="528"/>
      <c r="ERF1590" s="528"/>
      <c r="ERG1590" s="528"/>
      <c r="ERH1590" s="528"/>
      <c r="ERI1590" s="528"/>
      <c r="ERJ1590" s="528"/>
      <c r="ERK1590" s="528"/>
      <c r="ERL1590" s="528"/>
      <c r="ERM1590" s="528"/>
      <c r="ERN1590" s="527"/>
      <c r="ERO1590" s="528"/>
      <c r="ERP1590" s="528"/>
      <c r="ERQ1590" s="528"/>
      <c r="ERR1590" s="528"/>
      <c r="ERS1590" s="528"/>
      <c r="ERT1590" s="528"/>
      <c r="ERU1590" s="528"/>
      <c r="ERV1590" s="528"/>
      <c r="ERW1590" s="528"/>
      <c r="ERX1590" s="528"/>
      <c r="ERY1590" s="527"/>
      <c r="ERZ1590" s="528"/>
      <c r="ESA1590" s="528"/>
      <c r="ESB1590" s="528"/>
      <c r="ESC1590" s="528"/>
      <c r="ESD1590" s="528"/>
      <c r="ESE1590" s="528"/>
      <c r="ESF1590" s="528"/>
      <c r="ESG1590" s="528"/>
      <c r="ESH1590" s="528"/>
      <c r="ESI1590" s="528"/>
      <c r="ESJ1590" s="527"/>
      <c r="ESK1590" s="528"/>
      <c r="ESL1590" s="528"/>
      <c r="ESM1590" s="528"/>
      <c r="ESN1590" s="528"/>
      <c r="ESO1590" s="528"/>
      <c r="ESP1590" s="528"/>
      <c r="ESQ1590" s="528"/>
      <c r="ESR1590" s="528"/>
      <c r="ESS1590" s="528"/>
      <c r="EST1590" s="528"/>
      <c r="ESU1590" s="527"/>
      <c r="ESV1590" s="528"/>
      <c r="ESW1590" s="528"/>
      <c r="ESX1590" s="528"/>
      <c r="ESY1590" s="528"/>
      <c r="ESZ1590" s="528"/>
      <c r="ETA1590" s="528"/>
      <c r="ETB1590" s="528"/>
      <c r="ETC1590" s="528"/>
      <c r="ETD1590" s="528"/>
      <c r="ETE1590" s="528"/>
      <c r="ETF1590" s="527"/>
      <c r="ETG1590" s="528"/>
      <c r="ETH1590" s="528"/>
      <c r="ETI1590" s="528"/>
      <c r="ETJ1590" s="528"/>
      <c r="ETK1590" s="528"/>
      <c r="ETL1590" s="528"/>
      <c r="ETM1590" s="528"/>
      <c r="ETN1590" s="528"/>
      <c r="ETO1590" s="528"/>
      <c r="ETP1590" s="528"/>
      <c r="ETQ1590" s="527"/>
      <c r="ETR1590" s="528"/>
      <c r="ETS1590" s="528"/>
      <c r="ETT1590" s="528"/>
      <c r="ETU1590" s="528"/>
      <c r="ETV1590" s="528"/>
      <c r="ETW1590" s="528"/>
      <c r="ETX1590" s="528"/>
      <c r="ETY1590" s="528"/>
      <c r="ETZ1590" s="528"/>
      <c r="EUA1590" s="528"/>
      <c r="EUB1590" s="527"/>
      <c r="EUC1590" s="528"/>
      <c r="EUD1590" s="528"/>
      <c r="EUE1590" s="528"/>
      <c r="EUF1590" s="528"/>
      <c r="EUG1590" s="528"/>
      <c r="EUH1590" s="528"/>
      <c r="EUI1590" s="528"/>
      <c r="EUJ1590" s="528"/>
      <c r="EUK1590" s="528"/>
      <c r="EUL1590" s="528"/>
      <c r="EUM1590" s="527"/>
      <c r="EUN1590" s="528"/>
      <c r="EUO1590" s="528"/>
      <c r="EUP1590" s="528"/>
      <c r="EUQ1590" s="528"/>
      <c r="EUR1590" s="528"/>
      <c r="EUS1590" s="528"/>
      <c r="EUT1590" s="528"/>
      <c r="EUU1590" s="528"/>
      <c r="EUV1590" s="528"/>
      <c r="EUW1590" s="528"/>
      <c r="EUX1590" s="527"/>
      <c r="EUY1590" s="528"/>
      <c r="EUZ1590" s="528"/>
      <c r="EVA1590" s="528"/>
      <c r="EVB1590" s="528"/>
      <c r="EVC1590" s="528"/>
      <c r="EVD1590" s="528"/>
      <c r="EVE1590" s="528"/>
      <c r="EVF1590" s="528"/>
      <c r="EVG1590" s="528"/>
      <c r="EVH1590" s="528"/>
      <c r="EVI1590" s="527"/>
      <c r="EVJ1590" s="528"/>
      <c r="EVK1590" s="528"/>
      <c r="EVL1590" s="528"/>
      <c r="EVM1590" s="528"/>
      <c r="EVN1590" s="528"/>
      <c r="EVO1590" s="528"/>
      <c r="EVP1590" s="528"/>
      <c r="EVQ1590" s="528"/>
      <c r="EVR1590" s="528"/>
      <c r="EVS1590" s="528"/>
      <c r="EVT1590" s="527"/>
      <c r="EVU1590" s="528"/>
      <c r="EVV1590" s="528"/>
      <c r="EVW1590" s="528"/>
      <c r="EVX1590" s="528"/>
      <c r="EVY1590" s="528"/>
      <c r="EVZ1590" s="528"/>
      <c r="EWA1590" s="528"/>
      <c r="EWB1590" s="528"/>
      <c r="EWC1590" s="528"/>
      <c r="EWD1590" s="528"/>
      <c r="EWE1590" s="527"/>
      <c r="EWF1590" s="528"/>
      <c r="EWG1590" s="528"/>
      <c r="EWH1590" s="528"/>
      <c r="EWI1590" s="528"/>
      <c r="EWJ1590" s="528"/>
      <c r="EWK1590" s="528"/>
      <c r="EWL1590" s="528"/>
      <c r="EWM1590" s="528"/>
      <c r="EWN1590" s="528"/>
      <c r="EWO1590" s="528"/>
      <c r="EWP1590" s="527"/>
      <c r="EWQ1590" s="528"/>
      <c r="EWR1590" s="528"/>
      <c r="EWS1590" s="528"/>
      <c r="EWT1590" s="528"/>
      <c r="EWU1590" s="528"/>
      <c r="EWV1590" s="528"/>
      <c r="EWW1590" s="528"/>
      <c r="EWX1590" s="528"/>
      <c r="EWY1590" s="528"/>
      <c r="EWZ1590" s="528"/>
      <c r="EXA1590" s="527"/>
      <c r="EXB1590" s="528"/>
      <c r="EXC1590" s="528"/>
      <c r="EXD1590" s="528"/>
      <c r="EXE1590" s="528"/>
      <c r="EXF1590" s="528"/>
      <c r="EXG1590" s="528"/>
      <c r="EXH1590" s="528"/>
      <c r="EXI1590" s="528"/>
      <c r="EXJ1590" s="528"/>
      <c r="EXK1590" s="528"/>
      <c r="EXL1590" s="527"/>
      <c r="EXM1590" s="528"/>
      <c r="EXN1590" s="528"/>
      <c r="EXO1590" s="528"/>
      <c r="EXP1590" s="528"/>
      <c r="EXQ1590" s="528"/>
      <c r="EXR1590" s="528"/>
      <c r="EXS1590" s="528"/>
      <c r="EXT1590" s="528"/>
      <c r="EXU1590" s="528"/>
      <c r="EXV1590" s="528"/>
      <c r="EXW1590" s="527"/>
      <c r="EXX1590" s="528"/>
      <c r="EXY1590" s="528"/>
      <c r="EXZ1590" s="528"/>
      <c r="EYA1590" s="528"/>
      <c r="EYB1590" s="528"/>
      <c r="EYC1590" s="528"/>
      <c r="EYD1590" s="528"/>
      <c r="EYE1590" s="528"/>
      <c r="EYF1590" s="528"/>
      <c r="EYG1590" s="528"/>
      <c r="EYH1590" s="527"/>
      <c r="EYI1590" s="528"/>
      <c r="EYJ1590" s="528"/>
      <c r="EYK1590" s="528"/>
      <c r="EYL1590" s="528"/>
      <c r="EYM1590" s="528"/>
      <c r="EYN1590" s="528"/>
      <c r="EYO1590" s="528"/>
      <c r="EYP1590" s="528"/>
      <c r="EYQ1590" s="528"/>
      <c r="EYR1590" s="528"/>
      <c r="EYS1590" s="527"/>
      <c r="EYT1590" s="528"/>
      <c r="EYU1590" s="528"/>
      <c r="EYV1590" s="528"/>
      <c r="EYW1590" s="528"/>
      <c r="EYX1590" s="528"/>
      <c r="EYY1590" s="528"/>
      <c r="EYZ1590" s="528"/>
      <c r="EZA1590" s="528"/>
      <c r="EZB1590" s="528"/>
      <c r="EZC1590" s="528"/>
      <c r="EZD1590" s="527"/>
      <c r="EZE1590" s="528"/>
      <c r="EZF1590" s="528"/>
      <c r="EZG1590" s="528"/>
      <c r="EZH1590" s="528"/>
      <c r="EZI1590" s="528"/>
      <c r="EZJ1590" s="528"/>
      <c r="EZK1590" s="528"/>
      <c r="EZL1590" s="528"/>
      <c r="EZM1590" s="528"/>
      <c r="EZN1590" s="528"/>
      <c r="EZO1590" s="527"/>
      <c r="EZP1590" s="528"/>
      <c r="EZQ1590" s="528"/>
      <c r="EZR1590" s="528"/>
      <c r="EZS1590" s="528"/>
      <c r="EZT1590" s="528"/>
      <c r="EZU1590" s="528"/>
      <c r="EZV1590" s="528"/>
      <c r="EZW1590" s="528"/>
      <c r="EZX1590" s="528"/>
      <c r="EZY1590" s="528"/>
      <c r="EZZ1590" s="527"/>
      <c r="FAA1590" s="528"/>
      <c r="FAB1590" s="528"/>
      <c r="FAC1590" s="528"/>
      <c r="FAD1590" s="528"/>
      <c r="FAE1590" s="528"/>
      <c r="FAF1590" s="528"/>
      <c r="FAG1590" s="528"/>
      <c r="FAH1590" s="528"/>
      <c r="FAI1590" s="528"/>
      <c r="FAJ1590" s="528"/>
      <c r="FAK1590" s="527"/>
      <c r="FAL1590" s="528"/>
      <c r="FAM1590" s="528"/>
      <c r="FAN1590" s="528"/>
      <c r="FAO1590" s="528"/>
      <c r="FAP1590" s="528"/>
      <c r="FAQ1590" s="528"/>
      <c r="FAR1590" s="528"/>
      <c r="FAS1590" s="528"/>
      <c r="FAT1590" s="528"/>
      <c r="FAU1590" s="528"/>
      <c r="FAV1590" s="527"/>
      <c r="FAW1590" s="528"/>
      <c r="FAX1590" s="528"/>
      <c r="FAY1590" s="528"/>
      <c r="FAZ1590" s="528"/>
      <c r="FBA1590" s="528"/>
      <c r="FBB1590" s="528"/>
      <c r="FBC1590" s="528"/>
      <c r="FBD1590" s="528"/>
      <c r="FBE1590" s="528"/>
      <c r="FBF1590" s="528"/>
      <c r="FBG1590" s="527"/>
      <c r="FBH1590" s="528"/>
      <c r="FBI1590" s="528"/>
      <c r="FBJ1590" s="528"/>
      <c r="FBK1590" s="528"/>
      <c r="FBL1590" s="528"/>
      <c r="FBM1590" s="528"/>
      <c r="FBN1590" s="528"/>
      <c r="FBO1590" s="528"/>
      <c r="FBP1590" s="528"/>
      <c r="FBQ1590" s="528"/>
      <c r="FBR1590" s="527"/>
      <c r="FBS1590" s="528"/>
      <c r="FBT1590" s="528"/>
      <c r="FBU1590" s="528"/>
      <c r="FBV1590" s="528"/>
      <c r="FBW1590" s="528"/>
      <c r="FBX1590" s="528"/>
      <c r="FBY1590" s="528"/>
      <c r="FBZ1590" s="528"/>
      <c r="FCA1590" s="528"/>
      <c r="FCB1590" s="528"/>
      <c r="FCC1590" s="527"/>
      <c r="FCD1590" s="528"/>
      <c r="FCE1590" s="528"/>
      <c r="FCF1590" s="528"/>
      <c r="FCG1590" s="528"/>
      <c r="FCH1590" s="528"/>
      <c r="FCI1590" s="528"/>
      <c r="FCJ1590" s="528"/>
      <c r="FCK1590" s="528"/>
      <c r="FCL1590" s="528"/>
      <c r="FCM1590" s="528"/>
      <c r="FCN1590" s="527"/>
      <c r="FCO1590" s="528"/>
      <c r="FCP1590" s="528"/>
      <c r="FCQ1590" s="528"/>
      <c r="FCR1590" s="528"/>
      <c r="FCS1590" s="528"/>
      <c r="FCT1590" s="528"/>
      <c r="FCU1590" s="528"/>
      <c r="FCV1590" s="528"/>
      <c r="FCW1590" s="528"/>
      <c r="FCX1590" s="528"/>
      <c r="FCY1590" s="527"/>
      <c r="FCZ1590" s="528"/>
      <c r="FDA1590" s="528"/>
      <c r="FDB1590" s="528"/>
      <c r="FDC1590" s="528"/>
      <c r="FDD1590" s="528"/>
      <c r="FDE1590" s="528"/>
      <c r="FDF1590" s="528"/>
      <c r="FDG1590" s="528"/>
      <c r="FDH1590" s="528"/>
      <c r="FDI1590" s="528"/>
      <c r="FDJ1590" s="527"/>
      <c r="FDK1590" s="528"/>
      <c r="FDL1590" s="528"/>
      <c r="FDM1590" s="528"/>
      <c r="FDN1590" s="528"/>
      <c r="FDO1590" s="528"/>
      <c r="FDP1590" s="528"/>
      <c r="FDQ1590" s="528"/>
      <c r="FDR1590" s="528"/>
      <c r="FDS1590" s="528"/>
      <c r="FDT1590" s="528"/>
      <c r="FDU1590" s="527"/>
      <c r="FDV1590" s="528"/>
      <c r="FDW1590" s="528"/>
      <c r="FDX1590" s="528"/>
      <c r="FDY1590" s="528"/>
      <c r="FDZ1590" s="528"/>
      <c r="FEA1590" s="528"/>
      <c r="FEB1590" s="528"/>
      <c r="FEC1590" s="528"/>
      <c r="FED1590" s="528"/>
      <c r="FEE1590" s="528"/>
      <c r="FEF1590" s="527"/>
      <c r="FEG1590" s="528"/>
      <c r="FEH1590" s="528"/>
      <c r="FEI1590" s="528"/>
      <c r="FEJ1590" s="528"/>
      <c r="FEK1590" s="528"/>
      <c r="FEL1590" s="528"/>
      <c r="FEM1590" s="528"/>
      <c r="FEN1590" s="528"/>
      <c r="FEO1590" s="528"/>
      <c r="FEP1590" s="528"/>
      <c r="FEQ1590" s="527"/>
      <c r="FER1590" s="528"/>
      <c r="FES1590" s="528"/>
      <c r="FET1590" s="528"/>
      <c r="FEU1590" s="528"/>
      <c r="FEV1590" s="528"/>
      <c r="FEW1590" s="528"/>
      <c r="FEX1590" s="528"/>
      <c r="FEY1590" s="528"/>
      <c r="FEZ1590" s="528"/>
      <c r="FFA1590" s="528"/>
      <c r="FFB1590" s="527"/>
      <c r="FFC1590" s="528"/>
      <c r="FFD1590" s="528"/>
      <c r="FFE1590" s="528"/>
      <c r="FFF1590" s="528"/>
      <c r="FFG1590" s="528"/>
      <c r="FFH1590" s="528"/>
      <c r="FFI1590" s="528"/>
      <c r="FFJ1590" s="528"/>
      <c r="FFK1590" s="528"/>
      <c r="FFL1590" s="528"/>
      <c r="FFM1590" s="527"/>
      <c r="FFN1590" s="528"/>
      <c r="FFO1590" s="528"/>
      <c r="FFP1590" s="528"/>
      <c r="FFQ1590" s="528"/>
      <c r="FFR1590" s="528"/>
      <c r="FFS1590" s="528"/>
      <c r="FFT1590" s="528"/>
      <c r="FFU1590" s="528"/>
      <c r="FFV1590" s="528"/>
      <c r="FFW1590" s="528"/>
      <c r="FFX1590" s="527"/>
      <c r="FFY1590" s="528"/>
      <c r="FFZ1590" s="528"/>
      <c r="FGA1590" s="528"/>
      <c r="FGB1590" s="528"/>
      <c r="FGC1590" s="528"/>
      <c r="FGD1590" s="528"/>
      <c r="FGE1590" s="528"/>
      <c r="FGF1590" s="528"/>
      <c r="FGG1590" s="528"/>
      <c r="FGH1590" s="528"/>
      <c r="FGI1590" s="527"/>
      <c r="FGJ1590" s="528"/>
      <c r="FGK1590" s="528"/>
      <c r="FGL1590" s="528"/>
      <c r="FGM1590" s="528"/>
      <c r="FGN1590" s="528"/>
      <c r="FGO1590" s="528"/>
      <c r="FGP1590" s="528"/>
      <c r="FGQ1590" s="528"/>
      <c r="FGR1590" s="528"/>
      <c r="FGS1590" s="528"/>
      <c r="FGT1590" s="527"/>
      <c r="FGU1590" s="528"/>
      <c r="FGV1590" s="528"/>
      <c r="FGW1590" s="528"/>
      <c r="FGX1590" s="528"/>
      <c r="FGY1590" s="528"/>
      <c r="FGZ1590" s="528"/>
      <c r="FHA1590" s="528"/>
      <c r="FHB1590" s="528"/>
      <c r="FHC1590" s="528"/>
      <c r="FHD1590" s="528"/>
      <c r="FHE1590" s="527"/>
      <c r="FHF1590" s="528"/>
      <c r="FHG1590" s="528"/>
      <c r="FHH1590" s="528"/>
      <c r="FHI1590" s="528"/>
      <c r="FHJ1590" s="528"/>
      <c r="FHK1590" s="528"/>
      <c r="FHL1590" s="528"/>
      <c r="FHM1590" s="528"/>
      <c r="FHN1590" s="528"/>
      <c r="FHO1590" s="528"/>
      <c r="FHP1590" s="527"/>
      <c r="FHQ1590" s="528"/>
      <c r="FHR1590" s="528"/>
      <c r="FHS1590" s="528"/>
      <c r="FHT1590" s="528"/>
      <c r="FHU1590" s="528"/>
      <c r="FHV1590" s="528"/>
      <c r="FHW1590" s="528"/>
      <c r="FHX1590" s="528"/>
      <c r="FHY1590" s="528"/>
      <c r="FHZ1590" s="528"/>
      <c r="FIA1590" s="527"/>
      <c r="FIB1590" s="528"/>
      <c r="FIC1590" s="528"/>
      <c r="FID1590" s="528"/>
      <c r="FIE1590" s="528"/>
      <c r="FIF1590" s="528"/>
      <c r="FIG1590" s="528"/>
      <c r="FIH1590" s="528"/>
      <c r="FII1590" s="528"/>
      <c r="FIJ1590" s="528"/>
      <c r="FIK1590" s="528"/>
      <c r="FIL1590" s="527"/>
      <c r="FIM1590" s="528"/>
      <c r="FIN1590" s="528"/>
      <c r="FIO1590" s="528"/>
      <c r="FIP1590" s="528"/>
      <c r="FIQ1590" s="528"/>
      <c r="FIR1590" s="528"/>
      <c r="FIS1590" s="528"/>
      <c r="FIT1590" s="528"/>
      <c r="FIU1590" s="528"/>
      <c r="FIV1590" s="528"/>
      <c r="FIW1590" s="527"/>
      <c r="FIX1590" s="528"/>
      <c r="FIY1590" s="528"/>
      <c r="FIZ1590" s="528"/>
      <c r="FJA1590" s="528"/>
      <c r="FJB1590" s="528"/>
      <c r="FJC1590" s="528"/>
      <c r="FJD1590" s="528"/>
      <c r="FJE1590" s="528"/>
      <c r="FJF1590" s="528"/>
      <c r="FJG1590" s="528"/>
      <c r="FJH1590" s="527"/>
      <c r="FJI1590" s="528"/>
      <c r="FJJ1590" s="528"/>
      <c r="FJK1590" s="528"/>
      <c r="FJL1590" s="528"/>
      <c r="FJM1590" s="528"/>
      <c r="FJN1590" s="528"/>
      <c r="FJO1590" s="528"/>
      <c r="FJP1590" s="528"/>
      <c r="FJQ1590" s="528"/>
      <c r="FJR1590" s="528"/>
      <c r="FJS1590" s="527"/>
      <c r="FJT1590" s="528"/>
      <c r="FJU1590" s="528"/>
      <c r="FJV1590" s="528"/>
      <c r="FJW1590" s="528"/>
      <c r="FJX1590" s="528"/>
      <c r="FJY1590" s="528"/>
      <c r="FJZ1590" s="528"/>
      <c r="FKA1590" s="528"/>
      <c r="FKB1590" s="528"/>
      <c r="FKC1590" s="528"/>
      <c r="FKD1590" s="527"/>
      <c r="FKE1590" s="528"/>
      <c r="FKF1590" s="528"/>
      <c r="FKG1590" s="528"/>
      <c r="FKH1590" s="528"/>
      <c r="FKI1590" s="528"/>
      <c r="FKJ1590" s="528"/>
      <c r="FKK1590" s="528"/>
      <c r="FKL1590" s="528"/>
      <c r="FKM1590" s="528"/>
      <c r="FKN1590" s="528"/>
      <c r="FKO1590" s="527"/>
      <c r="FKP1590" s="528"/>
      <c r="FKQ1590" s="528"/>
      <c r="FKR1590" s="528"/>
      <c r="FKS1590" s="528"/>
      <c r="FKT1590" s="528"/>
      <c r="FKU1590" s="528"/>
      <c r="FKV1590" s="528"/>
      <c r="FKW1590" s="528"/>
      <c r="FKX1590" s="528"/>
      <c r="FKY1590" s="528"/>
      <c r="FKZ1590" s="527"/>
      <c r="FLA1590" s="528"/>
      <c r="FLB1590" s="528"/>
      <c r="FLC1590" s="528"/>
      <c r="FLD1590" s="528"/>
      <c r="FLE1590" s="528"/>
      <c r="FLF1590" s="528"/>
      <c r="FLG1590" s="528"/>
      <c r="FLH1590" s="528"/>
      <c r="FLI1590" s="528"/>
      <c r="FLJ1590" s="528"/>
      <c r="FLK1590" s="527"/>
      <c r="FLL1590" s="528"/>
      <c r="FLM1590" s="528"/>
      <c r="FLN1590" s="528"/>
      <c r="FLO1590" s="528"/>
      <c r="FLP1590" s="528"/>
      <c r="FLQ1590" s="528"/>
      <c r="FLR1590" s="528"/>
      <c r="FLS1590" s="528"/>
      <c r="FLT1590" s="528"/>
      <c r="FLU1590" s="528"/>
      <c r="FLV1590" s="527"/>
      <c r="FLW1590" s="528"/>
      <c r="FLX1590" s="528"/>
      <c r="FLY1590" s="528"/>
      <c r="FLZ1590" s="528"/>
      <c r="FMA1590" s="528"/>
      <c r="FMB1590" s="528"/>
      <c r="FMC1590" s="528"/>
      <c r="FMD1590" s="528"/>
      <c r="FME1590" s="528"/>
      <c r="FMF1590" s="528"/>
      <c r="FMG1590" s="527"/>
      <c r="FMH1590" s="528"/>
      <c r="FMI1590" s="528"/>
      <c r="FMJ1590" s="528"/>
      <c r="FMK1590" s="528"/>
      <c r="FML1590" s="528"/>
      <c r="FMM1590" s="528"/>
      <c r="FMN1590" s="528"/>
      <c r="FMO1590" s="528"/>
      <c r="FMP1590" s="528"/>
      <c r="FMQ1590" s="528"/>
      <c r="FMR1590" s="527"/>
      <c r="FMS1590" s="528"/>
      <c r="FMT1590" s="528"/>
      <c r="FMU1590" s="528"/>
      <c r="FMV1590" s="528"/>
      <c r="FMW1590" s="528"/>
      <c r="FMX1590" s="528"/>
      <c r="FMY1590" s="528"/>
      <c r="FMZ1590" s="528"/>
      <c r="FNA1590" s="528"/>
      <c r="FNB1590" s="528"/>
      <c r="FNC1590" s="527"/>
      <c r="FND1590" s="528"/>
      <c r="FNE1590" s="528"/>
      <c r="FNF1590" s="528"/>
      <c r="FNG1590" s="528"/>
      <c r="FNH1590" s="528"/>
      <c r="FNI1590" s="528"/>
      <c r="FNJ1590" s="528"/>
      <c r="FNK1590" s="528"/>
      <c r="FNL1590" s="528"/>
      <c r="FNM1590" s="528"/>
      <c r="FNN1590" s="527"/>
      <c r="FNO1590" s="528"/>
      <c r="FNP1590" s="528"/>
      <c r="FNQ1590" s="528"/>
      <c r="FNR1590" s="528"/>
      <c r="FNS1590" s="528"/>
      <c r="FNT1590" s="528"/>
      <c r="FNU1590" s="528"/>
      <c r="FNV1590" s="528"/>
      <c r="FNW1590" s="528"/>
      <c r="FNX1590" s="528"/>
      <c r="FNY1590" s="527"/>
      <c r="FNZ1590" s="528"/>
      <c r="FOA1590" s="528"/>
      <c r="FOB1590" s="528"/>
      <c r="FOC1590" s="528"/>
      <c r="FOD1590" s="528"/>
      <c r="FOE1590" s="528"/>
      <c r="FOF1590" s="528"/>
      <c r="FOG1590" s="528"/>
      <c r="FOH1590" s="528"/>
      <c r="FOI1590" s="528"/>
      <c r="FOJ1590" s="527"/>
      <c r="FOK1590" s="528"/>
      <c r="FOL1590" s="528"/>
      <c r="FOM1590" s="528"/>
      <c r="FON1590" s="528"/>
      <c r="FOO1590" s="528"/>
      <c r="FOP1590" s="528"/>
      <c r="FOQ1590" s="528"/>
      <c r="FOR1590" s="528"/>
      <c r="FOS1590" s="528"/>
      <c r="FOT1590" s="528"/>
      <c r="FOU1590" s="527"/>
      <c r="FOV1590" s="528"/>
      <c r="FOW1590" s="528"/>
      <c r="FOX1590" s="528"/>
      <c r="FOY1590" s="528"/>
      <c r="FOZ1590" s="528"/>
      <c r="FPA1590" s="528"/>
      <c r="FPB1590" s="528"/>
      <c r="FPC1590" s="528"/>
      <c r="FPD1590" s="528"/>
      <c r="FPE1590" s="528"/>
      <c r="FPF1590" s="527"/>
      <c r="FPG1590" s="528"/>
      <c r="FPH1590" s="528"/>
      <c r="FPI1590" s="528"/>
      <c r="FPJ1590" s="528"/>
      <c r="FPK1590" s="528"/>
      <c r="FPL1590" s="528"/>
      <c r="FPM1590" s="528"/>
      <c r="FPN1590" s="528"/>
      <c r="FPO1590" s="528"/>
      <c r="FPP1590" s="528"/>
      <c r="FPQ1590" s="527"/>
      <c r="FPR1590" s="528"/>
      <c r="FPS1590" s="528"/>
      <c r="FPT1590" s="528"/>
      <c r="FPU1590" s="528"/>
      <c r="FPV1590" s="528"/>
      <c r="FPW1590" s="528"/>
      <c r="FPX1590" s="528"/>
      <c r="FPY1590" s="528"/>
      <c r="FPZ1590" s="528"/>
      <c r="FQA1590" s="528"/>
      <c r="FQB1590" s="527"/>
      <c r="FQC1590" s="528"/>
      <c r="FQD1590" s="528"/>
      <c r="FQE1590" s="528"/>
      <c r="FQF1590" s="528"/>
      <c r="FQG1590" s="528"/>
      <c r="FQH1590" s="528"/>
      <c r="FQI1590" s="528"/>
      <c r="FQJ1590" s="528"/>
      <c r="FQK1590" s="528"/>
      <c r="FQL1590" s="528"/>
      <c r="FQM1590" s="527"/>
      <c r="FQN1590" s="528"/>
      <c r="FQO1590" s="528"/>
      <c r="FQP1590" s="528"/>
      <c r="FQQ1590" s="528"/>
      <c r="FQR1590" s="528"/>
      <c r="FQS1590" s="528"/>
      <c r="FQT1590" s="528"/>
      <c r="FQU1590" s="528"/>
      <c r="FQV1590" s="528"/>
      <c r="FQW1590" s="528"/>
      <c r="FQX1590" s="527"/>
      <c r="FQY1590" s="528"/>
      <c r="FQZ1590" s="528"/>
      <c r="FRA1590" s="528"/>
      <c r="FRB1590" s="528"/>
      <c r="FRC1590" s="528"/>
      <c r="FRD1590" s="528"/>
      <c r="FRE1590" s="528"/>
      <c r="FRF1590" s="528"/>
      <c r="FRG1590" s="528"/>
      <c r="FRH1590" s="528"/>
      <c r="FRI1590" s="527"/>
      <c r="FRJ1590" s="528"/>
      <c r="FRK1590" s="528"/>
      <c r="FRL1590" s="528"/>
      <c r="FRM1590" s="528"/>
      <c r="FRN1590" s="528"/>
      <c r="FRO1590" s="528"/>
      <c r="FRP1590" s="528"/>
      <c r="FRQ1590" s="528"/>
      <c r="FRR1590" s="528"/>
      <c r="FRS1590" s="528"/>
      <c r="FRT1590" s="527"/>
      <c r="FRU1590" s="528"/>
      <c r="FRV1590" s="528"/>
      <c r="FRW1590" s="528"/>
      <c r="FRX1590" s="528"/>
      <c r="FRY1590" s="528"/>
      <c r="FRZ1590" s="528"/>
      <c r="FSA1590" s="528"/>
      <c r="FSB1590" s="528"/>
      <c r="FSC1590" s="528"/>
      <c r="FSD1590" s="528"/>
      <c r="FSE1590" s="527"/>
      <c r="FSF1590" s="528"/>
      <c r="FSG1590" s="528"/>
      <c r="FSH1590" s="528"/>
      <c r="FSI1590" s="528"/>
      <c r="FSJ1590" s="528"/>
      <c r="FSK1590" s="528"/>
      <c r="FSL1590" s="528"/>
      <c r="FSM1590" s="528"/>
      <c r="FSN1590" s="528"/>
      <c r="FSO1590" s="528"/>
      <c r="FSP1590" s="527"/>
      <c r="FSQ1590" s="528"/>
      <c r="FSR1590" s="528"/>
      <c r="FSS1590" s="528"/>
      <c r="FST1590" s="528"/>
      <c r="FSU1590" s="528"/>
      <c r="FSV1590" s="528"/>
      <c r="FSW1590" s="528"/>
      <c r="FSX1590" s="528"/>
      <c r="FSY1590" s="528"/>
      <c r="FSZ1590" s="528"/>
      <c r="FTA1590" s="527"/>
      <c r="FTB1590" s="528"/>
      <c r="FTC1590" s="528"/>
      <c r="FTD1590" s="528"/>
      <c r="FTE1590" s="528"/>
      <c r="FTF1590" s="528"/>
      <c r="FTG1590" s="528"/>
      <c r="FTH1590" s="528"/>
      <c r="FTI1590" s="528"/>
      <c r="FTJ1590" s="528"/>
      <c r="FTK1590" s="528"/>
      <c r="FTL1590" s="527"/>
      <c r="FTM1590" s="528"/>
      <c r="FTN1590" s="528"/>
      <c r="FTO1590" s="528"/>
      <c r="FTP1590" s="528"/>
      <c r="FTQ1590" s="528"/>
      <c r="FTR1590" s="528"/>
      <c r="FTS1590" s="528"/>
      <c r="FTT1590" s="528"/>
      <c r="FTU1590" s="528"/>
      <c r="FTV1590" s="528"/>
      <c r="FTW1590" s="527"/>
      <c r="FTX1590" s="528"/>
      <c r="FTY1590" s="528"/>
      <c r="FTZ1590" s="528"/>
      <c r="FUA1590" s="528"/>
      <c r="FUB1590" s="528"/>
      <c r="FUC1590" s="528"/>
      <c r="FUD1590" s="528"/>
      <c r="FUE1590" s="528"/>
      <c r="FUF1590" s="528"/>
      <c r="FUG1590" s="528"/>
      <c r="FUH1590" s="527"/>
      <c r="FUI1590" s="528"/>
      <c r="FUJ1590" s="528"/>
      <c r="FUK1590" s="528"/>
      <c r="FUL1590" s="528"/>
      <c r="FUM1590" s="528"/>
      <c r="FUN1590" s="528"/>
      <c r="FUO1590" s="528"/>
      <c r="FUP1590" s="528"/>
      <c r="FUQ1590" s="528"/>
      <c r="FUR1590" s="528"/>
      <c r="FUS1590" s="527"/>
      <c r="FUT1590" s="528"/>
      <c r="FUU1590" s="528"/>
      <c r="FUV1590" s="528"/>
      <c r="FUW1590" s="528"/>
      <c r="FUX1590" s="528"/>
      <c r="FUY1590" s="528"/>
      <c r="FUZ1590" s="528"/>
      <c r="FVA1590" s="528"/>
      <c r="FVB1590" s="528"/>
      <c r="FVC1590" s="528"/>
      <c r="FVD1590" s="527"/>
      <c r="FVE1590" s="528"/>
      <c r="FVF1590" s="528"/>
      <c r="FVG1590" s="528"/>
      <c r="FVH1590" s="528"/>
      <c r="FVI1590" s="528"/>
      <c r="FVJ1590" s="528"/>
      <c r="FVK1590" s="528"/>
      <c r="FVL1590" s="528"/>
      <c r="FVM1590" s="528"/>
      <c r="FVN1590" s="528"/>
      <c r="FVO1590" s="527"/>
      <c r="FVP1590" s="528"/>
      <c r="FVQ1590" s="528"/>
      <c r="FVR1590" s="528"/>
      <c r="FVS1590" s="528"/>
      <c r="FVT1590" s="528"/>
      <c r="FVU1590" s="528"/>
      <c r="FVV1590" s="528"/>
      <c r="FVW1590" s="528"/>
      <c r="FVX1590" s="528"/>
      <c r="FVY1590" s="528"/>
      <c r="FVZ1590" s="527"/>
      <c r="FWA1590" s="528"/>
      <c r="FWB1590" s="528"/>
      <c r="FWC1590" s="528"/>
      <c r="FWD1590" s="528"/>
      <c r="FWE1590" s="528"/>
      <c r="FWF1590" s="528"/>
      <c r="FWG1590" s="528"/>
      <c r="FWH1590" s="528"/>
      <c r="FWI1590" s="528"/>
      <c r="FWJ1590" s="528"/>
      <c r="FWK1590" s="527"/>
      <c r="FWL1590" s="528"/>
      <c r="FWM1590" s="528"/>
      <c r="FWN1590" s="528"/>
      <c r="FWO1590" s="528"/>
      <c r="FWP1590" s="528"/>
      <c r="FWQ1590" s="528"/>
      <c r="FWR1590" s="528"/>
      <c r="FWS1590" s="528"/>
      <c r="FWT1590" s="528"/>
      <c r="FWU1590" s="528"/>
      <c r="FWV1590" s="527"/>
      <c r="FWW1590" s="528"/>
      <c r="FWX1590" s="528"/>
      <c r="FWY1590" s="528"/>
      <c r="FWZ1590" s="528"/>
      <c r="FXA1590" s="528"/>
      <c r="FXB1590" s="528"/>
      <c r="FXC1590" s="528"/>
      <c r="FXD1590" s="528"/>
      <c r="FXE1590" s="528"/>
      <c r="FXF1590" s="528"/>
      <c r="FXG1590" s="527"/>
      <c r="FXH1590" s="528"/>
      <c r="FXI1590" s="528"/>
      <c r="FXJ1590" s="528"/>
      <c r="FXK1590" s="528"/>
      <c r="FXL1590" s="528"/>
      <c r="FXM1590" s="528"/>
      <c r="FXN1590" s="528"/>
      <c r="FXO1590" s="528"/>
      <c r="FXP1590" s="528"/>
      <c r="FXQ1590" s="528"/>
      <c r="FXR1590" s="527"/>
      <c r="FXS1590" s="528"/>
      <c r="FXT1590" s="528"/>
      <c r="FXU1590" s="528"/>
      <c r="FXV1590" s="528"/>
      <c r="FXW1590" s="528"/>
      <c r="FXX1590" s="528"/>
      <c r="FXY1590" s="528"/>
      <c r="FXZ1590" s="528"/>
      <c r="FYA1590" s="528"/>
      <c r="FYB1590" s="528"/>
      <c r="FYC1590" s="527"/>
      <c r="FYD1590" s="528"/>
      <c r="FYE1590" s="528"/>
      <c r="FYF1590" s="528"/>
      <c r="FYG1590" s="528"/>
      <c r="FYH1590" s="528"/>
      <c r="FYI1590" s="528"/>
      <c r="FYJ1590" s="528"/>
      <c r="FYK1590" s="528"/>
      <c r="FYL1590" s="528"/>
      <c r="FYM1590" s="528"/>
      <c r="FYN1590" s="527"/>
      <c r="FYO1590" s="528"/>
      <c r="FYP1590" s="528"/>
      <c r="FYQ1590" s="528"/>
      <c r="FYR1590" s="528"/>
      <c r="FYS1590" s="528"/>
      <c r="FYT1590" s="528"/>
      <c r="FYU1590" s="528"/>
      <c r="FYV1590" s="528"/>
      <c r="FYW1590" s="528"/>
      <c r="FYX1590" s="528"/>
      <c r="FYY1590" s="527"/>
      <c r="FYZ1590" s="528"/>
      <c r="FZA1590" s="528"/>
      <c r="FZB1590" s="528"/>
      <c r="FZC1590" s="528"/>
      <c r="FZD1590" s="528"/>
      <c r="FZE1590" s="528"/>
      <c r="FZF1590" s="528"/>
      <c r="FZG1590" s="528"/>
      <c r="FZH1590" s="528"/>
      <c r="FZI1590" s="528"/>
      <c r="FZJ1590" s="527"/>
      <c r="FZK1590" s="528"/>
      <c r="FZL1590" s="528"/>
      <c r="FZM1590" s="528"/>
      <c r="FZN1590" s="528"/>
      <c r="FZO1590" s="528"/>
      <c r="FZP1590" s="528"/>
      <c r="FZQ1590" s="528"/>
      <c r="FZR1590" s="528"/>
      <c r="FZS1590" s="528"/>
      <c r="FZT1590" s="528"/>
      <c r="FZU1590" s="527"/>
      <c r="FZV1590" s="528"/>
      <c r="FZW1590" s="528"/>
      <c r="FZX1590" s="528"/>
      <c r="FZY1590" s="528"/>
      <c r="FZZ1590" s="528"/>
      <c r="GAA1590" s="528"/>
      <c r="GAB1590" s="528"/>
      <c r="GAC1590" s="528"/>
      <c r="GAD1590" s="528"/>
      <c r="GAE1590" s="528"/>
      <c r="GAF1590" s="527"/>
      <c r="GAG1590" s="528"/>
      <c r="GAH1590" s="528"/>
      <c r="GAI1590" s="528"/>
      <c r="GAJ1590" s="528"/>
      <c r="GAK1590" s="528"/>
      <c r="GAL1590" s="528"/>
      <c r="GAM1590" s="528"/>
      <c r="GAN1590" s="528"/>
      <c r="GAO1590" s="528"/>
      <c r="GAP1590" s="528"/>
      <c r="GAQ1590" s="527"/>
      <c r="GAR1590" s="528"/>
      <c r="GAS1590" s="528"/>
      <c r="GAT1590" s="528"/>
      <c r="GAU1590" s="528"/>
      <c r="GAV1590" s="528"/>
      <c r="GAW1590" s="528"/>
      <c r="GAX1590" s="528"/>
      <c r="GAY1590" s="528"/>
      <c r="GAZ1590" s="528"/>
      <c r="GBA1590" s="528"/>
      <c r="GBB1590" s="527"/>
      <c r="GBC1590" s="528"/>
      <c r="GBD1590" s="528"/>
      <c r="GBE1590" s="528"/>
      <c r="GBF1590" s="528"/>
      <c r="GBG1590" s="528"/>
      <c r="GBH1590" s="528"/>
      <c r="GBI1590" s="528"/>
      <c r="GBJ1590" s="528"/>
      <c r="GBK1590" s="528"/>
      <c r="GBL1590" s="528"/>
      <c r="GBM1590" s="527"/>
      <c r="GBN1590" s="528"/>
      <c r="GBO1590" s="528"/>
      <c r="GBP1590" s="528"/>
      <c r="GBQ1590" s="528"/>
      <c r="GBR1590" s="528"/>
      <c r="GBS1590" s="528"/>
      <c r="GBT1590" s="528"/>
      <c r="GBU1590" s="528"/>
      <c r="GBV1590" s="528"/>
      <c r="GBW1590" s="528"/>
      <c r="GBX1590" s="527"/>
      <c r="GBY1590" s="528"/>
      <c r="GBZ1590" s="528"/>
      <c r="GCA1590" s="528"/>
      <c r="GCB1590" s="528"/>
      <c r="GCC1590" s="528"/>
      <c r="GCD1590" s="528"/>
      <c r="GCE1590" s="528"/>
      <c r="GCF1590" s="528"/>
      <c r="GCG1590" s="528"/>
      <c r="GCH1590" s="528"/>
      <c r="GCI1590" s="527"/>
      <c r="GCJ1590" s="528"/>
      <c r="GCK1590" s="528"/>
      <c r="GCL1590" s="528"/>
      <c r="GCM1590" s="528"/>
      <c r="GCN1590" s="528"/>
      <c r="GCO1590" s="528"/>
      <c r="GCP1590" s="528"/>
      <c r="GCQ1590" s="528"/>
      <c r="GCR1590" s="528"/>
      <c r="GCS1590" s="528"/>
      <c r="GCT1590" s="527"/>
      <c r="GCU1590" s="528"/>
      <c r="GCV1590" s="528"/>
      <c r="GCW1590" s="528"/>
      <c r="GCX1590" s="528"/>
      <c r="GCY1590" s="528"/>
      <c r="GCZ1590" s="528"/>
      <c r="GDA1590" s="528"/>
      <c r="GDB1590" s="528"/>
      <c r="GDC1590" s="528"/>
      <c r="GDD1590" s="528"/>
      <c r="GDE1590" s="527"/>
      <c r="GDF1590" s="528"/>
      <c r="GDG1590" s="528"/>
      <c r="GDH1590" s="528"/>
      <c r="GDI1590" s="528"/>
      <c r="GDJ1590" s="528"/>
      <c r="GDK1590" s="528"/>
      <c r="GDL1590" s="528"/>
      <c r="GDM1590" s="528"/>
      <c r="GDN1590" s="528"/>
      <c r="GDO1590" s="528"/>
      <c r="GDP1590" s="527"/>
      <c r="GDQ1590" s="528"/>
      <c r="GDR1590" s="528"/>
      <c r="GDS1590" s="528"/>
      <c r="GDT1590" s="528"/>
      <c r="GDU1590" s="528"/>
      <c r="GDV1590" s="528"/>
      <c r="GDW1590" s="528"/>
      <c r="GDX1590" s="528"/>
      <c r="GDY1590" s="528"/>
      <c r="GDZ1590" s="528"/>
      <c r="GEA1590" s="527"/>
      <c r="GEB1590" s="528"/>
      <c r="GEC1590" s="528"/>
      <c r="GED1590" s="528"/>
      <c r="GEE1590" s="528"/>
      <c r="GEF1590" s="528"/>
      <c r="GEG1590" s="528"/>
      <c r="GEH1590" s="528"/>
      <c r="GEI1590" s="528"/>
      <c r="GEJ1590" s="528"/>
      <c r="GEK1590" s="528"/>
      <c r="GEL1590" s="527"/>
      <c r="GEM1590" s="528"/>
      <c r="GEN1590" s="528"/>
      <c r="GEO1590" s="528"/>
      <c r="GEP1590" s="528"/>
      <c r="GEQ1590" s="528"/>
      <c r="GER1590" s="528"/>
      <c r="GES1590" s="528"/>
      <c r="GET1590" s="528"/>
      <c r="GEU1590" s="528"/>
      <c r="GEV1590" s="528"/>
      <c r="GEW1590" s="527"/>
      <c r="GEX1590" s="528"/>
      <c r="GEY1590" s="528"/>
      <c r="GEZ1590" s="528"/>
      <c r="GFA1590" s="528"/>
      <c r="GFB1590" s="528"/>
      <c r="GFC1590" s="528"/>
      <c r="GFD1590" s="528"/>
      <c r="GFE1590" s="528"/>
      <c r="GFF1590" s="528"/>
      <c r="GFG1590" s="528"/>
      <c r="GFH1590" s="527"/>
      <c r="GFI1590" s="528"/>
      <c r="GFJ1590" s="528"/>
      <c r="GFK1590" s="528"/>
      <c r="GFL1590" s="528"/>
      <c r="GFM1590" s="528"/>
      <c r="GFN1590" s="528"/>
      <c r="GFO1590" s="528"/>
      <c r="GFP1590" s="528"/>
      <c r="GFQ1590" s="528"/>
      <c r="GFR1590" s="528"/>
      <c r="GFS1590" s="527"/>
      <c r="GFT1590" s="528"/>
      <c r="GFU1590" s="528"/>
      <c r="GFV1590" s="528"/>
      <c r="GFW1590" s="528"/>
      <c r="GFX1590" s="528"/>
      <c r="GFY1590" s="528"/>
      <c r="GFZ1590" s="528"/>
      <c r="GGA1590" s="528"/>
      <c r="GGB1590" s="528"/>
      <c r="GGC1590" s="528"/>
      <c r="GGD1590" s="527"/>
      <c r="GGE1590" s="528"/>
      <c r="GGF1590" s="528"/>
      <c r="GGG1590" s="528"/>
      <c r="GGH1590" s="528"/>
      <c r="GGI1590" s="528"/>
      <c r="GGJ1590" s="528"/>
      <c r="GGK1590" s="528"/>
      <c r="GGL1590" s="528"/>
      <c r="GGM1590" s="528"/>
      <c r="GGN1590" s="528"/>
      <c r="GGO1590" s="527"/>
      <c r="GGP1590" s="528"/>
      <c r="GGQ1590" s="528"/>
      <c r="GGR1590" s="528"/>
      <c r="GGS1590" s="528"/>
      <c r="GGT1590" s="528"/>
      <c r="GGU1590" s="528"/>
      <c r="GGV1590" s="528"/>
      <c r="GGW1590" s="528"/>
      <c r="GGX1590" s="528"/>
      <c r="GGY1590" s="528"/>
      <c r="GGZ1590" s="527"/>
      <c r="GHA1590" s="528"/>
      <c r="GHB1590" s="528"/>
      <c r="GHC1590" s="528"/>
      <c r="GHD1590" s="528"/>
      <c r="GHE1590" s="528"/>
      <c r="GHF1590" s="528"/>
      <c r="GHG1590" s="528"/>
      <c r="GHH1590" s="528"/>
      <c r="GHI1590" s="528"/>
      <c r="GHJ1590" s="528"/>
      <c r="GHK1590" s="527"/>
      <c r="GHL1590" s="528"/>
      <c r="GHM1590" s="528"/>
      <c r="GHN1590" s="528"/>
      <c r="GHO1590" s="528"/>
      <c r="GHP1590" s="528"/>
      <c r="GHQ1590" s="528"/>
      <c r="GHR1590" s="528"/>
      <c r="GHS1590" s="528"/>
      <c r="GHT1590" s="528"/>
      <c r="GHU1590" s="528"/>
      <c r="GHV1590" s="527"/>
      <c r="GHW1590" s="528"/>
      <c r="GHX1590" s="528"/>
      <c r="GHY1590" s="528"/>
      <c r="GHZ1590" s="528"/>
      <c r="GIA1590" s="528"/>
      <c r="GIB1590" s="528"/>
      <c r="GIC1590" s="528"/>
      <c r="GID1590" s="528"/>
      <c r="GIE1590" s="528"/>
      <c r="GIF1590" s="528"/>
      <c r="GIG1590" s="527"/>
      <c r="GIH1590" s="528"/>
      <c r="GII1590" s="528"/>
      <c r="GIJ1590" s="528"/>
      <c r="GIK1590" s="528"/>
      <c r="GIL1590" s="528"/>
      <c r="GIM1590" s="528"/>
      <c r="GIN1590" s="528"/>
      <c r="GIO1590" s="528"/>
      <c r="GIP1590" s="528"/>
      <c r="GIQ1590" s="528"/>
      <c r="GIR1590" s="527"/>
      <c r="GIS1590" s="528"/>
      <c r="GIT1590" s="528"/>
      <c r="GIU1590" s="528"/>
      <c r="GIV1590" s="528"/>
      <c r="GIW1590" s="528"/>
      <c r="GIX1590" s="528"/>
      <c r="GIY1590" s="528"/>
      <c r="GIZ1590" s="528"/>
      <c r="GJA1590" s="528"/>
      <c r="GJB1590" s="528"/>
      <c r="GJC1590" s="527"/>
      <c r="GJD1590" s="528"/>
      <c r="GJE1590" s="528"/>
      <c r="GJF1590" s="528"/>
      <c r="GJG1590" s="528"/>
      <c r="GJH1590" s="528"/>
      <c r="GJI1590" s="528"/>
      <c r="GJJ1590" s="528"/>
      <c r="GJK1590" s="528"/>
      <c r="GJL1590" s="528"/>
      <c r="GJM1590" s="528"/>
      <c r="GJN1590" s="527"/>
      <c r="GJO1590" s="528"/>
      <c r="GJP1590" s="528"/>
      <c r="GJQ1590" s="528"/>
      <c r="GJR1590" s="528"/>
      <c r="GJS1590" s="528"/>
      <c r="GJT1590" s="528"/>
      <c r="GJU1590" s="528"/>
      <c r="GJV1590" s="528"/>
      <c r="GJW1590" s="528"/>
      <c r="GJX1590" s="528"/>
      <c r="GJY1590" s="527"/>
      <c r="GJZ1590" s="528"/>
      <c r="GKA1590" s="528"/>
      <c r="GKB1590" s="528"/>
      <c r="GKC1590" s="528"/>
      <c r="GKD1590" s="528"/>
      <c r="GKE1590" s="528"/>
      <c r="GKF1590" s="528"/>
      <c r="GKG1590" s="528"/>
      <c r="GKH1590" s="528"/>
      <c r="GKI1590" s="528"/>
      <c r="GKJ1590" s="527"/>
      <c r="GKK1590" s="528"/>
      <c r="GKL1590" s="528"/>
      <c r="GKM1590" s="528"/>
      <c r="GKN1590" s="528"/>
      <c r="GKO1590" s="528"/>
      <c r="GKP1590" s="528"/>
      <c r="GKQ1590" s="528"/>
      <c r="GKR1590" s="528"/>
      <c r="GKS1590" s="528"/>
      <c r="GKT1590" s="528"/>
      <c r="GKU1590" s="527"/>
      <c r="GKV1590" s="528"/>
      <c r="GKW1590" s="528"/>
      <c r="GKX1590" s="528"/>
      <c r="GKY1590" s="528"/>
      <c r="GKZ1590" s="528"/>
      <c r="GLA1590" s="528"/>
      <c r="GLB1590" s="528"/>
      <c r="GLC1590" s="528"/>
      <c r="GLD1590" s="528"/>
      <c r="GLE1590" s="528"/>
      <c r="GLF1590" s="527"/>
      <c r="GLG1590" s="528"/>
      <c r="GLH1590" s="528"/>
      <c r="GLI1590" s="528"/>
      <c r="GLJ1590" s="528"/>
      <c r="GLK1590" s="528"/>
      <c r="GLL1590" s="528"/>
      <c r="GLM1590" s="528"/>
      <c r="GLN1590" s="528"/>
      <c r="GLO1590" s="528"/>
      <c r="GLP1590" s="528"/>
      <c r="GLQ1590" s="527"/>
      <c r="GLR1590" s="528"/>
      <c r="GLS1590" s="528"/>
      <c r="GLT1590" s="528"/>
      <c r="GLU1590" s="528"/>
      <c r="GLV1590" s="528"/>
      <c r="GLW1590" s="528"/>
      <c r="GLX1590" s="528"/>
      <c r="GLY1590" s="528"/>
      <c r="GLZ1590" s="528"/>
      <c r="GMA1590" s="528"/>
      <c r="GMB1590" s="527"/>
      <c r="GMC1590" s="528"/>
      <c r="GMD1590" s="528"/>
      <c r="GME1590" s="528"/>
      <c r="GMF1590" s="528"/>
      <c r="GMG1590" s="528"/>
      <c r="GMH1590" s="528"/>
      <c r="GMI1590" s="528"/>
      <c r="GMJ1590" s="528"/>
      <c r="GMK1590" s="528"/>
      <c r="GML1590" s="528"/>
      <c r="GMM1590" s="527"/>
      <c r="GMN1590" s="528"/>
      <c r="GMO1590" s="528"/>
      <c r="GMP1590" s="528"/>
      <c r="GMQ1590" s="528"/>
      <c r="GMR1590" s="528"/>
      <c r="GMS1590" s="528"/>
      <c r="GMT1590" s="528"/>
      <c r="GMU1590" s="528"/>
      <c r="GMV1590" s="528"/>
      <c r="GMW1590" s="528"/>
      <c r="GMX1590" s="527"/>
      <c r="GMY1590" s="528"/>
      <c r="GMZ1590" s="528"/>
      <c r="GNA1590" s="528"/>
      <c r="GNB1590" s="528"/>
      <c r="GNC1590" s="528"/>
      <c r="GND1590" s="528"/>
      <c r="GNE1590" s="528"/>
      <c r="GNF1590" s="528"/>
      <c r="GNG1590" s="528"/>
      <c r="GNH1590" s="528"/>
      <c r="GNI1590" s="527"/>
      <c r="GNJ1590" s="528"/>
      <c r="GNK1590" s="528"/>
      <c r="GNL1590" s="528"/>
      <c r="GNM1590" s="528"/>
      <c r="GNN1590" s="528"/>
      <c r="GNO1590" s="528"/>
      <c r="GNP1590" s="528"/>
      <c r="GNQ1590" s="528"/>
      <c r="GNR1590" s="528"/>
      <c r="GNS1590" s="528"/>
      <c r="GNT1590" s="527"/>
      <c r="GNU1590" s="528"/>
      <c r="GNV1590" s="528"/>
      <c r="GNW1590" s="528"/>
      <c r="GNX1590" s="528"/>
      <c r="GNY1590" s="528"/>
      <c r="GNZ1590" s="528"/>
      <c r="GOA1590" s="528"/>
      <c r="GOB1590" s="528"/>
      <c r="GOC1590" s="528"/>
      <c r="GOD1590" s="528"/>
      <c r="GOE1590" s="527"/>
      <c r="GOF1590" s="528"/>
      <c r="GOG1590" s="528"/>
      <c r="GOH1590" s="528"/>
      <c r="GOI1590" s="528"/>
      <c r="GOJ1590" s="528"/>
      <c r="GOK1590" s="528"/>
      <c r="GOL1590" s="528"/>
      <c r="GOM1590" s="528"/>
      <c r="GON1590" s="528"/>
      <c r="GOO1590" s="528"/>
      <c r="GOP1590" s="527"/>
      <c r="GOQ1590" s="528"/>
      <c r="GOR1590" s="528"/>
      <c r="GOS1590" s="528"/>
      <c r="GOT1590" s="528"/>
      <c r="GOU1590" s="528"/>
      <c r="GOV1590" s="528"/>
      <c r="GOW1590" s="528"/>
      <c r="GOX1590" s="528"/>
      <c r="GOY1590" s="528"/>
      <c r="GOZ1590" s="528"/>
      <c r="GPA1590" s="527"/>
      <c r="GPB1590" s="528"/>
      <c r="GPC1590" s="528"/>
      <c r="GPD1590" s="528"/>
      <c r="GPE1590" s="528"/>
      <c r="GPF1590" s="528"/>
      <c r="GPG1590" s="528"/>
      <c r="GPH1590" s="528"/>
      <c r="GPI1590" s="528"/>
      <c r="GPJ1590" s="528"/>
      <c r="GPK1590" s="528"/>
      <c r="GPL1590" s="527"/>
      <c r="GPM1590" s="528"/>
      <c r="GPN1590" s="528"/>
      <c r="GPO1590" s="528"/>
      <c r="GPP1590" s="528"/>
      <c r="GPQ1590" s="528"/>
      <c r="GPR1590" s="528"/>
      <c r="GPS1590" s="528"/>
      <c r="GPT1590" s="528"/>
      <c r="GPU1590" s="528"/>
      <c r="GPV1590" s="528"/>
      <c r="GPW1590" s="527"/>
      <c r="GPX1590" s="528"/>
      <c r="GPY1590" s="528"/>
      <c r="GPZ1590" s="528"/>
      <c r="GQA1590" s="528"/>
      <c r="GQB1590" s="528"/>
      <c r="GQC1590" s="528"/>
      <c r="GQD1590" s="528"/>
      <c r="GQE1590" s="528"/>
      <c r="GQF1590" s="528"/>
      <c r="GQG1590" s="528"/>
      <c r="GQH1590" s="527"/>
      <c r="GQI1590" s="528"/>
      <c r="GQJ1590" s="528"/>
      <c r="GQK1590" s="528"/>
      <c r="GQL1590" s="528"/>
      <c r="GQM1590" s="528"/>
      <c r="GQN1590" s="528"/>
      <c r="GQO1590" s="528"/>
      <c r="GQP1590" s="528"/>
      <c r="GQQ1590" s="528"/>
      <c r="GQR1590" s="528"/>
      <c r="GQS1590" s="527"/>
      <c r="GQT1590" s="528"/>
      <c r="GQU1590" s="528"/>
      <c r="GQV1590" s="528"/>
      <c r="GQW1590" s="528"/>
      <c r="GQX1590" s="528"/>
      <c r="GQY1590" s="528"/>
      <c r="GQZ1590" s="528"/>
      <c r="GRA1590" s="528"/>
      <c r="GRB1590" s="528"/>
      <c r="GRC1590" s="528"/>
      <c r="GRD1590" s="527"/>
      <c r="GRE1590" s="528"/>
      <c r="GRF1590" s="528"/>
      <c r="GRG1590" s="528"/>
      <c r="GRH1590" s="528"/>
      <c r="GRI1590" s="528"/>
      <c r="GRJ1590" s="528"/>
      <c r="GRK1590" s="528"/>
      <c r="GRL1590" s="528"/>
      <c r="GRM1590" s="528"/>
      <c r="GRN1590" s="528"/>
      <c r="GRO1590" s="527"/>
      <c r="GRP1590" s="528"/>
      <c r="GRQ1590" s="528"/>
      <c r="GRR1590" s="528"/>
      <c r="GRS1590" s="528"/>
      <c r="GRT1590" s="528"/>
      <c r="GRU1590" s="528"/>
      <c r="GRV1590" s="528"/>
      <c r="GRW1590" s="528"/>
      <c r="GRX1590" s="528"/>
      <c r="GRY1590" s="528"/>
      <c r="GRZ1590" s="527"/>
      <c r="GSA1590" s="528"/>
      <c r="GSB1590" s="528"/>
      <c r="GSC1590" s="528"/>
      <c r="GSD1590" s="528"/>
      <c r="GSE1590" s="528"/>
      <c r="GSF1590" s="528"/>
      <c r="GSG1590" s="528"/>
      <c r="GSH1590" s="528"/>
      <c r="GSI1590" s="528"/>
      <c r="GSJ1590" s="528"/>
      <c r="GSK1590" s="527"/>
      <c r="GSL1590" s="528"/>
      <c r="GSM1590" s="528"/>
      <c r="GSN1590" s="528"/>
      <c r="GSO1590" s="528"/>
      <c r="GSP1590" s="528"/>
      <c r="GSQ1590" s="528"/>
      <c r="GSR1590" s="528"/>
      <c r="GSS1590" s="528"/>
      <c r="GST1590" s="528"/>
      <c r="GSU1590" s="528"/>
      <c r="GSV1590" s="527"/>
      <c r="GSW1590" s="528"/>
      <c r="GSX1590" s="528"/>
      <c r="GSY1590" s="528"/>
      <c r="GSZ1590" s="528"/>
      <c r="GTA1590" s="528"/>
      <c r="GTB1590" s="528"/>
      <c r="GTC1590" s="528"/>
      <c r="GTD1590" s="528"/>
      <c r="GTE1590" s="528"/>
      <c r="GTF1590" s="528"/>
      <c r="GTG1590" s="527"/>
      <c r="GTH1590" s="528"/>
      <c r="GTI1590" s="528"/>
      <c r="GTJ1590" s="528"/>
      <c r="GTK1590" s="528"/>
      <c r="GTL1590" s="528"/>
      <c r="GTM1590" s="528"/>
      <c r="GTN1590" s="528"/>
      <c r="GTO1590" s="528"/>
      <c r="GTP1590" s="528"/>
      <c r="GTQ1590" s="528"/>
      <c r="GTR1590" s="527"/>
      <c r="GTS1590" s="528"/>
      <c r="GTT1590" s="528"/>
      <c r="GTU1590" s="528"/>
      <c r="GTV1590" s="528"/>
      <c r="GTW1590" s="528"/>
      <c r="GTX1590" s="528"/>
      <c r="GTY1590" s="528"/>
      <c r="GTZ1590" s="528"/>
      <c r="GUA1590" s="528"/>
      <c r="GUB1590" s="528"/>
      <c r="GUC1590" s="527"/>
      <c r="GUD1590" s="528"/>
      <c r="GUE1590" s="528"/>
      <c r="GUF1590" s="528"/>
      <c r="GUG1590" s="528"/>
      <c r="GUH1590" s="528"/>
      <c r="GUI1590" s="528"/>
      <c r="GUJ1590" s="528"/>
      <c r="GUK1590" s="528"/>
      <c r="GUL1590" s="528"/>
      <c r="GUM1590" s="528"/>
      <c r="GUN1590" s="527"/>
      <c r="GUO1590" s="528"/>
      <c r="GUP1590" s="528"/>
      <c r="GUQ1590" s="528"/>
      <c r="GUR1590" s="528"/>
      <c r="GUS1590" s="528"/>
      <c r="GUT1590" s="528"/>
      <c r="GUU1590" s="528"/>
      <c r="GUV1590" s="528"/>
      <c r="GUW1590" s="528"/>
      <c r="GUX1590" s="528"/>
      <c r="GUY1590" s="527"/>
      <c r="GUZ1590" s="528"/>
      <c r="GVA1590" s="528"/>
      <c r="GVB1590" s="528"/>
      <c r="GVC1590" s="528"/>
      <c r="GVD1590" s="528"/>
      <c r="GVE1590" s="528"/>
      <c r="GVF1590" s="528"/>
      <c r="GVG1590" s="528"/>
      <c r="GVH1590" s="528"/>
      <c r="GVI1590" s="528"/>
      <c r="GVJ1590" s="527"/>
      <c r="GVK1590" s="528"/>
      <c r="GVL1590" s="528"/>
      <c r="GVM1590" s="528"/>
      <c r="GVN1590" s="528"/>
      <c r="GVO1590" s="528"/>
      <c r="GVP1590" s="528"/>
      <c r="GVQ1590" s="528"/>
      <c r="GVR1590" s="528"/>
      <c r="GVS1590" s="528"/>
      <c r="GVT1590" s="528"/>
      <c r="GVU1590" s="527"/>
      <c r="GVV1590" s="528"/>
      <c r="GVW1590" s="528"/>
      <c r="GVX1590" s="528"/>
      <c r="GVY1590" s="528"/>
      <c r="GVZ1590" s="528"/>
      <c r="GWA1590" s="528"/>
      <c r="GWB1590" s="528"/>
      <c r="GWC1590" s="528"/>
      <c r="GWD1590" s="528"/>
      <c r="GWE1590" s="528"/>
      <c r="GWF1590" s="527"/>
      <c r="GWG1590" s="528"/>
      <c r="GWH1590" s="528"/>
      <c r="GWI1590" s="528"/>
      <c r="GWJ1590" s="528"/>
      <c r="GWK1590" s="528"/>
      <c r="GWL1590" s="528"/>
      <c r="GWM1590" s="528"/>
      <c r="GWN1590" s="528"/>
      <c r="GWO1590" s="528"/>
      <c r="GWP1590" s="528"/>
      <c r="GWQ1590" s="527"/>
      <c r="GWR1590" s="528"/>
      <c r="GWS1590" s="528"/>
      <c r="GWT1590" s="528"/>
      <c r="GWU1590" s="528"/>
      <c r="GWV1590" s="528"/>
      <c r="GWW1590" s="528"/>
      <c r="GWX1590" s="528"/>
      <c r="GWY1590" s="528"/>
      <c r="GWZ1590" s="528"/>
      <c r="GXA1590" s="528"/>
      <c r="GXB1590" s="527"/>
      <c r="GXC1590" s="528"/>
      <c r="GXD1590" s="528"/>
      <c r="GXE1590" s="528"/>
      <c r="GXF1590" s="528"/>
      <c r="GXG1590" s="528"/>
      <c r="GXH1590" s="528"/>
      <c r="GXI1590" s="528"/>
      <c r="GXJ1590" s="528"/>
      <c r="GXK1590" s="528"/>
      <c r="GXL1590" s="528"/>
      <c r="GXM1590" s="527"/>
      <c r="GXN1590" s="528"/>
      <c r="GXO1590" s="528"/>
      <c r="GXP1590" s="528"/>
      <c r="GXQ1590" s="528"/>
      <c r="GXR1590" s="528"/>
      <c r="GXS1590" s="528"/>
      <c r="GXT1590" s="528"/>
      <c r="GXU1590" s="528"/>
      <c r="GXV1590" s="528"/>
      <c r="GXW1590" s="528"/>
      <c r="GXX1590" s="527"/>
      <c r="GXY1590" s="528"/>
      <c r="GXZ1590" s="528"/>
      <c r="GYA1590" s="528"/>
      <c r="GYB1590" s="528"/>
      <c r="GYC1590" s="528"/>
      <c r="GYD1590" s="528"/>
      <c r="GYE1590" s="528"/>
      <c r="GYF1590" s="528"/>
      <c r="GYG1590" s="528"/>
      <c r="GYH1590" s="528"/>
      <c r="GYI1590" s="527"/>
      <c r="GYJ1590" s="528"/>
      <c r="GYK1590" s="528"/>
      <c r="GYL1590" s="528"/>
      <c r="GYM1590" s="528"/>
      <c r="GYN1590" s="528"/>
      <c r="GYO1590" s="528"/>
      <c r="GYP1590" s="528"/>
      <c r="GYQ1590" s="528"/>
      <c r="GYR1590" s="528"/>
      <c r="GYS1590" s="528"/>
      <c r="GYT1590" s="527"/>
      <c r="GYU1590" s="528"/>
      <c r="GYV1590" s="528"/>
      <c r="GYW1590" s="528"/>
      <c r="GYX1590" s="528"/>
      <c r="GYY1590" s="528"/>
      <c r="GYZ1590" s="528"/>
      <c r="GZA1590" s="528"/>
      <c r="GZB1590" s="528"/>
      <c r="GZC1590" s="528"/>
      <c r="GZD1590" s="528"/>
      <c r="GZE1590" s="527"/>
      <c r="GZF1590" s="528"/>
      <c r="GZG1590" s="528"/>
      <c r="GZH1590" s="528"/>
      <c r="GZI1590" s="528"/>
      <c r="GZJ1590" s="528"/>
      <c r="GZK1590" s="528"/>
      <c r="GZL1590" s="528"/>
      <c r="GZM1590" s="528"/>
      <c r="GZN1590" s="528"/>
      <c r="GZO1590" s="528"/>
      <c r="GZP1590" s="527"/>
      <c r="GZQ1590" s="528"/>
      <c r="GZR1590" s="528"/>
      <c r="GZS1590" s="528"/>
      <c r="GZT1590" s="528"/>
      <c r="GZU1590" s="528"/>
      <c r="GZV1590" s="528"/>
      <c r="GZW1590" s="528"/>
      <c r="GZX1590" s="528"/>
      <c r="GZY1590" s="528"/>
      <c r="GZZ1590" s="528"/>
      <c r="HAA1590" s="527"/>
      <c r="HAB1590" s="528"/>
      <c r="HAC1590" s="528"/>
      <c r="HAD1590" s="528"/>
      <c r="HAE1590" s="528"/>
      <c r="HAF1590" s="528"/>
      <c r="HAG1590" s="528"/>
      <c r="HAH1590" s="528"/>
      <c r="HAI1590" s="528"/>
      <c r="HAJ1590" s="528"/>
      <c r="HAK1590" s="528"/>
      <c r="HAL1590" s="527"/>
      <c r="HAM1590" s="528"/>
      <c r="HAN1590" s="528"/>
      <c r="HAO1590" s="528"/>
      <c r="HAP1590" s="528"/>
      <c r="HAQ1590" s="528"/>
      <c r="HAR1590" s="528"/>
      <c r="HAS1590" s="528"/>
      <c r="HAT1590" s="528"/>
      <c r="HAU1590" s="528"/>
      <c r="HAV1590" s="528"/>
      <c r="HAW1590" s="527"/>
      <c r="HAX1590" s="528"/>
      <c r="HAY1590" s="528"/>
      <c r="HAZ1590" s="528"/>
      <c r="HBA1590" s="528"/>
      <c r="HBB1590" s="528"/>
      <c r="HBC1590" s="528"/>
      <c r="HBD1590" s="528"/>
      <c r="HBE1590" s="528"/>
      <c r="HBF1590" s="528"/>
      <c r="HBG1590" s="528"/>
      <c r="HBH1590" s="527"/>
      <c r="HBI1590" s="528"/>
      <c r="HBJ1590" s="528"/>
      <c r="HBK1590" s="528"/>
      <c r="HBL1590" s="528"/>
      <c r="HBM1590" s="528"/>
      <c r="HBN1590" s="528"/>
      <c r="HBO1590" s="528"/>
      <c r="HBP1590" s="528"/>
      <c r="HBQ1590" s="528"/>
      <c r="HBR1590" s="528"/>
      <c r="HBS1590" s="527"/>
      <c r="HBT1590" s="528"/>
      <c r="HBU1590" s="528"/>
      <c r="HBV1590" s="528"/>
      <c r="HBW1590" s="528"/>
      <c r="HBX1590" s="528"/>
      <c r="HBY1590" s="528"/>
      <c r="HBZ1590" s="528"/>
      <c r="HCA1590" s="528"/>
      <c r="HCB1590" s="528"/>
      <c r="HCC1590" s="528"/>
      <c r="HCD1590" s="527"/>
      <c r="HCE1590" s="528"/>
      <c r="HCF1590" s="528"/>
      <c r="HCG1590" s="528"/>
      <c r="HCH1590" s="528"/>
      <c r="HCI1590" s="528"/>
      <c r="HCJ1590" s="528"/>
      <c r="HCK1590" s="528"/>
      <c r="HCL1590" s="528"/>
      <c r="HCM1590" s="528"/>
      <c r="HCN1590" s="528"/>
      <c r="HCO1590" s="527"/>
      <c r="HCP1590" s="528"/>
      <c r="HCQ1590" s="528"/>
      <c r="HCR1590" s="528"/>
      <c r="HCS1590" s="528"/>
      <c r="HCT1590" s="528"/>
      <c r="HCU1590" s="528"/>
      <c r="HCV1590" s="528"/>
      <c r="HCW1590" s="528"/>
      <c r="HCX1590" s="528"/>
      <c r="HCY1590" s="528"/>
      <c r="HCZ1590" s="527"/>
      <c r="HDA1590" s="528"/>
      <c r="HDB1590" s="528"/>
      <c r="HDC1590" s="528"/>
      <c r="HDD1590" s="528"/>
      <c r="HDE1590" s="528"/>
      <c r="HDF1590" s="528"/>
      <c r="HDG1590" s="528"/>
      <c r="HDH1590" s="528"/>
      <c r="HDI1590" s="528"/>
      <c r="HDJ1590" s="528"/>
      <c r="HDK1590" s="527"/>
      <c r="HDL1590" s="528"/>
      <c r="HDM1590" s="528"/>
      <c r="HDN1590" s="528"/>
      <c r="HDO1590" s="528"/>
      <c r="HDP1590" s="528"/>
      <c r="HDQ1590" s="528"/>
      <c r="HDR1590" s="528"/>
      <c r="HDS1590" s="528"/>
      <c r="HDT1590" s="528"/>
      <c r="HDU1590" s="528"/>
      <c r="HDV1590" s="527"/>
      <c r="HDW1590" s="528"/>
      <c r="HDX1590" s="528"/>
      <c r="HDY1590" s="528"/>
      <c r="HDZ1590" s="528"/>
      <c r="HEA1590" s="528"/>
      <c r="HEB1590" s="528"/>
      <c r="HEC1590" s="528"/>
      <c r="HED1590" s="528"/>
      <c r="HEE1590" s="528"/>
      <c r="HEF1590" s="528"/>
      <c r="HEG1590" s="527"/>
      <c r="HEH1590" s="528"/>
      <c r="HEI1590" s="528"/>
      <c r="HEJ1590" s="528"/>
      <c r="HEK1590" s="528"/>
      <c r="HEL1590" s="528"/>
      <c r="HEM1590" s="528"/>
      <c r="HEN1590" s="528"/>
      <c r="HEO1590" s="528"/>
      <c r="HEP1590" s="528"/>
      <c r="HEQ1590" s="528"/>
      <c r="HER1590" s="527"/>
      <c r="HES1590" s="528"/>
      <c r="HET1590" s="528"/>
      <c r="HEU1590" s="528"/>
      <c r="HEV1590" s="528"/>
      <c r="HEW1590" s="528"/>
      <c r="HEX1590" s="528"/>
      <c r="HEY1590" s="528"/>
      <c r="HEZ1590" s="528"/>
      <c r="HFA1590" s="528"/>
      <c r="HFB1590" s="528"/>
      <c r="HFC1590" s="527"/>
      <c r="HFD1590" s="528"/>
      <c r="HFE1590" s="528"/>
      <c r="HFF1590" s="528"/>
      <c r="HFG1590" s="528"/>
      <c r="HFH1590" s="528"/>
      <c r="HFI1590" s="528"/>
      <c r="HFJ1590" s="528"/>
      <c r="HFK1590" s="528"/>
      <c r="HFL1590" s="528"/>
      <c r="HFM1590" s="528"/>
      <c r="HFN1590" s="527"/>
      <c r="HFO1590" s="528"/>
      <c r="HFP1590" s="528"/>
      <c r="HFQ1590" s="528"/>
      <c r="HFR1590" s="528"/>
      <c r="HFS1590" s="528"/>
      <c r="HFT1590" s="528"/>
      <c r="HFU1590" s="528"/>
      <c r="HFV1590" s="528"/>
      <c r="HFW1590" s="528"/>
      <c r="HFX1590" s="528"/>
      <c r="HFY1590" s="527"/>
      <c r="HFZ1590" s="528"/>
      <c r="HGA1590" s="528"/>
      <c r="HGB1590" s="528"/>
      <c r="HGC1590" s="528"/>
      <c r="HGD1590" s="528"/>
      <c r="HGE1590" s="528"/>
      <c r="HGF1590" s="528"/>
      <c r="HGG1590" s="528"/>
      <c r="HGH1590" s="528"/>
      <c r="HGI1590" s="528"/>
      <c r="HGJ1590" s="527"/>
      <c r="HGK1590" s="528"/>
      <c r="HGL1590" s="528"/>
      <c r="HGM1590" s="528"/>
      <c r="HGN1590" s="528"/>
      <c r="HGO1590" s="528"/>
      <c r="HGP1590" s="528"/>
      <c r="HGQ1590" s="528"/>
      <c r="HGR1590" s="528"/>
      <c r="HGS1590" s="528"/>
      <c r="HGT1590" s="528"/>
      <c r="HGU1590" s="527"/>
      <c r="HGV1590" s="528"/>
      <c r="HGW1590" s="528"/>
      <c r="HGX1590" s="528"/>
      <c r="HGY1590" s="528"/>
      <c r="HGZ1590" s="528"/>
      <c r="HHA1590" s="528"/>
      <c r="HHB1590" s="528"/>
      <c r="HHC1590" s="528"/>
      <c r="HHD1590" s="528"/>
      <c r="HHE1590" s="528"/>
      <c r="HHF1590" s="527"/>
      <c r="HHG1590" s="528"/>
      <c r="HHH1590" s="528"/>
      <c r="HHI1590" s="528"/>
      <c r="HHJ1590" s="528"/>
      <c r="HHK1590" s="528"/>
      <c r="HHL1590" s="528"/>
      <c r="HHM1590" s="528"/>
      <c r="HHN1590" s="528"/>
      <c r="HHO1590" s="528"/>
      <c r="HHP1590" s="528"/>
      <c r="HHQ1590" s="527"/>
      <c r="HHR1590" s="528"/>
      <c r="HHS1590" s="528"/>
      <c r="HHT1590" s="528"/>
      <c r="HHU1590" s="528"/>
      <c r="HHV1590" s="528"/>
      <c r="HHW1590" s="528"/>
      <c r="HHX1590" s="528"/>
      <c r="HHY1590" s="528"/>
      <c r="HHZ1590" s="528"/>
      <c r="HIA1590" s="528"/>
      <c r="HIB1590" s="527"/>
      <c r="HIC1590" s="528"/>
      <c r="HID1590" s="528"/>
      <c r="HIE1590" s="528"/>
      <c r="HIF1590" s="528"/>
      <c r="HIG1590" s="528"/>
      <c r="HIH1590" s="528"/>
      <c r="HII1590" s="528"/>
      <c r="HIJ1590" s="528"/>
      <c r="HIK1590" s="528"/>
      <c r="HIL1590" s="528"/>
      <c r="HIM1590" s="527"/>
      <c r="HIN1590" s="528"/>
      <c r="HIO1590" s="528"/>
      <c r="HIP1590" s="528"/>
      <c r="HIQ1590" s="528"/>
      <c r="HIR1590" s="528"/>
      <c r="HIS1590" s="528"/>
      <c r="HIT1590" s="528"/>
      <c r="HIU1590" s="528"/>
      <c r="HIV1590" s="528"/>
      <c r="HIW1590" s="528"/>
      <c r="HIX1590" s="527"/>
      <c r="HIY1590" s="528"/>
      <c r="HIZ1590" s="528"/>
      <c r="HJA1590" s="528"/>
      <c r="HJB1590" s="528"/>
      <c r="HJC1590" s="528"/>
      <c r="HJD1590" s="528"/>
      <c r="HJE1590" s="528"/>
      <c r="HJF1590" s="528"/>
      <c r="HJG1590" s="528"/>
      <c r="HJH1590" s="528"/>
      <c r="HJI1590" s="527"/>
      <c r="HJJ1590" s="528"/>
      <c r="HJK1590" s="528"/>
      <c r="HJL1590" s="528"/>
      <c r="HJM1590" s="528"/>
      <c r="HJN1590" s="528"/>
      <c r="HJO1590" s="528"/>
      <c r="HJP1590" s="528"/>
      <c r="HJQ1590" s="528"/>
      <c r="HJR1590" s="528"/>
      <c r="HJS1590" s="528"/>
      <c r="HJT1590" s="527"/>
      <c r="HJU1590" s="528"/>
      <c r="HJV1590" s="528"/>
      <c r="HJW1590" s="528"/>
      <c r="HJX1590" s="528"/>
      <c r="HJY1590" s="528"/>
      <c r="HJZ1590" s="528"/>
      <c r="HKA1590" s="528"/>
      <c r="HKB1590" s="528"/>
      <c r="HKC1590" s="528"/>
      <c r="HKD1590" s="528"/>
      <c r="HKE1590" s="527"/>
      <c r="HKF1590" s="528"/>
      <c r="HKG1590" s="528"/>
      <c r="HKH1590" s="528"/>
      <c r="HKI1590" s="528"/>
      <c r="HKJ1590" s="528"/>
      <c r="HKK1590" s="528"/>
      <c r="HKL1590" s="528"/>
      <c r="HKM1590" s="528"/>
      <c r="HKN1590" s="528"/>
      <c r="HKO1590" s="528"/>
      <c r="HKP1590" s="527"/>
      <c r="HKQ1590" s="528"/>
      <c r="HKR1590" s="528"/>
      <c r="HKS1590" s="528"/>
      <c r="HKT1590" s="528"/>
      <c r="HKU1590" s="528"/>
      <c r="HKV1590" s="528"/>
      <c r="HKW1590" s="528"/>
      <c r="HKX1590" s="528"/>
      <c r="HKY1590" s="528"/>
      <c r="HKZ1590" s="528"/>
      <c r="HLA1590" s="527"/>
      <c r="HLB1590" s="528"/>
      <c r="HLC1590" s="528"/>
      <c r="HLD1590" s="528"/>
      <c r="HLE1590" s="528"/>
      <c r="HLF1590" s="528"/>
      <c r="HLG1590" s="528"/>
      <c r="HLH1590" s="528"/>
      <c r="HLI1590" s="528"/>
      <c r="HLJ1590" s="528"/>
      <c r="HLK1590" s="528"/>
      <c r="HLL1590" s="527"/>
      <c r="HLM1590" s="528"/>
      <c r="HLN1590" s="528"/>
      <c r="HLO1590" s="528"/>
      <c r="HLP1590" s="528"/>
      <c r="HLQ1590" s="528"/>
      <c r="HLR1590" s="528"/>
      <c r="HLS1590" s="528"/>
      <c r="HLT1590" s="528"/>
      <c r="HLU1590" s="528"/>
      <c r="HLV1590" s="528"/>
      <c r="HLW1590" s="527"/>
      <c r="HLX1590" s="528"/>
      <c r="HLY1590" s="528"/>
      <c r="HLZ1590" s="528"/>
      <c r="HMA1590" s="528"/>
      <c r="HMB1590" s="528"/>
      <c r="HMC1590" s="528"/>
      <c r="HMD1590" s="528"/>
      <c r="HME1590" s="528"/>
      <c r="HMF1590" s="528"/>
      <c r="HMG1590" s="528"/>
      <c r="HMH1590" s="527"/>
      <c r="HMI1590" s="528"/>
      <c r="HMJ1590" s="528"/>
      <c r="HMK1590" s="528"/>
      <c r="HML1590" s="528"/>
      <c r="HMM1590" s="528"/>
      <c r="HMN1590" s="528"/>
      <c r="HMO1590" s="528"/>
      <c r="HMP1590" s="528"/>
      <c r="HMQ1590" s="528"/>
      <c r="HMR1590" s="528"/>
      <c r="HMS1590" s="527"/>
      <c r="HMT1590" s="528"/>
      <c r="HMU1590" s="528"/>
      <c r="HMV1590" s="528"/>
      <c r="HMW1590" s="528"/>
      <c r="HMX1590" s="528"/>
      <c r="HMY1590" s="528"/>
      <c r="HMZ1590" s="528"/>
      <c r="HNA1590" s="528"/>
      <c r="HNB1590" s="528"/>
      <c r="HNC1590" s="528"/>
      <c r="HND1590" s="527"/>
      <c r="HNE1590" s="528"/>
      <c r="HNF1590" s="528"/>
      <c r="HNG1590" s="528"/>
      <c r="HNH1590" s="528"/>
      <c r="HNI1590" s="528"/>
      <c r="HNJ1590" s="528"/>
      <c r="HNK1590" s="528"/>
      <c r="HNL1590" s="528"/>
      <c r="HNM1590" s="528"/>
      <c r="HNN1590" s="528"/>
      <c r="HNO1590" s="527"/>
      <c r="HNP1590" s="528"/>
      <c r="HNQ1590" s="528"/>
      <c r="HNR1590" s="528"/>
      <c r="HNS1590" s="528"/>
      <c r="HNT1590" s="528"/>
      <c r="HNU1590" s="528"/>
      <c r="HNV1590" s="528"/>
      <c r="HNW1590" s="528"/>
      <c r="HNX1590" s="528"/>
      <c r="HNY1590" s="528"/>
      <c r="HNZ1590" s="527"/>
      <c r="HOA1590" s="528"/>
      <c r="HOB1590" s="528"/>
      <c r="HOC1590" s="528"/>
      <c r="HOD1590" s="528"/>
      <c r="HOE1590" s="528"/>
      <c r="HOF1590" s="528"/>
      <c r="HOG1590" s="528"/>
      <c r="HOH1590" s="528"/>
      <c r="HOI1590" s="528"/>
      <c r="HOJ1590" s="528"/>
      <c r="HOK1590" s="527"/>
      <c r="HOL1590" s="528"/>
      <c r="HOM1590" s="528"/>
      <c r="HON1590" s="528"/>
      <c r="HOO1590" s="528"/>
      <c r="HOP1590" s="528"/>
      <c r="HOQ1590" s="528"/>
      <c r="HOR1590" s="528"/>
      <c r="HOS1590" s="528"/>
      <c r="HOT1590" s="528"/>
      <c r="HOU1590" s="528"/>
      <c r="HOV1590" s="527"/>
      <c r="HOW1590" s="528"/>
      <c r="HOX1590" s="528"/>
      <c r="HOY1590" s="528"/>
      <c r="HOZ1590" s="528"/>
      <c r="HPA1590" s="528"/>
      <c r="HPB1590" s="528"/>
      <c r="HPC1590" s="528"/>
      <c r="HPD1590" s="528"/>
      <c r="HPE1590" s="528"/>
      <c r="HPF1590" s="528"/>
      <c r="HPG1590" s="527"/>
      <c r="HPH1590" s="528"/>
      <c r="HPI1590" s="528"/>
      <c r="HPJ1590" s="528"/>
      <c r="HPK1590" s="528"/>
      <c r="HPL1590" s="528"/>
      <c r="HPM1590" s="528"/>
      <c r="HPN1590" s="528"/>
      <c r="HPO1590" s="528"/>
      <c r="HPP1590" s="528"/>
      <c r="HPQ1590" s="528"/>
      <c r="HPR1590" s="527"/>
      <c r="HPS1590" s="528"/>
      <c r="HPT1590" s="528"/>
      <c r="HPU1590" s="528"/>
      <c r="HPV1590" s="528"/>
      <c r="HPW1590" s="528"/>
      <c r="HPX1590" s="528"/>
      <c r="HPY1590" s="528"/>
      <c r="HPZ1590" s="528"/>
      <c r="HQA1590" s="528"/>
      <c r="HQB1590" s="528"/>
      <c r="HQC1590" s="527"/>
      <c r="HQD1590" s="528"/>
      <c r="HQE1590" s="528"/>
      <c r="HQF1590" s="528"/>
      <c r="HQG1590" s="528"/>
      <c r="HQH1590" s="528"/>
      <c r="HQI1590" s="528"/>
      <c r="HQJ1590" s="528"/>
      <c r="HQK1590" s="528"/>
      <c r="HQL1590" s="528"/>
      <c r="HQM1590" s="528"/>
      <c r="HQN1590" s="527"/>
      <c r="HQO1590" s="528"/>
      <c r="HQP1590" s="528"/>
      <c r="HQQ1590" s="528"/>
      <c r="HQR1590" s="528"/>
      <c r="HQS1590" s="528"/>
      <c r="HQT1590" s="528"/>
      <c r="HQU1590" s="528"/>
      <c r="HQV1590" s="528"/>
      <c r="HQW1590" s="528"/>
      <c r="HQX1590" s="528"/>
      <c r="HQY1590" s="527"/>
      <c r="HQZ1590" s="528"/>
      <c r="HRA1590" s="528"/>
      <c r="HRB1590" s="528"/>
      <c r="HRC1590" s="528"/>
      <c r="HRD1590" s="528"/>
      <c r="HRE1590" s="528"/>
      <c r="HRF1590" s="528"/>
      <c r="HRG1590" s="528"/>
      <c r="HRH1590" s="528"/>
      <c r="HRI1590" s="528"/>
      <c r="HRJ1590" s="527"/>
      <c r="HRK1590" s="528"/>
      <c r="HRL1590" s="528"/>
      <c r="HRM1590" s="528"/>
      <c r="HRN1590" s="528"/>
      <c r="HRO1590" s="528"/>
      <c r="HRP1590" s="528"/>
      <c r="HRQ1590" s="528"/>
      <c r="HRR1590" s="528"/>
      <c r="HRS1590" s="528"/>
      <c r="HRT1590" s="528"/>
      <c r="HRU1590" s="527"/>
      <c r="HRV1590" s="528"/>
      <c r="HRW1590" s="528"/>
      <c r="HRX1590" s="528"/>
      <c r="HRY1590" s="528"/>
      <c r="HRZ1590" s="528"/>
      <c r="HSA1590" s="528"/>
      <c r="HSB1590" s="528"/>
      <c r="HSC1590" s="528"/>
      <c r="HSD1590" s="528"/>
      <c r="HSE1590" s="528"/>
      <c r="HSF1590" s="527"/>
      <c r="HSG1590" s="528"/>
      <c r="HSH1590" s="528"/>
      <c r="HSI1590" s="528"/>
      <c r="HSJ1590" s="528"/>
      <c r="HSK1590" s="528"/>
      <c r="HSL1590" s="528"/>
      <c r="HSM1590" s="528"/>
      <c r="HSN1590" s="528"/>
      <c r="HSO1590" s="528"/>
      <c r="HSP1590" s="528"/>
      <c r="HSQ1590" s="527"/>
      <c r="HSR1590" s="528"/>
      <c r="HSS1590" s="528"/>
      <c r="HST1590" s="528"/>
      <c r="HSU1590" s="528"/>
      <c r="HSV1590" s="528"/>
      <c r="HSW1590" s="528"/>
      <c r="HSX1590" s="528"/>
      <c r="HSY1590" s="528"/>
      <c r="HSZ1590" s="528"/>
      <c r="HTA1590" s="528"/>
      <c r="HTB1590" s="527"/>
      <c r="HTC1590" s="528"/>
      <c r="HTD1590" s="528"/>
      <c r="HTE1590" s="528"/>
      <c r="HTF1590" s="528"/>
      <c r="HTG1590" s="528"/>
      <c r="HTH1590" s="528"/>
      <c r="HTI1590" s="528"/>
      <c r="HTJ1590" s="528"/>
      <c r="HTK1590" s="528"/>
      <c r="HTL1590" s="528"/>
      <c r="HTM1590" s="527"/>
      <c r="HTN1590" s="528"/>
      <c r="HTO1590" s="528"/>
      <c r="HTP1590" s="528"/>
      <c r="HTQ1590" s="528"/>
      <c r="HTR1590" s="528"/>
      <c r="HTS1590" s="528"/>
      <c r="HTT1590" s="528"/>
      <c r="HTU1590" s="528"/>
      <c r="HTV1590" s="528"/>
      <c r="HTW1590" s="528"/>
      <c r="HTX1590" s="527"/>
      <c r="HTY1590" s="528"/>
      <c r="HTZ1590" s="528"/>
      <c r="HUA1590" s="528"/>
      <c r="HUB1590" s="528"/>
      <c r="HUC1590" s="528"/>
      <c r="HUD1590" s="528"/>
      <c r="HUE1590" s="528"/>
      <c r="HUF1590" s="528"/>
      <c r="HUG1590" s="528"/>
      <c r="HUH1590" s="528"/>
      <c r="HUI1590" s="527"/>
      <c r="HUJ1590" s="528"/>
      <c r="HUK1590" s="528"/>
      <c r="HUL1590" s="528"/>
      <c r="HUM1590" s="528"/>
      <c r="HUN1590" s="528"/>
      <c r="HUO1590" s="528"/>
      <c r="HUP1590" s="528"/>
      <c r="HUQ1590" s="528"/>
      <c r="HUR1590" s="528"/>
      <c r="HUS1590" s="528"/>
      <c r="HUT1590" s="527"/>
      <c r="HUU1590" s="528"/>
      <c r="HUV1590" s="528"/>
      <c r="HUW1590" s="528"/>
      <c r="HUX1590" s="528"/>
      <c r="HUY1590" s="528"/>
      <c r="HUZ1590" s="528"/>
      <c r="HVA1590" s="528"/>
      <c r="HVB1590" s="528"/>
      <c r="HVC1590" s="528"/>
      <c r="HVD1590" s="528"/>
      <c r="HVE1590" s="527"/>
      <c r="HVF1590" s="528"/>
      <c r="HVG1590" s="528"/>
      <c r="HVH1590" s="528"/>
      <c r="HVI1590" s="528"/>
      <c r="HVJ1590" s="528"/>
      <c r="HVK1590" s="528"/>
      <c r="HVL1590" s="528"/>
      <c r="HVM1590" s="528"/>
      <c r="HVN1590" s="528"/>
      <c r="HVO1590" s="528"/>
      <c r="HVP1590" s="527"/>
      <c r="HVQ1590" s="528"/>
      <c r="HVR1590" s="528"/>
      <c r="HVS1590" s="528"/>
      <c r="HVT1590" s="528"/>
      <c r="HVU1590" s="528"/>
      <c r="HVV1590" s="528"/>
      <c r="HVW1590" s="528"/>
      <c r="HVX1590" s="528"/>
      <c r="HVY1590" s="528"/>
      <c r="HVZ1590" s="528"/>
      <c r="HWA1590" s="527"/>
      <c r="HWB1590" s="528"/>
      <c r="HWC1590" s="528"/>
      <c r="HWD1590" s="528"/>
      <c r="HWE1590" s="528"/>
      <c r="HWF1590" s="528"/>
      <c r="HWG1590" s="528"/>
      <c r="HWH1590" s="528"/>
      <c r="HWI1590" s="528"/>
      <c r="HWJ1590" s="528"/>
      <c r="HWK1590" s="528"/>
      <c r="HWL1590" s="527"/>
      <c r="HWM1590" s="528"/>
      <c r="HWN1590" s="528"/>
      <c r="HWO1590" s="528"/>
      <c r="HWP1590" s="528"/>
      <c r="HWQ1590" s="528"/>
      <c r="HWR1590" s="528"/>
      <c r="HWS1590" s="528"/>
      <c r="HWT1590" s="528"/>
      <c r="HWU1590" s="528"/>
      <c r="HWV1590" s="528"/>
      <c r="HWW1590" s="527"/>
      <c r="HWX1590" s="528"/>
      <c r="HWY1590" s="528"/>
      <c r="HWZ1590" s="528"/>
      <c r="HXA1590" s="528"/>
      <c r="HXB1590" s="528"/>
      <c r="HXC1590" s="528"/>
      <c r="HXD1590" s="528"/>
      <c r="HXE1590" s="528"/>
      <c r="HXF1590" s="528"/>
      <c r="HXG1590" s="528"/>
      <c r="HXH1590" s="527"/>
      <c r="HXI1590" s="528"/>
      <c r="HXJ1590" s="528"/>
      <c r="HXK1590" s="528"/>
      <c r="HXL1590" s="528"/>
      <c r="HXM1590" s="528"/>
      <c r="HXN1590" s="528"/>
      <c r="HXO1590" s="528"/>
      <c r="HXP1590" s="528"/>
      <c r="HXQ1590" s="528"/>
      <c r="HXR1590" s="528"/>
      <c r="HXS1590" s="527"/>
      <c r="HXT1590" s="528"/>
      <c r="HXU1590" s="528"/>
      <c r="HXV1590" s="528"/>
      <c r="HXW1590" s="528"/>
      <c r="HXX1590" s="528"/>
      <c r="HXY1590" s="528"/>
      <c r="HXZ1590" s="528"/>
      <c r="HYA1590" s="528"/>
      <c r="HYB1590" s="528"/>
      <c r="HYC1590" s="528"/>
      <c r="HYD1590" s="527"/>
      <c r="HYE1590" s="528"/>
      <c r="HYF1590" s="528"/>
      <c r="HYG1590" s="528"/>
      <c r="HYH1590" s="528"/>
      <c r="HYI1590" s="528"/>
      <c r="HYJ1590" s="528"/>
      <c r="HYK1590" s="528"/>
      <c r="HYL1590" s="528"/>
      <c r="HYM1590" s="528"/>
      <c r="HYN1590" s="528"/>
      <c r="HYO1590" s="527"/>
      <c r="HYP1590" s="528"/>
      <c r="HYQ1590" s="528"/>
      <c r="HYR1590" s="528"/>
      <c r="HYS1590" s="528"/>
      <c r="HYT1590" s="528"/>
      <c r="HYU1590" s="528"/>
      <c r="HYV1590" s="528"/>
      <c r="HYW1590" s="528"/>
      <c r="HYX1590" s="528"/>
      <c r="HYY1590" s="528"/>
      <c r="HYZ1590" s="527"/>
      <c r="HZA1590" s="528"/>
      <c r="HZB1590" s="528"/>
      <c r="HZC1590" s="528"/>
      <c r="HZD1590" s="528"/>
      <c r="HZE1590" s="528"/>
      <c r="HZF1590" s="528"/>
      <c r="HZG1590" s="528"/>
      <c r="HZH1590" s="528"/>
      <c r="HZI1590" s="528"/>
      <c r="HZJ1590" s="528"/>
      <c r="HZK1590" s="527"/>
      <c r="HZL1590" s="528"/>
      <c r="HZM1590" s="528"/>
      <c r="HZN1590" s="528"/>
      <c r="HZO1590" s="528"/>
      <c r="HZP1590" s="528"/>
      <c r="HZQ1590" s="528"/>
      <c r="HZR1590" s="528"/>
      <c r="HZS1590" s="528"/>
      <c r="HZT1590" s="528"/>
      <c r="HZU1590" s="528"/>
      <c r="HZV1590" s="527"/>
      <c r="HZW1590" s="528"/>
      <c r="HZX1590" s="528"/>
      <c r="HZY1590" s="528"/>
      <c r="HZZ1590" s="528"/>
      <c r="IAA1590" s="528"/>
      <c r="IAB1590" s="528"/>
      <c r="IAC1590" s="528"/>
      <c r="IAD1590" s="528"/>
      <c r="IAE1590" s="528"/>
      <c r="IAF1590" s="528"/>
      <c r="IAG1590" s="527"/>
      <c r="IAH1590" s="528"/>
      <c r="IAI1590" s="528"/>
      <c r="IAJ1590" s="528"/>
      <c r="IAK1590" s="528"/>
      <c r="IAL1590" s="528"/>
      <c r="IAM1590" s="528"/>
      <c r="IAN1590" s="528"/>
      <c r="IAO1590" s="528"/>
      <c r="IAP1590" s="528"/>
      <c r="IAQ1590" s="528"/>
      <c r="IAR1590" s="527"/>
      <c r="IAS1590" s="528"/>
      <c r="IAT1590" s="528"/>
      <c r="IAU1590" s="528"/>
      <c r="IAV1590" s="528"/>
      <c r="IAW1590" s="528"/>
      <c r="IAX1590" s="528"/>
      <c r="IAY1590" s="528"/>
      <c r="IAZ1590" s="528"/>
      <c r="IBA1590" s="528"/>
      <c r="IBB1590" s="528"/>
      <c r="IBC1590" s="527"/>
      <c r="IBD1590" s="528"/>
      <c r="IBE1590" s="528"/>
      <c r="IBF1590" s="528"/>
      <c r="IBG1590" s="528"/>
      <c r="IBH1590" s="528"/>
      <c r="IBI1590" s="528"/>
      <c r="IBJ1590" s="528"/>
      <c r="IBK1590" s="528"/>
      <c r="IBL1590" s="528"/>
      <c r="IBM1590" s="528"/>
      <c r="IBN1590" s="527"/>
      <c r="IBO1590" s="528"/>
      <c r="IBP1590" s="528"/>
      <c r="IBQ1590" s="528"/>
      <c r="IBR1590" s="528"/>
      <c r="IBS1590" s="528"/>
      <c r="IBT1590" s="528"/>
      <c r="IBU1590" s="528"/>
      <c r="IBV1590" s="528"/>
      <c r="IBW1590" s="528"/>
      <c r="IBX1590" s="528"/>
      <c r="IBY1590" s="527"/>
      <c r="IBZ1590" s="528"/>
      <c r="ICA1590" s="528"/>
      <c r="ICB1590" s="528"/>
      <c r="ICC1590" s="528"/>
      <c r="ICD1590" s="528"/>
      <c r="ICE1590" s="528"/>
      <c r="ICF1590" s="528"/>
      <c r="ICG1590" s="528"/>
      <c r="ICH1590" s="528"/>
      <c r="ICI1590" s="528"/>
      <c r="ICJ1590" s="527"/>
      <c r="ICK1590" s="528"/>
      <c r="ICL1590" s="528"/>
      <c r="ICM1590" s="528"/>
      <c r="ICN1590" s="528"/>
      <c r="ICO1590" s="528"/>
      <c r="ICP1590" s="528"/>
      <c r="ICQ1590" s="528"/>
      <c r="ICR1590" s="528"/>
      <c r="ICS1590" s="528"/>
      <c r="ICT1590" s="528"/>
      <c r="ICU1590" s="527"/>
      <c r="ICV1590" s="528"/>
      <c r="ICW1590" s="528"/>
      <c r="ICX1590" s="528"/>
      <c r="ICY1590" s="528"/>
      <c r="ICZ1590" s="528"/>
      <c r="IDA1590" s="528"/>
      <c r="IDB1590" s="528"/>
      <c r="IDC1590" s="528"/>
      <c r="IDD1590" s="528"/>
      <c r="IDE1590" s="528"/>
      <c r="IDF1590" s="527"/>
      <c r="IDG1590" s="528"/>
      <c r="IDH1590" s="528"/>
      <c r="IDI1590" s="528"/>
      <c r="IDJ1590" s="528"/>
      <c r="IDK1590" s="528"/>
      <c r="IDL1590" s="528"/>
      <c r="IDM1590" s="528"/>
      <c r="IDN1590" s="528"/>
      <c r="IDO1590" s="528"/>
      <c r="IDP1590" s="528"/>
      <c r="IDQ1590" s="527"/>
      <c r="IDR1590" s="528"/>
      <c r="IDS1590" s="528"/>
      <c r="IDT1590" s="528"/>
      <c r="IDU1590" s="528"/>
      <c r="IDV1590" s="528"/>
      <c r="IDW1590" s="528"/>
      <c r="IDX1590" s="528"/>
      <c r="IDY1590" s="528"/>
      <c r="IDZ1590" s="528"/>
      <c r="IEA1590" s="528"/>
      <c r="IEB1590" s="527"/>
      <c r="IEC1590" s="528"/>
      <c r="IED1590" s="528"/>
      <c r="IEE1590" s="528"/>
      <c r="IEF1590" s="528"/>
      <c r="IEG1590" s="528"/>
      <c r="IEH1590" s="528"/>
      <c r="IEI1590" s="528"/>
      <c r="IEJ1590" s="528"/>
      <c r="IEK1590" s="528"/>
      <c r="IEL1590" s="528"/>
      <c r="IEM1590" s="527"/>
      <c r="IEN1590" s="528"/>
      <c r="IEO1590" s="528"/>
      <c r="IEP1590" s="528"/>
      <c r="IEQ1590" s="528"/>
      <c r="IER1590" s="528"/>
      <c r="IES1590" s="528"/>
      <c r="IET1590" s="528"/>
      <c r="IEU1590" s="528"/>
      <c r="IEV1590" s="528"/>
      <c r="IEW1590" s="528"/>
      <c r="IEX1590" s="527"/>
      <c r="IEY1590" s="528"/>
      <c r="IEZ1590" s="528"/>
      <c r="IFA1590" s="528"/>
      <c r="IFB1590" s="528"/>
      <c r="IFC1590" s="528"/>
      <c r="IFD1590" s="528"/>
      <c r="IFE1590" s="528"/>
      <c r="IFF1590" s="528"/>
      <c r="IFG1590" s="528"/>
      <c r="IFH1590" s="528"/>
      <c r="IFI1590" s="527"/>
      <c r="IFJ1590" s="528"/>
      <c r="IFK1590" s="528"/>
      <c r="IFL1590" s="528"/>
      <c r="IFM1590" s="528"/>
      <c r="IFN1590" s="528"/>
      <c r="IFO1590" s="528"/>
      <c r="IFP1590" s="528"/>
      <c r="IFQ1590" s="528"/>
      <c r="IFR1590" s="528"/>
      <c r="IFS1590" s="528"/>
      <c r="IFT1590" s="527"/>
      <c r="IFU1590" s="528"/>
      <c r="IFV1590" s="528"/>
      <c r="IFW1590" s="528"/>
      <c r="IFX1590" s="528"/>
      <c r="IFY1590" s="528"/>
      <c r="IFZ1590" s="528"/>
      <c r="IGA1590" s="528"/>
      <c r="IGB1590" s="528"/>
      <c r="IGC1590" s="528"/>
      <c r="IGD1590" s="528"/>
      <c r="IGE1590" s="527"/>
      <c r="IGF1590" s="528"/>
      <c r="IGG1590" s="528"/>
      <c r="IGH1590" s="528"/>
      <c r="IGI1590" s="528"/>
      <c r="IGJ1590" s="528"/>
      <c r="IGK1590" s="528"/>
      <c r="IGL1590" s="528"/>
      <c r="IGM1590" s="528"/>
      <c r="IGN1590" s="528"/>
      <c r="IGO1590" s="528"/>
      <c r="IGP1590" s="527"/>
      <c r="IGQ1590" s="528"/>
      <c r="IGR1590" s="528"/>
      <c r="IGS1590" s="528"/>
      <c r="IGT1590" s="528"/>
      <c r="IGU1590" s="528"/>
      <c r="IGV1590" s="528"/>
      <c r="IGW1590" s="528"/>
      <c r="IGX1590" s="528"/>
      <c r="IGY1590" s="528"/>
      <c r="IGZ1590" s="528"/>
      <c r="IHA1590" s="527"/>
      <c r="IHB1590" s="528"/>
      <c r="IHC1590" s="528"/>
      <c r="IHD1590" s="528"/>
      <c r="IHE1590" s="528"/>
      <c r="IHF1590" s="528"/>
      <c r="IHG1590" s="528"/>
      <c r="IHH1590" s="528"/>
      <c r="IHI1590" s="528"/>
      <c r="IHJ1590" s="528"/>
      <c r="IHK1590" s="528"/>
      <c r="IHL1590" s="527"/>
      <c r="IHM1590" s="528"/>
      <c r="IHN1590" s="528"/>
      <c r="IHO1590" s="528"/>
      <c r="IHP1590" s="528"/>
      <c r="IHQ1590" s="528"/>
      <c r="IHR1590" s="528"/>
      <c r="IHS1590" s="528"/>
      <c r="IHT1590" s="528"/>
      <c r="IHU1590" s="528"/>
      <c r="IHV1590" s="528"/>
      <c r="IHW1590" s="527"/>
      <c r="IHX1590" s="528"/>
      <c r="IHY1590" s="528"/>
      <c r="IHZ1590" s="528"/>
      <c r="IIA1590" s="528"/>
      <c r="IIB1590" s="528"/>
      <c r="IIC1590" s="528"/>
      <c r="IID1590" s="528"/>
      <c r="IIE1590" s="528"/>
      <c r="IIF1590" s="528"/>
      <c r="IIG1590" s="528"/>
      <c r="IIH1590" s="527"/>
      <c r="III1590" s="528"/>
      <c r="IIJ1590" s="528"/>
      <c r="IIK1590" s="528"/>
      <c r="IIL1590" s="528"/>
      <c r="IIM1590" s="528"/>
      <c r="IIN1590" s="528"/>
      <c r="IIO1590" s="528"/>
      <c r="IIP1590" s="528"/>
      <c r="IIQ1590" s="528"/>
      <c r="IIR1590" s="528"/>
      <c r="IIS1590" s="527"/>
      <c r="IIT1590" s="528"/>
      <c r="IIU1590" s="528"/>
      <c r="IIV1590" s="528"/>
      <c r="IIW1590" s="528"/>
      <c r="IIX1590" s="528"/>
      <c r="IIY1590" s="528"/>
      <c r="IIZ1590" s="528"/>
      <c r="IJA1590" s="528"/>
      <c r="IJB1590" s="528"/>
      <c r="IJC1590" s="528"/>
      <c r="IJD1590" s="527"/>
      <c r="IJE1590" s="528"/>
      <c r="IJF1590" s="528"/>
      <c r="IJG1590" s="528"/>
      <c r="IJH1590" s="528"/>
      <c r="IJI1590" s="528"/>
      <c r="IJJ1590" s="528"/>
      <c r="IJK1590" s="528"/>
      <c r="IJL1590" s="528"/>
      <c r="IJM1590" s="528"/>
      <c r="IJN1590" s="528"/>
      <c r="IJO1590" s="527"/>
      <c r="IJP1590" s="528"/>
      <c r="IJQ1590" s="528"/>
      <c r="IJR1590" s="528"/>
      <c r="IJS1590" s="528"/>
      <c r="IJT1590" s="528"/>
      <c r="IJU1590" s="528"/>
      <c r="IJV1590" s="528"/>
      <c r="IJW1590" s="528"/>
      <c r="IJX1590" s="528"/>
      <c r="IJY1590" s="528"/>
      <c r="IJZ1590" s="527"/>
      <c r="IKA1590" s="528"/>
      <c r="IKB1590" s="528"/>
      <c r="IKC1590" s="528"/>
      <c r="IKD1590" s="528"/>
      <c r="IKE1590" s="528"/>
      <c r="IKF1590" s="528"/>
      <c r="IKG1590" s="528"/>
      <c r="IKH1590" s="528"/>
      <c r="IKI1590" s="528"/>
      <c r="IKJ1590" s="528"/>
      <c r="IKK1590" s="527"/>
      <c r="IKL1590" s="528"/>
      <c r="IKM1590" s="528"/>
      <c r="IKN1590" s="528"/>
      <c r="IKO1590" s="528"/>
      <c r="IKP1590" s="528"/>
      <c r="IKQ1590" s="528"/>
      <c r="IKR1590" s="528"/>
      <c r="IKS1590" s="528"/>
      <c r="IKT1590" s="528"/>
      <c r="IKU1590" s="528"/>
      <c r="IKV1590" s="527"/>
      <c r="IKW1590" s="528"/>
      <c r="IKX1590" s="528"/>
      <c r="IKY1590" s="528"/>
      <c r="IKZ1590" s="528"/>
      <c r="ILA1590" s="528"/>
      <c r="ILB1590" s="528"/>
      <c r="ILC1590" s="528"/>
      <c r="ILD1590" s="528"/>
      <c r="ILE1590" s="528"/>
      <c r="ILF1590" s="528"/>
      <c r="ILG1590" s="527"/>
      <c r="ILH1590" s="528"/>
      <c r="ILI1590" s="528"/>
      <c r="ILJ1590" s="528"/>
      <c r="ILK1590" s="528"/>
      <c r="ILL1590" s="528"/>
      <c r="ILM1590" s="528"/>
      <c r="ILN1590" s="528"/>
      <c r="ILO1590" s="528"/>
      <c r="ILP1590" s="528"/>
      <c r="ILQ1590" s="528"/>
      <c r="ILR1590" s="527"/>
      <c r="ILS1590" s="528"/>
      <c r="ILT1590" s="528"/>
      <c r="ILU1590" s="528"/>
      <c r="ILV1590" s="528"/>
      <c r="ILW1590" s="528"/>
      <c r="ILX1590" s="528"/>
      <c r="ILY1590" s="528"/>
      <c r="ILZ1590" s="528"/>
      <c r="IMA1590" s="528"/>
      <c r="IMB1590" s="528"/>
      <c r="IMC1590" s="527"/>
      <c r="IMD1590" s="528"/>
      <c r="IME1590" s="528"/>
      <c r="IMF1590" s="528"/>
      <c r="IMG1590" s="528"/>
      <c r="IMH1590" s="528"/>
      <c r="IMI1590" s="528"/>
      <c r="IMJ1590" s="528"/>
      <c r="IMK1590" s="528"/>
      <c r="IML1590" s="528"/>
      <c r="IMM1590" s="528"/>
      <c r="IMN1590" s="527"/>
      <c r="IMO1590" s="528"/>
      <c r="IMP1590" s="528"/>
      <c r="IMQ1590" s="528"/>
      <c r="IMR1590" s="528"/>
      <c r="IMS1590" s="528"/>
      <c r="IMT1590" s="528"/>
      <c r="IMU1590" s="528"/>
      <c r="IMV1590" s="528"/>
      <c r="IMW1590" s="528"/>
      <c r="IMX1590" s="528"/>
      <c r="IMY1590" s="527"/>
      <c r="IMZ1590" s="528"/>
      <c r="INA1590" s="528"/>
      <c r="INB1590" s="528"/>
      <c r="INC1590" s="528"/>
      <c r="IND1590" s="528"/>
      <c r="INE1590" s="528"/>
      <c r="INF1590" s="528"/>
      <c r="ING1590" s="528"/>
      <c r="INH1590" s="528"/>
      <c r="INI1590" s="528"/>
      <c r="INJ1590" s="527"/>
      <c r="INK1590" s="528"/>
      <c r="INL1590" s="528"/>
      <c r="INM1590" s="528"/>
      <c r="INN1590" s="528"/>
      <c r="INO1590" s="528"/>
      <c r="INP1590" s="528"/>
      <c r="INQ1590" s="528"/>
      <c r="INR1590" s="528"/>
      <c r="INS1590" s="528"/>
      <c r="INT1590" s="528"/>
      <c r="INU1590" s="527"/>
      <c r="INV1590" s="528"/>
      <c r="INW1590" s="528"/>
      <c r="INX1590" s="528"/>
      <c r="INY1590" s="528"/>
      <c r="INZ1590" s="528"/>
      <c r="IOA1590" s="528"/>
      <c r="IOB1590" s="528"/>
      <c r="IOC1590" s="528"/>
      <c r="IOD1590" s="528"/>
      <c r="IOE1590" s="528"/>
      <c r="IOF1590" s="527"/>
      <c r="IOG1590" s="528"/>
      <c r="IOH1590" s="528"/>
      <c r="IOI1590" s="528"/>
      <c r="IOJ1590" s="528"/>
      <c r="IOK1590" s="528"/>
      <c r="IOL1590" s="528"/>
      <c r="IOM1590" s="528"/>
      <c r="ION1590" s="528"/>
      <c r="IOO1590" s="528"/>
      <c r="IOP1590" s="528"/>
      <c r="IOQ1590" s="527"/>
      <c r="IOR1590" s="528"/>
      <c r="IOS1590" s="528"/>
      <c r="IOT1590" s="528"/>
      <c r="IOU1590" s="528"/>
      <c r="IOV1590" s="528"/>
      <c r="IOW1590" s="528"/>
      <c r="IOX1590" s="528"/>
      <c r="IOY1590" s="528"/>
      <c r="IOZ1590" s="528"/>
      <c r="IPA1590" s="528"/>
      <c r="IPB1590" s="527"/>
      <c r="IPC1590" s="528"/>
      <c r="IPD1590" s="528"/>
      <c r="IPE1590" s="528"/>
      <c r="IPF1590" s="528"/>
      <c r="IPG1590" s="528"/>
      <c r="IPH1590" s="528"/>
      <c r="IPI1590" s="528"/>
      <c r="IPJ1590" s="528"/>
      <c r="IPK1590" s="528"/>
      <c r="IPL1590" s="528"/>
      <c r="IPM1590" s="527"/>
      <c r="IPN1590" s="528"/>
      <c r="IPO1590" s="528"/>
      <c r="IPP1590" s="528"/>
      <c r="IPQ1590" s="528"/>
      <c r="IPR1590" s="528"/>
      <c r="IPS1590" s="528"/>
      <c r="IPT1590" s="528"/>
      <c r="IPU1590" s="528"/>
      <c r="IPV1590" s="528"/>
      <c r="IPW1590" s="528"/>
      <c r="IPX1590" s="527"/>
      <c r="IPY1590" s="528"/>
      <c r="IPZ1590" s="528"/>
      <c r="IQA1590" s="528"/>
      <c r="IQB1590" s="528"/>
      <c r="IQC1590" s="528"/>
      <c r="IQD1590" s="528"/>
      <c r="IQE1590" s="528"/>
      <c r="IQF1590" s="528"/>
      <c r="IQG1590" s="528"/>
      <c r="IQH1590" s="528"/>
      <c r="IQI1590" s="527"/>
      <c r="IQJ1590" s="528"/>
      <c r="IQK1590" s="528"/>
      <c r="IQL1590" s="528"/>
      <c r="IQM1590" s="528"/>
      <c r="IQN1590" s="528"/>
      <c r="IQO1590" s="528"/>
      <c r="IQP1590" s="528"/>
      <c r="IQQ1590" s="528"/>
      <c r="IQR1590" s="528"/>
      <c r="IQS1590" s="528"/>
      <c r="IQT1590" s="527"/>
      <c r="IQU1590" s="528"/>
      <c r="IQV1590" s="528"/>
      <c r="IQW1590" s="528"/>
      <c r="IQX1590" s="528"/>
      <c r="IQY1590" s="528"/>
      <c r="IQZ1590" s="528"/>
      <c r="IRA1590" s="528"/>
      <c r="IRB1590" s="528"/>
      <c r="IRC1590" s="528"/>
      <c r="IRD1590" s="528"/>
      <c r="IRE1590" s="527"/>
      <c r="IRF1590" s="528"/>
      <c r="IRG1590" s="528"/>
      <c r="IRH1590" s="528"/>
      <c r="IRI1590" s="528"/>
      <c r="IRJ1590" s="528"/>
      <c r="IRK1590" s="528"/>
      <c r="IRL1590" s="528"/>
      <c r="IRM1590" s="528"/>
      <c r="IRN1590" s="528"/>
      <c r="IRO1590" s="528"/>
      <c r="IRP1590" s="527"/>
      <c r="IRQ1590" s="528"/>
      <c r="IRR1590" s="528"/>
      <c r="IRS1590" s="528"/>
      <c r="IRT1590" s="528"/>
      <c r="IRU1590" s="528"/>
      <c r="IRV1590" s="528"/>
      <c r="IRW1590" s="528"/>
      <c r="IRX1590" s="528"/>
      <c r="IRY1590" s="528"/>
      <c r="IRZ1590" s="528"/>
      <c r="ISA1590" s="527"/>
      <c r="ISB1590" s="528"/>
      <c r="ISC1590" s="528"/>
      <c r="ISD1590" s="528"/>
      <c r="ISE1590" s="528"/>
      <c r="ISF1590" s="528"/>
      <c r="ISG1590" s="528"/>
      <c r="ISH1590" s="528"/>
      <c r="ISI1590" s="528"/>
      <c r="ISJ1590" s="528"/>
      <c r="ISK1590" s="528"/>
      <c r="ISL1590" s="527"/>
      <c r="ISM1590" s="528"/>
      <c r="ISN1590" s="528"/>
      <c r="ISO1590" s="528"/>
      <c r="ISP1590" s="528"/>
      <c r="ISQ1590" s="528"/>
      <c r="ISR1590" s="528"/>
      <c r="ISS1590" s="528"/>
      <c r="IST1590" s="528"/>
      <c r="ISU1590" s="528"/>
      <c r="ISV1590" s="528"/>
      <c r="ISW1590" s="527"/>
      <c r="ISX1590" s="528"/>
      <c r="ISY1590" s="528"/>
      <c r="ISZ1590" s="528"/>
      <c r="ITA1590" s="528"/>
      <c r="ITB1590" s="528"/>
      <c r="ITC1590" s="528"/>
      <c r="ITD1590" s="528"/>
      <c r="ITE1590" s="528"/>
      <c r="ITF1590" s="528"/>
      <c r="ITG1590" s="528"/>
      <c r="ITH1590" s="527"/>
      <c r="ITI1590" s="528"/>
      <c r="ITJ1590" s="528"/>
      <c r="ITK1590" s="528"/>
      <c r="ITL1590" s="528"/>
      <c r="ITM1590" s="528"/>
      <c r="ITN1590" s="528"/>
      <c r="ITO1590" s="528"/>
      <c r="ITP1590" s="528"/>
      <c r="ITQ1590" s="528"/>
      <c r="ITR1590" s="528"/>
      <c r="ITS1590" s="527"/>
      <c r="ITT1590" s="528"/>
      <c r="ITU1590" s="528"/>
      <c r="ITV1590" s="528"/>
      <c r="ITW1590" s="528"/>
      <c r="ITX1590" s="528"/>
      <c r="ITY1590" s="528"/>
      <c r="ITZ1590" s="528"/>
      <c r="IUA1590" s="528"/>
      <c r="IUB1590" s="528"/>
      <c r="IUC1590" s="528"/>
      <c r="IUD1590" s="527"/>
      <c r="IUE1590" s="528"/>
      <c r="IUF1590" s="528"/>
      <c r="IUG1590" s="528"/>
      <c r="IUH1590" s="528"/>
      <c r="IUI1590" s="528"/>
      <c r="IUJ1590" s="528"/>
      <c r="IUK1590" s="528"/>
      <c r="IUL1590" s="528"/>
      <c r="IUM1590" s="528"/>
      <c r="IUN1590" s="528"/>
      <c r="IUO1590" s="527"/>
      <c r="IUP1590" s="528"/>
      <c r="IUQ1590" s="528"/>
      <c r="IUR1590" s="528"/>
      <c r="IUS1590" s="528"/>
      <c r="IUT1590" s="528"/>
      <c r="IUU1590" s="528"/>
      <c r="IUV1590" s="528"/>
      <c r="IUW1590" s="528"/>
      <c r="IUX1590" s="528"/>
      <c r="IUY1590" s="528"/>
      <c r="IUZ1590" s="527"/>
      <c r="IVA1590" s="528"/>
      <c r="IVB1590" s="528"/>
      <c r="IVC1590" s="528"/>
      <c r="IVD1590" s="528"/>
      <c r="IVE1590" s="528"/>
      <c r="IVF1590" s="528"/>
      <c r="IVG1590" s="528"/>
      <c r="IVH1590" s="528"/>
      <c r="IVI1590" s="528"/>
      <c r="IVJ1590" s="528"/>
      <c r="IVK1590" s="527"/>
      <c r="IVL1590" s="528"/>
      <c r="IVM1590" s="528"/>
      <c r="IVN1590" s="528"/>
      <c r="IVO1590" s="528"/>
      <c r="IVP1590" s="528"/>
      <c r="IVQ1590" s="528"/>
      <c r="IVR1590" s="528"/>
      <c r="IVS1590" s="528"/>
      <c r="IVT1590" s="528"/>
      <c r="IVU1590" s="528"/>
      <c r="IVV1590" s="527"/>
      <c r="IVW1590" s="528"/>
      <c r="IVX1590" s="528"/>
      <c r="IVY1590" s="528"/>
      <c r="IVZ1590" s="528"/>
      <c r="IWA1590" s="528"/>
      <c r="IWB1590" s="528"/>
      <c r="IWC1590" s="528"/>
      <c r="IWD1590" s="528"/>
      <c r="IWE1590" s="528"/>
      <c r="IWF1590" s="528"/>
      <c r="IWG1590" s="527"/>
      <c r="IWH1590" s="528"/>
      <c r="IWI1590" s="528"/>
      <c r="IWJ1590" s="528"/>
      <c r="IWK1590" s="528"/>
      <c r="IWL1590" s="528"/>
      <c r="IWM1590" s="528"/>
      <c r="IWN1590" s="528"/>
      <c r="IWO1590" s="528"/>
      <c r="IWP1590" s="528"/>
      <c r="IWQ1590" s="528"/>
      <c r="IWR1590" s="527"/>
      <c r="IWS1590" s="528"/>
      <c r="IWT1590" s="528"/>
      <c r="IWU1590" s="528"/>
      <c r="IWV1590" s="528"/>
      <c r="IWW1590" s="528"/>
      <c r="IWX1590" s="528"/>
      <c r="IWY1590" s="528"/>
      <c r="IWZ1590" s="528"/>
      <c r="IXA1590" s="528"/>
      <c r="IXB1590" s="528"/>
      <c r="IXC1590" s="527"/>
      <c r="IXD1590" s="528"/>
      <c r="IXE1590" s="528"/>
      <c r="IXF1590" s="528"/>
      <c r="IXG1590" s="528"/>
      <c r="IXH1590" s="528"/>
      <c r="IXI1590" s="528"/>
      <c r="IXJ1590" s="528"/>
      <c r="IXK1590" s="528"/>
      <c r="IXL1590" s="528"/>
      <c r="IXM1590" s="528"/>
      <c r="IXN1590" s="527"/>
      <c r="IXO1590" s="528"/>
      <c r="IXP1590" s="528"/>
      <c r="IXQ1590" s="528"/>
      <c r="IXR1590" s="528"/>
      <c r="IXS1590" s="528"/>
      <c r="IXT1590" s="528"/>
      <c r="IXU1590" s="528"/>
      <c r="IXV1590" s="528"/>
      <c r="IXW1590" s="528"/>
      <c r="IXX1590" s="528"/>
      <c r="IXY1590" s="527"/>
      <c r="IXZ1590" s="528"/>
      <c r="IYA1590" s="528"/>
      <c r="IYB1590" s="528"/>
      <c r="IYC1590" s="528"/>
      <c r="IYD1590" s="528"/>
      <c r="IYE1590" s="528"/>
      <c r="IYF1590" s="528"/>
      <c r="IYG1590" s="528"/>
      <c r="IYH1590" s="528"/>
      <c r="IYI1590" s="528"/>
      <c r="IYJ1590" s="527"/>
      <c r="IYK1590" s="528"/>
      <c r="IYL1590" s="528"/>
      <c r="IYM1590" s="528"/>
      <c r="IYN1590" s="528"/>
      <c r="IYO1590" s="528"/>
      <c r="IYP1590" s="528"/>
      <c r="IYQ1590" s="528"/>
      <c r="IYR1590" s="528"/>
      <c r="IYS1590" s="528"/>
      <c r="IYT1590" s="528"/>
      <c r="IYU1590" s="527"/>
      <c r="IYV1590" s="528"/>
      <c r="IYW1590" s="528"/>
      <c r="IYX1590" s="528"/>
      <c r="IYY1590" s="528"/>
      <c r="IYZ1590" s="528"/>
      <c r="IZA1590" s="528"/>
      <c r="IZB1590" s="528"/>
      <c r="IZC1590" s="528"/>
      <c r="IZD1590" s="528"/>
      <c r="IZE1590" s="528"/>
      <c r="IZF1590" s="527"/>
      <c r="IZG1590" s="528"/>
      <c r="IZH1590" s="528"/>
      <c r="IZI1590" s="528"/>
      <c r="IZJ1590" s="528"/>
      <c r="IZK1590" s="528"/>
      <c r="IZL1590" s="528"/>
      <c r="IZM1590" s="528"/>
      <c r="IZN1590" s="528"/>
      <c r="IZO1590" s="528"/>
      <c r="IZP1590" s="528"/>
      <c r="IZQ1590" s="527"/>
      <c r="IZR1590" s="528"/>
      <c r="IZS1590" s="528"/>
      <c r="IZT1590" s="528"/>
      <c r="IZU1590" s="528"/>
      <c r="IZV1590" s="528"/>
      <c r="IZW1590" s="528"/>
      <c r="IZX1590" s="528"/>
      <c r="IZY1590" s="528"/>
      <c r="IZZ1590" s="528"/>
      <c r="JAA1590" s="528"/>
      <c r="JAB1590" s="527"/>
      <c r="JAC1590" s="528"/>
      <c r="JAD1590" s="528"/>
      <c r="JAE1590" s="528"/>
      <c r="JAF1590" s="528"/>
      <c r="JAG1590" s="528"/>
      <c r="JAH1590" s="528"/>
      <c r="JAI1590" s="528"/>
      <c r="JAJ1590" s="528"/>
      <c r="JAK1590" s="528"/>
      <c r="JAL1590" s="528"/>
      <c r="JAM1590" s="527"/>
      <c r="JAN1590" s="528"/>
      <c r="JAO1590" s="528"/>
      <c r="JAP1590" s="528"/>
      <c r="JAQ1590" s="528"/>
      <c r="JAR1590" s="528"/>
      <c r="JAS1590" s="528"/>
      <c r="JAT1590" s="528"/>
      <c r="JAU1590" s="528"/>
      <c r="JAV1590" s="528"/>
      <c r="JAW1590" s="528"/>
      <c r="JAX1590" s="527"/>
      <c r="JAY1590" s="528"/>
      <c r="JAZ1590" s="528"/>
      <c r="JBA1590" s="528"/>
      <c r="JBB1590" s="528"/>
      <c r="JBC1590" s="528"/>
      <c r="JBD1590" s="528"/>
      <c r="JBE1590" s="528"/>
      <c r="JBF1590" s="528"/>
      <c r="JBG1590" s="528"/>
      <c r="JBH1590" s="528"/>
      <c r="JBI1590" s="527"/>
      <c r="JBJ1590" s="528"/>
      <c r="JBK1590" s="528"/>
      <c r="JBL1590" s="528"/>
      <c r="JBM1590" s="528"/>
      <c r="JBN1590" s="528"/>
      <c r="JBO1590" s="528"/>
      <c r="JBP1590" s="528"/>
      <c r="JBQ1590" s="528"/>
      <c r="JBR1590" s="528"/>
      <c r="JBS1590" s="528"/>
      <c r="JBT1590" s="527"/>
      <c r="JBU1590" s="528"/>
      <c r="JBV1590" s="528"/>
      <c r="JBW1590" s="528"/>
      <c r="JBX1590" s="528"/>
      <c r="JBY1590" s="528"/>
      <c r="JBZ1590" s="528"/>
      <c r="JCA1590" s="528"/>
      <c r="JCB1590" s="528"/>
      <c r="JCC1590" s="528"/>
      <c r="JCD1590" s="528"/>
      <c r="JCE1590" s="527"/>
      <c r="JCF1590" s="528"/>
      <c r="JCG1590" s="528"/>
      <c r="JCH1590" s="528"/>
      <c r="JCI1590" s="528"/>
      <c r="JCJ1590" s="528"/>
      <c r="JCK1590" s="528"/>
      <c r="JCL1590" s="528"/>
      <c r="JCM1590" s="528"/>
      <c r="JCN1590" s="528"/>
      <c r="JCO1590" s="528"/>
      <c r="JCP1590" s="527"/>
      <c r="JCQ1590" s="528"/>
      <c r="JCR1590" s="528"/>
      <c r="JCS1590" s="528"/>
      <c r="JCT1590" s="528"/>
      <c r="JCU1590" s="528"/>
      <c r="JCV1590" s="528"/>
      <c r="JCW1590" s="528"/>
      <c r="JCX1590" s="528"/>
      <c r="JCY1590" s="528"/>
      <c r="JCZ1590" s="528"/>
      <c r="JDA1590" s="527"/>
      <c r="JDB1590" s="528"/>
      <c r="JDC1590" s="528"/>
      <c r="JDD1590" s="528"/>
      <c r="JDE1590" s="528"/>
      <c r="JDF1590" s="528"/>
      <c r="JDG1590" s="528"/>
      <c r="JDH1590" s="528"/>
      <c r="JDI1590" s="528"/>
      <c r="JDJ1590" s="528"/>
      <c r="JDK1590" s="528"/>
      <c r="JDL1590" s="527"/>
      <c r="JDM1590" s="528"/>
      <c r="JDN1590" s="528"/>
      <c r="JDO1590" s="528"/>
      <c r="JDP1590" s="528"/>
      <c r="JDQ1590" s="528"/>
      <c r="JDR1590" s="528"/>
      <c r="JDS1590" s="528"/>
      <c r="JDT1590" s="528"/>
      <c r="JDU1590" s="528"/>
      <c r="JDV1590" s="528"/>
      <c r="JDW1590" s="527"/>
      <c r="JDX1590" s="528"/>
      <c r="JDY1590" s="528"/>
      <c r="JDZ1590" s="528"/>
      <c r="JEA1590" s="528"/>
      <c r="JEB1590" s="528"/>
      <c r="JEC1590" s="528"/>
      <c r="JED1590" s="528"/>
      <c r="JEE1590" s="528"/>
      <c r="JEF1590" s="528"/>
      <c r="JEG1590" s="528"/>
      <c r="JEH1590" s="527"/>
      <c r="JEI1590" s="528"/>
      <c r="JEJ1590" s="528"/>
      <c r="JEK1590" s="528"/>
      <c r="JEL1590" s="528"/>
      <c r="JEM1590" s="528"/>
      <c r="JEN1590" s="528"/>
      <c r="JEO1590" s="528"/>
      <c r="JEP1590" s="528"/>
      <c r="JEQ1590" s="528"/>
      <c r="JER1590" s="528"/>
      <c r="JES1590" s="527"/>
      <c r="JET1590" s="528"/>
      <c r="JEU1590" s="528"/>
      <c r="JEV1590" s="528"/>
      <c r="JEW1590" s="528"/>
      <c r="JEX1590" s="528"/>
      <c r="JEY1590" s="528"/>
      <c r="JEZ1590" s="528"/>
      <c r="JFA1590" s="528"/>
      <c r="JFB1590" s="528"/>
      <c r="JFC1590" s="528"/>
      <c r="JFD1590" s="527"/>
      <c r="JFE1590" s="528"/>
      <c r="JFF1590" s="528"/>
      <c r="JFG1590" s="528"/>
      <c r="JFH1590" s="528"/>
      <c r="JFI1590" s="528"/>
      <c r="JFJ1590" s="528"/>
      <c r="JFK1590" s="528"/>
      <c r="JFL1590" s="528"/>
      <c r="JFM1590" s="528"/>
      <c r="JFN1590" s="528"/>
      <c r="JFO1590" s="527"/>
      <c r="JFP1590" s="528"/>
      <c r="JFQ1590" s="528"/>
      <c r="JFR1590" s="528"/>
      <c r="JFS1590" s="528"/>
      <c r="JFT1590" s="528"/>
      <c r="JFU1590" s="528"/>
      <c r="JFV1590" s="528"/>
      <c r="JFW1590" s="528"/>
      <c r="JFX1590" s="528"/>
      <c r="JFY1590" s="528"/>
      <c r="JFZ1590" s="527"/>
      <c r="JGA1590" s="528"/>
      <c r="JGB1590" s="528"/>
      <c r="JGC1590" s="528"/>
      <c r="JGD1590" s="528"/>
      <c r="JGE1590" s="528"/>
      <c r="JGF1590" s="528"/>
      <c r="JGG1590" s="528"/>
      <c r="JGH1590" s="528"/>
      <c r="JGI1590" s="528"/>
      <c r="JGJ1590" s="528"/>
      <c r="JGK1590" s="527"/>
      <c r="JGL1590" s="528"/>
      <c r="JGM1590" s="528"/>
      <c r="JGN1590" s="528"/>
      <c r="JGO1590" s="528"/>
      <c r="JGP1590" s="528"/>
      <c r="JGQ1590" s="528"/>
      <c r="JGR1590" s="528"/>
      <c r="JGS1590" s="528"/>
      <c r="JGT1590" s="528"/>
      <c r="JGU1590" s="528"/>
      <c r="JGV1590" s="527"/>
      <c r="JGW1590" s="528"/>
      <c r="JGX1590" s="528"/>
      <c r="JGY1590" s="528"/>
      <c r="JGZ1590" s="528"/>
      <c r="JHA1590" s="528"/>
      <c r="JHB1590" s="528"/>
      <c r="JHC1590" s="528"/>
      <c r="JHD1590" s="528"/>
      <c r="JHE1590" s="528"/>
      <c r="JHF1590" s="528"/>
      <c r="JHG1590" s="527"/>
      <c r="JHH1590" s="528"/>
      <c r="JHI1590" s="528"/>
      <c r="JHJ1590" s="528"/>
      <c r="JHK1590" s="528"/>
      <c r="JHL1590" s="528"/>
      <c r="JHM1590" s="528"/>
      <c r="JHN1590" s="528"/>
      <c r="JHO1590" s="528"/>
      <c r="JHP1590" s="528"/>
      <c r="JHQ1590" s="528"/>
      <c r="JHR1590" s="527"/>
      <c r="JHS1590" s="528"/>
      <c r="JHT1590" s="528"/>
      <c r="JHU1590" s="528"/>
      <c r="JHV1590" s="528"/>
      <c r="JHW1590" s="528"/>
      <c r="JHX1590" s="528"/>
      <c r="JHY1590" s="528"/>
      <c r="JHZ1590" s="528"/>
      <c r="JIA1590" s="528"/>
      <c r="JIB1590" s="528"/>
      <c r="JIC1590" s="527"/>
      <c r="JID1590" s="528"/>
      <c r="JIE1590" s="528"/>
      <c r="JIF1590" s="528"/>
      <c r="JIG1590" s="528"/>
      <c r="JIH1590" s="528"/>
      <c r="JII1590" s="528"/>
      <c r="JIJ1590" s="528"/>
      <c r="JIK1590" s="528"/>
      <c r="JIL1590" s="528"/>
      <c r="JIM1590" s="528"/>
      <c r="JIN1590" s="527"/>
      <c r="JIO1590" s="528"/>
      <c r="JIP1590" s="528"/>
      <c r="JIQ1590" s="528"/>
      <c r="JIR1590" s="528"/>
      <c r="JIS1590" s="528"/>
      <c r="JIT1590" s="528"/>
      <c r="JIU1590" s="528"/>
      <c r="JIV1590" s="528"/>
      <c r="JIW1590" s="528"/>
      <c r="JIX1590" s="528"/>
      <c r="JIY1590" s="527"/>
      <c r="JIZ1590" s="528"/>
      <c r="JJA1590" s="528"/>
      <c r="JJB1590" s="528"/>
      <c r="JJC1590" s="528"/>
      <c r="JJD1590" s="528"/>
      <c r="JJE1590" s="528"/>
      <c r="JJF1590" s="528"/>
      <c r="JJG1590" s="528"/>
      <c r="JJH1590" s="528"/>
      <c r="JJI1590" s="528"/>
      <c r="JJJ1590" s="527"/>
      <c r="JJK1590" s="528"/>
      <c r="JJL1590" s="528"/>
      <c r="JJM1590" s="528"/>
      <c r="JJN1590" s="528"/>
      <c r="JJO1590" s="528"/>
      <c r="JJP1590" s="528"/>
      <c r="JJQ1590" s="528"/>
      <c r="JJR1590" s="528"/>
      <c r="JJS1590" s="528"/>
      <c r="JJT1590" s="528"/>
      <c r="JJU1590" s="527"/>
      <c r="JJV1590" s="528"/>
      <c r="JJW1590" s="528"/>
      <c r="JJX1590" s="528"/>
      <c r="JJY1590" s="528"/>
      <c r="JJZ1590" s="528"/>
      <c r="JKA1590" s="528"/>
      <c r="JKB1590" s="528"/>
      <c r="JKC1590" s="528"/>
      <c r="JKD1590" s="528"/>
      <c r="JKE1590" s="528"/>
      <c r="JKF1590" s="527"/>
      <c r="JKG1590" s="528"/>
      <c r="JKH1590" s="528"/>
      <c r="JKI1590" s="528"/>
      <c r="JKJ1590" s="528"/>
      <c r="JKK1590" s="528"/>
      <c r="JKL1590" s="528"/>
      <c r="JKM1590" s="528"/>
      <c r="JKN1590" s="528"/>
      <c r="JKO1590" s="528"/>
      <c r="JKP1590" s="528"/>
      <c r="JKQ1590" s="527"/>
      <c r="JKR1590" s="528"/>
      <c r="JKS1590" s="528"/>
      <c r="JKT1590" s="528"/>
      <c r="JKU1590" s="528"/>
      <c r="JKV1590" s="528"/>
      <c r="JKW1590" s="528"/>
      <c r="JKX1590" s="528"/>
      <c r="JKY1590" s="528"/>
      <c r="JKZ1590" s="528"/>
      <c r="JLA1590" s="528"/>
      <c r="JLB1590" s="527"/>
      <c r="JLC1590" s="528"/>
      <c r="JLD1590" s="528"/>
      <c r="JLE1590" s="528"/>
      <c r="JLF1590" s="528"/>
      <c r="JLG1590" s="528"/>
      <c r="JLH1590" s="528"/>
      <c r="JLI1590" s="528"/>
      <c r="JLJ1590" s="528"/>
      <c r="JLK1590" s="528"/>
      <c r="JLL1590" s="528"/>
      <c r="JLM1590" s="527"/>
      <c r="JLN1590" s="528"/>
      <c r="JLO1590" s="528"/>
      <c r="JLP1590" s="528"/>
      <c r="JLQ1590" s="528"/>
      <c r="JLR1590" s="528"/>
      <c r="JLS1590" s="528"/>
      <c r="JLT1590" s="528"/>
      <c r="JLU1590" s="528"/>
      <c r="JLV1590" s="528"/>
      <c r="JLW1590" s="528"/>
      <c r="JLX1590" s="527"/>
      <c r="JLY1590" s="528"/>
      <c r="JLZ1590" s="528"/>
      <c r="JMA1590" s="528"/>
      <c r="JMB1590" s="528"/>
      <c r="JMC1590" s="528"/>
      <c r="JMD1590" s="528"/>
      <c r="JME1590" s="528"/>
      <c r="JMF1590" s="528"/>
      <c r="JMG1590" s="528"/>
      <c r="JMH1590" s="528"/>
      <c r="JMI1590" s="527"/>
      <c r="JMJ1590" s="528"/>
      <c r="JMK1590" s="528"/>
      <c r="JML1590" s="528"/>
      <c r="JMM1590" s="528"/>
      <c r="JMN1590" s="528"/>
      <c r="JMO1590" s="528"/>
      <c r="JMP1590" s="528"/>
      <c r="JMQ1590" s="528"/>
      <c r="JMR1590" s="528"/>
      <c r="JMS1590" s="528"/>
      <c r="JMT1590" s="527"/>
      <c r="JMU1590" s="528"/>
      <c r="JMV1590" s="528"/>
      <c r="JMW1590" s="528"/>
      <c r="JMX1590" s="528"/>
      <c r="JMY1590" s="528"/>
      <c r="JMZ1590" s="528"/>
      <c r="JNA1590" s="528"/>
      <c r="JNB1590" s="528"/>
      <c r="JNC1590" s="528"/>
      <c r="JND1590" s="528"/>
      <c r="JNE1590" s="527"/>
      <c r="JNF1590" s="528"/>
      <c r="JNG1590" s="528"/>
      <c r="JNH1590" s="528"/>
      <c r="JNI1590" s="528"/>
      <c r="JNJ1590" s="528"/>
      <c r="JNK1590" s="528"/>
      <c r="JNL1590" s="528"/>
      <c r="JNM1590" s="528"/>
      <c r="JNN1590" s="528"/>
      <c r="JNO1590" s="528"/>
      <c r="JNP1590" s="527"/>
      <c r="JNQ1590" s="528"/>
      <c r="JNR1590" s="528"/>
      <c r="JNS1590" s="528"/>
      <c r="JNT1590" s="528"/>
      <c r="JNU1590" s="528"/>
      <c r="JNV1590" s="528"/>
      <c r="JNW1590" s="528"/>
      <c r="JNX1590" s="528"/>
      <c r="JNY1590" s="528"/>
      <c r="JNZ1590" s="528"/>
      <c r="JOA1590" s="527"/>
      <c r="JOB1590" s="528"/>
      <c r="JOC1590" s="528"/>
      <c r="JOD1590" s="528"/>
      <c r="JOE1590" s="528"/>
      <c r="JOF1590" s="528"/>
      <c r="JOG1590" s="528"/>
      <c r="JOH1590" s="528"/>
      <c r="JOI1590" s="528"/>
      <c r="JOJ1590" s="528"/>
      <c r="JOK1590" s="528"/>
      <c r="JOL1590" s="527"/>
      <c r="JOM1590" s="528"/>
      <c r="JON1590" s="528"/>
      <c r="JOO1590" s="528"/>
      <c r="JOP1590" s="528"/>
      <c r="JOQ1590" s="528"/>
      <c r="JOR1590" s="528"/>
      <c r="JOS1590" s="528"/>
      <c r="JOT1590" s="528"/>
      <c r="JOU1590" s="528"/>
      <c r="JOV1590" s="528"/>
      <c r="JOW1590" s="527"/>
      <c r="JOX1590" s="528"/>
      <c r="JOY1590" s="528"/>
      <c r="JOZ1590" s="528"/>
      <c r="JPA1590" s="528"/>
      <c r="JPB1590" s="528"/>
      <c r="JPC1590" s="528"/>
      <c r="JPD1590" s="528"/>
      <c r="JPE1590" s="528"/>
      <c r="JPF1590" s="528"/>
      <c r="JPG1590" s="528"/>
      <c r="JPH1590" s="527"/>
      <c r="JPI1590" s="528"/>
      <c r="JPJ1590" s="528"/>
      <c r="JPK1590" s="528"/>
      <c r="JPL1590" s="528"/>
      <c r="JPM1590" s="528"/>
      <c r="JPN1590" s="528"/>
      <c r="JPO1590" s="528"/>
      <c r="JPP1590" s="528"/>
      <c r="JPQ1590" s="528"/>
      <c r="JPR1590" s="528"/>
      <c r="JPS1590" s="527"/>
      <c r="JPT1590" s="528"/>
      <c r="JPU1590" s="528"/>
      <c r="JPV1590" s="528"/>
      <c r="JPW1590" s="528"/>
      <c r="JPX1590" s="528"/>
      <c r="JPY1590" s="528"/>
      <c r="JPZ1590" s="528"/>
      <c r="JQA1590" s="528"/>
      <c r="JQB1590" s="528"/>
      <c r="JQC1590" s="528"/>
      <c r="JQD1590" s="527"/>
      <c r="JQE1590" s="528"/>
      <c r="JQF1590" s="528"/>
      <c r="JQG1590" s="528"/>
      <c r="JQH1590" s="528"/>
      <c r="JQI1590" s="528"/>
      <c r="JQJ1590" s="528"/>
      <c r="JQK1590" s="528"/>
      <c r="JQL1590" s="528"/>
      <c r="JQM1590" s="528"/>
      <c r="JQN1590" s="528"/>
      <c r="JQO1590" s="527"/>
      <c r="JQP1590" s="528"/>
      <c r="JQQ1590" s="528"/>
      <c r="JQR1590" s="528"/>
      <c r="JQS1590" s="528"/>
      <c r="JQT1590" s="528"/>
      <c r="JQU1590" s="528"/>
      <c r="JQV1590" s="528"/>
      <c r="JQW1590" s="528"/>
      <c r="JQX1590" s="528"/>
      <c r="JQY1590" s="528"/>
      <c r="JQZ1590" s="527"/>
      <c r="JRA1590" s="528"/>
      <c r="JRB1590" s="528"/>
      <c r="JRC1590" s="528"/>
      <c r="JRD1590" s="528"/>
      <c r="JRE1590" s="528"/>
      <c r="JRF1590" s="528"/>
      <c r="JRG1590" s="528"/>
      <c r="JRH1590" s="528"/>
      <c r="JRI1590" s="528"/>
      <c r="JRJ1590" s="528"/>
      <c r="JRK1590" s="527"/>
      <c r="JRL1590" s="528"/>
      <c r="JRM1590" s="528"/>
      <c r="JRN1590" s="528"/>
      <c r="JRO1590" s="528"/>
      <c r="JRP1590" s="528"/>
      <c r="JRQ1590" s="528"/>
      <c r="JRR1590" s="528"/>
      <c r="JRS1590" s="528"/>
      <c r="JRT1590" s="528"/>
      <c r="JRU1590" s="528"/>
      <c r="JRV1590" s="527"/>
      <c r="JRW1590" s="528"/>
      <c r="JRX1590" s="528"/>
      <c r="JRY1590" s="528"/>
      <c r="JRZ1590" s="528"/>
      <c r="JSA1590" s="528"/>
      <c r="JSB1590" s="528"/>
      <c r="JSC1590" s="528"/>
      <c r="JSD1590" s="528"/>
      <c r="JSE1590" s="528"/>
      <c r="JSF1590" s="528"/>
      <c r="JSG1590" s="527"/>
      <c r="JSH1590" s="528"/>
      <c r="JSI1590" s="528"/>
      <c r="JSJ1590" s="528"/>
      <c r="JSK1590" s="528"/>
      <c r="JSL1590" s="528"/>
      <c r="JSM1590" s="528"/>
      <c r="JSN1590" s="528"/>
      <c r="JSO1590" s="528"/>
      <c r="JSP1590" s="528"/>
      <c r="JSQ1590" s="528"/>
      <c r="JSR1590" s="527"/>
      <c r="JSS1590" s="528"/>
      <c r="JST1590" s="528"/>
      <c r="JSU1590" s="528"/>
      <c r="JSV1590" s="528"/>
      <c r="JSW1590" s="528"/>
      <c r="JSX1590" s="528"/>
      <c r="JSY1590" s="528"/>
      <c r="JSZ1590" s="528"/>
      <c r="JTA1590" s="528"/>
      <c r="JTB1590" s="528"/>
      <c r="JTC1590" s="527"/>
      <c r="JTD1590" s="528"/>
      <c r="JTE1590" s="528"/>
      <c r="JTF1590" s="528"/>
      <c r="JTG1590" s="528"/>
      <c r="JTH1590" s="528"/>
      <c r="JTI1590" s="528"/>
      <c r="JTJ1590" s="528"/>
      <c r="JTK1590" s="528"/>
      <c r="JTL1590" s="528"/>
      <c r="JTM1590" s="528"/>
      <c r="JTN1590" s="527"/>
      <c r="JTO1590" s="528"/>
      <c r="JTP1590" s="528"/>
      <c r="JTQ1590" s="528"/>
      <c r="JTR1590" s="528"/>
      <c r="JTS1590" s="528"/>
      <c r="JTT1590" s="528"/>
      <c r="JTU1590" s="528"/>
      <c r="JTV1590" s="528"/>
      <c r="JTW1590" s="528"/>
      <c r="JTX1590" s="528"/>
      <c r="JTY1590" s="527"/>
      <c r="JTZ1590" s="528"/>
      <c r="JUA1590" s="528"/>
      <c r="JUB1590" s="528"/>
      <c r="JUC1590" s="528"/>
      <c r="JUD1590" s="528"/>
      <c r="JUE1590" s="528"/>
      <c r="JUF1590" s="528"/>
      <c r="JUG1590" s="528"/>
      <c r="JUH1590" s="528"/>
      <c r="JUI1590" s="528"/>
      <c r="JUJ1590" s="527"/>
      <c r="JUK1590" s="528"/>
      <c r="JUL1590" s="528"/>
      <c r="JUM1590" s="528"/>
      <c r="JUN1590" s="528"/>
      <c r="JUO1590" s="528"/>
      <c r="JUP1590" s="528"/>
      <c r="JUQ1590" s="528"/>
      <c r="JUR1590" s="528"/>
      <c r="JUS1590" s="528"/>
      <c r="JUT1590" s="528"/>
      <c r="JUU1590" s="527"/>
      <c r="JUV1590" s="528"/>
      <c r="JUW1590" s="528"/>
      <c r="JUX1590" s="528"/>
      <c r="JUY1590" s="528"/>
      <c r="JUZ1590" s="528"/>
      <c r="JVA1590" s="528"/>
      <c r="JVB1590" s="528"/>
      <c r="JVC1590" s="528"/>
      <c r="JVD1590" s="528"/>
      <c r="JVE1590" s="528"/>
      <c r="JVF1590" s="527"/>
      <c r="JVG1590" s="528"/>
      <c r="JVH1590" s="528"/>
      <c r="JVI1590" s="528"/>
      <c r="JVJ1590" s="528"/>
      <c r="JVK1590" s="528"/>
      <c r="JVL1590" s="528"/>
      <c r="JVM1590" s="528"/>
      <c r="JVN1590" s="528"/>
      <c r="JVO1590" s="528"/>
      <c r="JVP1590" s="528"/>
      <c r="JVQ1590" s="527"/>
      <c r="JVR1590" s="528"/>
      <c r="JVS1590" s="528"/>
      <c r="JVT1590" s="528"/>
      <c r="JVU1590" s="528"/>
      <c r="JVV1590" s="528"/>
      <c r="JVW1590" s="528"/>
      <c r="JVX1590" s="528"/>
      <c r="JVY1590" s="528"/>
      <c r="JVZ1590" s="528"/>
      <c r="JWA1590" s="528"/>
      <c r="JWB1590" s="527"/>
      <c r="JWC1590" s="528"/>
      <c r="JWD1590" s="528"/>
      <c r="JWE1590" s="528"/>
      <c r="JWF1590" s="528"/>
      <c r="JWG1590" s="528"/>
      <c r="JWH1590" s="528"/>
      <c r="JWI1590" s="528"/>
      <c r="JWJ1590" s="528"/>
      <c r="JWK1590" s="528"/>
      <c r="JWL1590" s="528"/>
      <c r="JWM1590" s="527"/>
      <c r="JWN1590" s="528"/>
      <c r="JWO1590" s="528"/>
      <c r="JWP1590" s="528"/>
      <c r="JWQ1590" s="528"/>
      <c r="JWR1590" s="528"/>
      <c r="JWS1590" s="528"/>
      <c r="JWT1590" s="528"/>
      <c r="JWU1590" s="528"/>
      <c r="JWV1590" s="528"/>
      <c r="JWW1590" s="528"/>
      <c r="JWX1590" s="527"/>
      <c r="JWY1590" s="528"/>
      <c r="JWZ1590" s="528"/>
      <c r="JXA1590" s="528"/>
      <c r="JXB1590" s="528"/>
      <c r="JXC1590" s="528"/>
      <c r="JXD1590" s="528"/>
      <c r="JXE1590" s="528"/>
      <c r="JXF1590" s="528"/>
      <c r="JXG1590" s="528"/>
      <c r="JXH1590" s="528"/>
      <c r="JXI1590" s="527"/>
      <c r="JXJ1590" s="528"/>
      <c r="JXK1590" s="528"/>
      <c r="JXL1590" s="528"/>
      <c r="JXM1590" s="528"/>
      <c r="JXN1590" s="528"/>
      <c r="JXO1590" s="528"/>
      <c r="JXP1590" s="528"/>
      <c r="JXQ1590" s="528"/>
      <c r="JXR1590" s="528"/>
      <c r="JXS1590" s="528"/>
      <c r="JXT1590" s="527"/>
      <c r="JXU1590" s="528"/>
      <c r="JXV1590" s="528"/>
      <c r="JXW1590" s="528"/>
      <c r="JXX1590" s="528"/>
      <c r="JXY1590" s="528"/>
      <c r="JXZ1590" s="528"/>
      <c r="JYA1590" s="528"/>
      <c r="JYB1590" s="528"/>
      <c r="JYC1590" s="528"/>
      <c r="JYD1590" s="528"/>
      <c r="JYE1590" s="527"/>
      <c r="JYF1590" s="528"/>
      <c r="JYG1590" s="528"/>
      <c r="JYH1590" s="528"/>
      <c r="JYI1590" s="528"/>
      <c r="JYJ1590" s="528"/>
      <c r="JYK1590" s="528"/>
      <c r="JYL1590" s="528"/>
      <c r="JYM1590" s="528"/>
      <c r="JYN1590" s="528"/>
      <c r="JYO1590" s="528"/>
      <c r="JYP1590" s="527"/>
      <c r="JYQ1590" s="528"/>
      <c r="JYR1590" s="528"/>
      <c r="JYS1590" s="528"/>
      <c r="JYT1590" s="528"/>
      <c r="JYU1590" s="528"/>
      <c r="JYV1590" s="528"/>
      <c r="JYW1590" s="528"/>
      <c r="JYX1590" s="528"/>
      <c r="JYY1590" s="528"/>
      <c r="JYZ1590" s="528"/>
      <c r="JZA1590" s="527"/>
      <c r="JZB1590" s="528"/>
      <c r="JZC1590" s="528"/>
      <c r="JZD1590" s="528"/>
      <c r="JZE1590" s="528"/>
      <c r="JZF1590" s="528"/>
      <c r="JZG1590" s="528"/>
      <c r="JZH1590" s="528"/>
      <c r="JZI1590" s="528"/>
      <c r="JZJ1590" s="528"/>
      <c r="JZK1590" s="528"/>
      <c r="JZL1590" s="527"/>
      <c r="JZM1590" s="528"/>
      <c r="JZN1590" s="528"/>
      <c r="JZO1590" s="528"/>
      <c r="JZP1590" s="528"/>
      <c r="JZQ1590" s="528"/>
      <c r="JZR1590" s="528"/>
      <c r="JZS1590" s="528"/>
      <c r="JZT1590" s="528"/>
      <c r="JZU1590" s="528"/>
      <c r="JZV1590" s="528"/>
      <c r="JZW1590" s="527"/>
      <c r="JZX1590" s="528"/>
      <c r="JZY1590" s="528"/>
      <c r="JZZ1590" s="528"/>
      <c r="KAA1590" s="528"/>
      <c r="KAB1590" s="528"/>
      <c r="KAC1590" s="528"/>
      <c r="KAD1590" s="528"/>
      <c r="KAE1590" s="528"/>
      <c r="KAF1590" s="528"/>
      <c r="KAG1590" s="528"/>
      <c r="KAH1590" s="527"/>
      <c r="KAI1590" s="528"/>
      <c r="KAJ1590" s="528"/>
      <c r="KAK1590" s="528"/>
      <c r="KAL1590" s="528"/>
      <c r="KAM1590" s="528"/>
      <c r="KAN1590" s="528"/>
      <c r="KAO1590" s="528"/>
      <c r="KAP1590" s="528"/>
      <c r="KAQ1590" s="528"/>
      <c r="KAR1590" s="528"/>
      <c r="KAS1590" s="527"/>
      <c r="KAT1590" s="528"/>
      <c r="KAU1590" s="528"/>
      <c r="KAV1590" s="528"/>
      <c r="KAW1590" s="528"/>
      <c r="KAX1590" s="528"/>
      <c r="KAY1590" s="528"/>
      <c r="KAZ1590" s="528"/>
      <c r="KBA1590" s="528"/>
      <c r="KBB1590" s="528"/>
      <c r="KBC1590" s="528"/>
      <c r="KBD1590" s="527"/>
      <c r="KBE1590" s="528"/>
      <c r="KBF1590" s="528"/>
      <c r="KBG1590" s="528"/>
      <c r="KBH1590" s="528"/>
      <c r="KBI1590" s="528"/>
      <c r="KBJ1590" s="528"/>
      <c r="KBK1590" s="528"/>
      <c r="KBL1590" s="528"/>
      <c r="KBM1590" s="528"/>
      <c r="KBN1590" s="528"/>
      <c r="KBO1590" s="527"/>
      <c r="KBP1590" s="528"/>
      <c r="KBQ1590" s="528"/>
      <c r="KBR1590" s="528"/>
      <c r="KBS1590" s="528"/>
      <c r="KBT1590" s="528"/>
      <c r="KBU1590" s="528"/>
      <c r="KBV1590" s="528"/>
      <c r="KBW1590" s="528"/>
      <c r="KBX1590" s="528"/>
      <c r="KBY1590" s="528"/>
      <c r="KBZ1590" s="527"/>
      <c r="KCA1590" s="528"/>
      <c r="KCB1590" s="528"/>
      <c r="KCC1590" s="528"/>
      <c r="KCD1590" s="528"/>
      <c r="KCE1590" s="528"/>
      <c r="KCF1590" s="528"/>
      <c r="KCG1590" s="528"/>
      <c r="KCH1590" s="528"/>
      <c r="KCI1590" s="528"/>
      <c r="KCJ1590" s="528"/>
      <c r="KCK1590" s="527"/>
      <c r="KCL1590" s="528"/>
      <c r="KCM1590" s="528"/>
      <c r="KCN1590" s="528"/>
      <c r="KCO1590" s="528"/>
      <c r="KCP1590" s="528"/>
      <c r="KCQ1590" s="528"/>
      <c r="KCR1590" s="528"/>
      <c r="KCS1590" s="528"/>
      <c r="KCT1590" s="528"/>
      <c r="KCU1590" s="528"/>
      <c r="KCV1590" s="527"/>
      <c r="KCW1590" s="528"/>
      <c r="KCX1590" s="528"/>
      <c r="KCY1590" s="528"/>
      <c r="KCZ1590" s="528"/>
      <c r="KDA1590" s="528"/>
      <c r="KDB1590" s="528"/>
      <c r="KDC1590" s="528"/>
      <c r="KDD1590" s="528"/>
      <c r="KDE1590" s="528"/>
      <c r="KDF1590" s="528"/>
      <c r="KDG1590" s="527"/>
      <c r="KDH1590" s="528"/>
      <c r="KDI1590" s="528"/>
      <c r="KDJ1590" s="528"/>
      <c r="KDK1590" s="528"/>
      <c r="KDL1590" s="528"/>
      <c r="KDM1590" s="528"/>
      <c r="KDN1590" s="528"/>
      <c r="KDO1590" s="528"/>
      <c r="KDP1590" s="528"/>
      <c r="KDQ1590" s="528"/>
      <c r="KDR1590" s="527"/>
      <c r="KDS1590" s="528"/>
      <c r="KDT1590" s="528"/>
      <c r="KDU1590" s="528"/>
      <c r="KDV1590" s="528"/>
      <c r="KDW1590" s="528"/>
      <c r="KDX1590" s="528"/>
      <c r="KDY1590" s="528"/>
      <c r="KDZ1590" s="528"/>
      <c r="KEA1590" s="528"/>
      <c r="KEB1590" s="528"/>
      <c r="KEC1590" s="527"/>
      <c r="KED1590" s="528"/>
      <c r="KEE1590" s="528"/>
      <c r="KEF1590" s="528"/>
      <c r="KEG1590" s="528"/>
      <c r="KEH1590" s="528"/>
      <c r="KEI1590" s="528"/>
      <c r="KEJ1590" s="528"/>
      <c r="KEK1590" s="528"/>
      <c r="KEL1590" s="528"/>
      <c r="KEM1590" s="528"/>
      <c r="KEN1590" s="527"/>
      <c r="KEO1590" s="528"/>
      <c r="KEP1590" s="528"/>
      <c r="KEQ1590" s="528"/>
      <c r="KER1590" s="528"/>
      <c r="KES1590" s="528"/>
      <c r="KET1590" s="528"/>
      <c r="KEU1590" s="528"/>
      <c r="KEV1590" s="528"/>
      <c r="KEW1590" s="528"/>
      <c r="KEX1590" s="528"/>
      <c r="KEY1590" s="527"/>
      <c r="KEZ1590" s="528"/>
      <c r="KFA1590" s="528"/>
      <c r="KFB1590" s="528"/>
      <c r="KFC1590" s="528"/>
      <c r="KFD1590" s="528"/>
      <c r="KFE1590" s="528"/>
      <c r="KFF1590" s="528"/>
      <c r="KFG1590" s="528"/>
      <c r="KFH1590" s="528"/>
      <c r="KFI1590" s="528"/>
      <c r="KFJ1590" s="527"/>
      <c r="KFK1590" s="528"/>
      <c r="KFL1590" s="528"/>
      <c r="KFM1590" s="528"/>
      <c r="KFN1590" s="528"/>
      <c r="KFO1590" s="528"/>
      <c r="KFP1590" s="528"/>
      <c r="KFQ1590" s="528"/>
      <c r="KFR1590" s="528"/>
      <c r="KFS1590" s="528"/>
      <c r="KFT1590" s="528"/>
      <c r="KFU1590" s="527"/>
      <c r="KFV1590" s="528"/>
      <c r="KFW1590" s="528"/>
      <c r="KFX1590" s="528"/>
      <c r="KFY1590" s="528"/>
      <c r="KFZ1590" s="528"/>
      <c r="KGA1590" s="528"/>
      <c r="KGB1590" s="528"/>
      <c r="KGC1590" s="528"/>
      <c r="KGD1590" s="528"/>
      <c r="KGE1590" s="528"/>
      <c r="KGF1590" s="527"/>
      <c r="KGG1590" s="528"/>
      <c r="KGH1590" s="528"/>
      <c r="KGI1590" s="528"/>
      <c r="KGJ1590" s="528"/>
      <c r="KGK1590" s="528"/>
      <c r="KGL1590" s="528"/>
      <c r="KGM1590" s="528"/>
      <c r="KGN1590" s="528"/>
      <c r="KGO1590" s="528"/>
      <c r="KGP1590" s="528"/>
      <c r="KGQ1590" s="527"/>
      <c r="KGR1590" s="528"/>
      <c r="KGS1590" s="528"/>
      <c r="KGT1590" s="528"/>
      <c r="KGU1590" s="528"/>
      <c r="KGV1590" s="528"/>
      <c r="KGW1590" s="528"/>
      <c r="KGX1590" s="528"/>
      <c r="KGY1590" s="528"/>
      <c r="KGZ1590" s="528"/>
      <c r="KHA1590" s="528"/>
      <c r="KHB1590" s="527"/>
      <c r="KHC1590" s="528"/>
      <c r="KHD1590" s="528"/>
      <c r="KHE1590" s="528"/>
      <c r="KHF1590" s="528"/>
      <c r="KHG1590" s="528"/>
      <c r="KHH1590" s="528"/>
      <c r="KHI1590" s="528"/>
      <c r="KHJ1590" s="528"/>
      <c r="KHK1590" s="528"/>
      <c r="KHL1590" s="528"/>
      <c r="KHM1590" s="527"/>
      <c r="KHN1590" s="528"/>
      <c r="KHO1590" s="528"/>
      <c r="KHP1590" s="528"/>
      <c r="KHQ1590" s="528"/>
      <c r="KHR1590" s="528"/>
      <c r="KHS1590" s="528"/>
      <c r="KHT1590" s="528"/>
      <c r="KHU1590" s="528"/>
      <c r="KHV1590" s="528"/>
      <c r="KHW1590" s="528"/>
      <c r="KHX1590" s="527"/>
      <c r="KHY1590" s="528"/>
      <c r="KHZ1590" s="528"/>
      <c r="KIA1590" s="528"/>
      <c r="KIB1590" s="528"/>
      <c r="KIC1590" s="528"/>
      <c r="KID1590" s="528"/>
      <c r="KIE1590" s="528"/>
      <c r="KIF1590" s="528"/>
      <c r="KIG1590" s="528"/>
      <c r="KIH1590" s="528"/>
      <c r="KII1590" s="527"/>
      <c r="KIJ1590" s="528"/>
      <c r="KIK1590" s="528"/>
      <c r="KIL1590" s="528"/>
      <c r="KIM1590" s="528"/>
      <c r="KIN1590" s="528"/>
      <c r="KIO1590" s="528"/>
      <c r="KIP1590" s="528"/>
      <c r="KIQ1590" s="528"/>
      <c r="KIR1590" s="528"/>
      <c r="KIS1590" s="528"/>
      <c r="KIT1590" s="527"/>
      <c r="KIU1590" s="528"/>
      <c r="KIV1590" s="528"/>
      <c r="KIW1590" s="528"/>
      <c r="KIX1590" s="528"/>
      <c r="KIY1590" s="528"/>
      <c r="KIZ1590" s="528"/>
      <c r="KJA1590" s="528"/>
      <c r="KJB1590" s="528"/>
      <c r="KJC1590" s="528"/>
      <c r="KJD1590" s="528"/>
      <c r="KJE1590" s="527"/>
      <c r="KJF1590" s="528"/>
      <c r="KJG1590" s="528"/>
      <c r="KJH1590" s="528"/>
      <c r="KJI1590" s="528"/>
      <c r="KJJ1590" s="528"/>
      <c r="KJK1590" s="528"/>
      <c r="KJL1590" s="528"/>
      <c r="KJM1590" s="528"/>
      <c r="KJN1590" s="528"/>
      <c r="KJO1590" s="528"/>
      <c r="KJP1590" s="527"/>
      <c r="KJQ1590" s="528"/>
      <c r="KJR1590" s="528"/>
      <c r="KJS1590" s="528"/>
      <c r="KJT1590" s="528"/>
      <c r="KJU1590" s="528"/>
      <c r="KJV1590" s="528"/>
      <c r="KJW1590" s="528"/>
      <c r="KJX1590" s="528"/>
      <c r="KJY1590" s="528"/>
      <c r="KJZ1590" s="528"/>
      <c r="KKA1590" s="527"/>
      <c r="KKB1590" s="528"/>
      <c r="KKC1590" s="528"/>
      <c r="KKD1590" s="528"/>
      <c r="KKE1590" s="528"/>
      <c r="KKF1590" s="528"/>
      <c r="KKG1590" s="528"/>
      <c r="KKH1590" s="528"/>
      <c r="KKI1590" s="528"/>
      <c r="KKJ1590" s="528"/>
      <c r="KKK1590" s="528"/>
      <c r="KKL1590" s="527"/>
      <c r="KKM1590" s="528"/>
      <c r="KKN1590" s="528"/>
      <c r="KKO1590" s="528"/>
      <c r="KKP1590" s="528"/>
      <c r="KKQ1590" s="528"/>
      <c r="KKR1590" s="528"/>
      <c r="KKS1590" s="528"/>
      <c r="KKT1590" s="528"/>
      <c r="KKU1590" s="528"/>
      <c r="KKV1590" s="528"/>
      <c r="KKW1590" s="527"/>
      <c r="KKX1590" s="528"/>
      <c r="KKY1590" s="528"/>
      <c r="KKZ1590" s="528"/>
      <c r="KLA1590" s="528"/>
      <c r="KLB1590" s="528"/>
      <c r="KLC1590" s="528"/>
      <c r="KLD1590" s="528"/>
      <c r="KLE1590" s="528"/>
      <c r="KLF1590" s="528"/>
      <c r="KLG1590" s="528"/>
      <c r="KLH1590" s="527"/>
      <c r="KLI1590" s="528"/>
      <c r="KLJ1590" s="528"/>
      <c r="KLK1590" s="528"/>
      <c r="KLL1590" s="528"/>
      <c r="KLM1590" s="528"/>
      <c r="KLN1590" s="528"/>
      <c r="KLO1590" s="528"/>
      <c r="KLP1590" s="528"/>
      <c r="KLQ1590" s="528"/>
      <c r="KLR1590" s="528"/>
      <c r="KLS1590" s="527"/>
      <c r="KLT1590" s="528"/>
      <c r="KLU1590" s="528"/>
      <c r="KLV1590" s="528"/>
      <c r="KLW1590" s="528"/>
      <c r="KLX1590" s="528"/>
      <c r="KLY1590" s="528"/>
      <c r="KLZ1590" s="528"/>
      <c r="KMA1590" s="528"/>
      <c r="KMB1590" s="528"/>
      <c r="KMC1590" s="528"/>
      <c r="KMD1590" s="527"/>
      <c r="KME1590" s="528"/>
      <c r="KMF1590" s="528"/>
      <c r="KMG1590" s="528"/>
      <c r="KMH1590" s="528"/>
      <c r="KMI1590" s="528"/>
      <c r="KMJ1590" s="528"/>
      <c r="KMK1590" s="528"/>
      <c r="KML1590" s="528"/>
      <c r="KMM1590" s="528"/>
      <c r="KMN1590" s="528"/>
      <c r="KMO1590" s="527"/>
      <c r="KMP1590" s="528"/>
      <c r="KMQ1590" s="528"/>
      <c r="KMR1590" s="528"/>
      <c r="KMS1590" s="528"/>
      <c r="KMT1590" s="528"/>
      <c r="KMU1590" s="528"/>
      <c r="KMV1590" s="528"/>
      <c r="KMW1590" s="528"/>
      <c r="KMX1590" s="528"/>
      <c r="KMY1590" s="528"/>
      <c r="KMZ1590" s="527"/>
      <c r="KNA1590" s="528"/>
      <c r="KNB1590" s="528"/>
      <c r="KNC1590" s="528"/>
      <c r="KND1590" s="528"/>
      <c r="KNE1590" s="528"/>
      <c r="KNF1590" s="528"/>
      <c r="KNG1590" s="528"/>
      <c r="KNH1590" s="528"/>
      <c r="KNI1590" s="528"/>
      <c r="KNJ1590" s="528"/>
      <c r="KNK1590" s="527"/>
      <c r="KNL1590" s="528"/>
      <c r="KNM1590" s="528"/>
      <c r="KNN1590" s="528"/>
      <c r="KNO1590" s="528"/>
      <c r="KNP1590" s="528"/>
      <c r="KNQ1590" s="528"/>
      <c r="KNR1590" s="528"/>
      <c r="KNS1590" s="528"/>
      <c r="KNT1590" s="528"/>
      <c r="KNU1590" s="528"/>
      <c r="KNV1590" s="527"/>
      <c r="KNW1590" s="528"/>
      <c r="KNX1590" s="528"/>
      <c r="KNY1590" s="528"/>
      <c r="KNZ1590" s="528"/>
      <c r="KOA1590" s="528"/>
      <c r="KOB1590" s="528"/>
      <c r="KOC1590" s="528"/>
      <c r="KOD1590" s="528"/>
      <c r="KOE1590" s="528"/>
      <c r="KOF1590" s="528"/>
      <c r="KOG1590" s="527"/>
      <c r="KOH1590" s="528"/>
      <c r="KOI1590" s="528"/>
      <c r="KOJ1590" s="528"/>
      <c r="KOK1590" s="528"/>
      <c r="KOL1590" s="528"/>
      <c r="KOM1590" s="528"/>
      <c r="KON1590" s="528"/>
      <c r="KOO1590" s="528"/>
      <c r="KOP1590" s="528"/>
      <c r="KOQ1590" s="528"/>
      <c r="KOR1590" s="527"/>
      <c r="KOS1590" s="528"/>
      <c r="KOT1590" s="528"/>
      <c r="KOU1590" s="528"/>
      <c r="KOV1590" s="528"/>
      <c r="KOW1590" s="528"/>
      <c r="KOX1590" s="528"/>
      <c r="KOY1590" s="528"/>
      <c r="KOZ1590" s="528"/>
      <c r="KPA1590" s="528"/>
      <c r="KPB1590" s="528"/>
      <c r="KPC1590" s="527"/>
      <c r="KPD1590" s="528"/>
      <c r="KPE1590" s="528"/>
      <c r="KPF1590" s="528"/>
      <c r="KPG1590" s="528"/>
      <c r="KPH1590" s="528"/>
      <c r="KPI1590" s="528"/>
      <c r="KPJ1590" s="528"/>
      <c r="KPK1590" s="528"/>
      <c r="KPL1590" s="528"/>
      <c r="KPM1590" s="528"/>
      <c r="KPN1590" s="527"/>
      <c r="KPO1590" s="528"/>
      <c r="KPP1590" s="528"/>
      <c r="KPQ1590" s="528"/>
      <c r="KPR1590" s="528"/>
      <c r="KPS1590" s="528"/>
      <c r="KPT1590" s="528"/>
      <c r="KPU1590" s="528"/>
      <c r="KPV1590" s="528"/>
      <c r="KPW1590" s="528"/>
      <c r="KPX1590" s="528"/>
      <c r="KPY1590" s="527"/>
      <c r="KPZ1590" s="528"/>
      <c r="KQA1590" s="528"/>
      <c r="KQB1590" s="528"/>
      <c r="KQC1590" s="528"/>
      <c r="KQD1590" s="528"/>
      <c r="KQE1590" s="528"/>
      <c r="KQF1590" s="528"/>
      <c r="KQG1590" s="528"/>
      <c r="KQH1590" s="528"/>
      <c r="KQI1590" s="528"/>
      <c r="KQJ1590" s="527"/>
      <c r="KQK1590" s="528"/>
      <c r="KQL1590" s="528"/>
      <c r="KQM1590" s="528"/>
      <c r="KQN1590" s="528"/>
      <c r="KQO1590" s="528"/>
      <c r="KQP1590" s="528"/>
      <c r="KQQ1590" s="528"/>
      <c r="KQR1590" s="528"/>
      <c r="KQS1590" s="528"/>
      <c r="KQT1590" s="528"/>
      <c r="KQU1590" s="527"/>
      <c r="KQV1590" s="528"/>
      <c r="KQW1590" s="528"/>
      <c r="KQX1590" s="528"/>
      <c r="KQY1590" s="528"/>
      <c r="KQZ1590" s="528"/>
      <c r="KRA1590" s="528"/>
      <c r="KRB1590" s="528"/>
      <c r="KRC1590" s="528"/>
      <c r="KRD1590" s="528"/>
      <c r="KRE1590" s="528"/>
      <c r="KRF1590" s="527"/>
      <c r="KRG1590" s="528"/>
      <c r="KRH1590" s="528"/>
      <c r="KRI1590" s="528"/>
      <c r="KRJ1590" s="528"/>
      <c r="KRK1590" s="528"/>
      <c r="KRL1590" s="528"/>
      <c r="KRM1590" s="528"/>
      <c r="KRN1590" s="528"/>
      <c r="KRO1590" s="528"/>
      <c r="KRP1590" s="528"/>
      <c r="KRQ1590" s="527"/>
      <c r="KRR1590" s="528"/>
      <c r="KRS1590" s="528"/>
      <c r="KRT1590" s="528"/>
      <c r="KRU1590" s="528"/>
      <c r="KRV1590" s="528"/>
      <c r="KRW1590" s="528"/>
      <c r="KRX1590" s="528"/>
      <c r="KRY1590" s="528"/>
      <c r="KRZ1590" s="528"/>
      <c r="KSA1590" s="528"/>
      <c r="KSB1590" s="527"/>
      <c r="KSC1590" s="528"/>
      <c r="KSD1590" s="528"/>
      <c r="KSE1590" s="528"/>
      <c r="KSF1590" s="528"/>
      <c r="KSG1590" s="528"/>
      <c r="KSH1590" s="528"/>
      <c r="KSI1590" s="528"/>
      <c r="KSJ1590" s="528"/>
      <c r="KSK1590" s="528"/>
      <c r="KSL1590" s="528"/>
      <c r="KSM1590" s="527"/>
      <c r="KSN1590" s="528"/>
      <c r="KSO1590" s="528"/>
      <c r="KSP1590" s="528"/>
      <c r="KSQ1590" s="528"/>
      <c r="KSR1590" s="528"/>
      <c r="KSS1590" s="528"/>
      <c r="KST1590" s="528"/>
      <c r="KSU1590" s="528"/>
      <c r="KSV1590" s="528"/>
      <c r="KSW1590" s="528"/>
      <c r="KSX1590" s="527"/>
      <c r="KSY1590" s="528"/>
      <c r="KSZ1590" s="528"/>
      <c r="KTA1590" s="528"/>
      <c r="KTB1590" s="528"/>
      <c r="KTC1590" s="528"/>
      <c r="KTD1590" s="528"/>
      <c r="KTE1590" s="528"/>
      <c r="KTF1590" s="528"/>
      <c r="KTG1590" s="528"/>
      <c r="KTH1590" s="528"/>
      <c r="KTI1590" s="527"/>
      <c r="KTJ1590" s="528"/>
      <c r="KTK1590" s="528"/>
      <c r="KTL1590" s="528"/>
      <c r="KTM1590" s="528"/>
      <c r="KTN1590" s="528"/>
      <c r="KTO1590" s="528"/>
      <c r="KTP1590" s="528"/>
      <c r="KTQ1590" s="528"/>
      <c r="KTR1590" s="528"/>
      <c r="KTS1590" s="528"/>
      <c r="KTT1590" s="527"/>
      <c r="KTU1590" s="528"/>
      <c r="KTV1590" s="528"/>
      <c r="KTW1590" s="528"/>
      <c r="KTX1590" s="528"/>
      <c r="KTY1590" s="528"/>
      <c r="KTZ1590" s="528"/>
      <c r="KUA1590" s="528"/>
      <c r="KUB1590" s="528"/>
      <c r="KUC1590" s="528"/>
      <c r="KUD1590" s="528"/>
      <c r="KUE1590" s="527"/>
      <c r="KUF1590" s="528"/>
      <c r="KUG1590" s="528"/>
      <c r="KUH1590" s="528"/>
      <c r="KUI1590" s="528"/>
      <c r="KUJ1590" s="528"/>
      <c r="KUK1590" s="528"/>
      <c r="KUL1590" s="528"/>
      <c r="KUM1590" s="528"/>
      <c r="KUN1590" s="528"/>
      <c r="KUO1590" s="528"/>
      <c r="KUP1590" s="527"/>
      <c r="KUQ1590" s="528"/>
      <c r="KUR1590" s="528"/>
      <c r="KUS1590" s="528"/>
      <c r="KUT1590" s="528"/>
      <c r="KUU1590" s="528"/>
      <c r="KUV1590" s="528"/>
      <c r="KUW1590" s="528"/>
      <c r="KUX1590" s="528"/>
      <c r="KUY1590" s="528"/>
      <c r="KUZ1590" s="528"/>
      <c r="KVA1590" s="527"/>
      <c r="KVB1590" s="528"/>
      <c r="KVC1590" s="528"/>
      <c r="KVD1590" s="528"/>
      <c r="KVE1590" s="528"/>
      <c r="KVF1590" s="528"/>
      <c r="KVG1590" s="528"/>
      <c r="KVH1590" s="528"/>
      <c r="KVI1590" s="528"/>
      <c r="KVJ1590" s="528"/>
      <c r="KVK1590" s="528"/>
      <c r="KVL1590" s="527"/>
      <c r="KVM1590" s="528"/>
      <c r="KVN1590" s="528"/>
      <c r="KVO1590" s="528"/>
      <c r="KVP1590" s="528"/>
      <c r="KVQ1590" s="528"/>
      <c r="KVR1590" s="528"/>
      <c r="KVS1590" s="528"/>
      <c r="KVT1590" s="528"/>
      <c r="KVU1590" s="528"/>
      <c r="KVV1590" s="528"/>
      <c r="KVW1590" s="527"/>
      <c r="KVX1590" s="528"/>
      <c r="KVY1590" s="528"/>
      <c r="KVZ1590" s="528"/>
      <c r="KWA1590" s="528"/>
      <c r="KWB1590" s="528"/>
      <c r="KWC1590" s="528"/>
      <c r="KWD1590" s="528"/>
      <c r="KWE1590" s="528"/>
      <c r="KWF1590" s="528"/>
      <c r="KWG1590" s="528"/>
      <c r="KWH1590" s="527"/>
      <c r="KWI1590" s="528"/>
      <c r="KWJ1590" s="528"/>
      <c r="KWK1590" s="528"/>
      <c r="KWL1590" s="528"/>
      <c r="KWM1590" s="528"/>
      <c r="KWN1590" s="528"/>
      <c r="KWO1590" s="528"/>
      <c r="KWP1590" s="528"/>
      <c r="KWQ1590" s="528"/>
      <c r="KWR1590" s="528"/>
      <c r="KWS1590" s="527"/>
      <c r="KWT1590" s="528"/>
      <c r="KWU1590" s="528"/>
      <c r="KWV1590" s="528"/>
      <c r="KWW1590" s="528"/>
      <c r="KWX1590" s="528"/>
      <c r="KWY1590" s="528"/>
      <c r="KWZ1590" s="528"/>
      <c r="KXA1590" s="528"/>
      <c r="KXB1590" s="528"/>
      <c r="KXC1590" s="528"/>
      <c r="KXD1590" s="527"/>
      <c r="KXE1590" s="528"/>
      <c r="KXF1590" s="528"/>
      <c r="KXG1590" s="528"/>
      <c r="KXH1590" s="528"/>
      <c r="KXI1590" s="528"/>
      <c r="KXJ1590" s="528"/>
      <c r="KXK1590" s="528"/>
      <c r="KXL1590" s="528"/>
      <c r="KXM1590" s="528"/>
      <c r="KXN1590" s="528"/>
      <c r="KXO1590" s="527"/>
      <c r="KXP1590" s="528"/>
      <c r="KXQ1590" s="528"/>
      <c r="KXR1590" s="528"/>
      <c r="KXS1590" s="528"/>
      <c r="KXT1590" s="528"/>
      <c r="KXU1590" s="528"/>
      <c r="KXV1590" s="528"/>
      <c r="KXW1590" s="528"/>
      <c r="KXX1590" s="528"/>
      <c r="KXY1590" s="528"/>
      <c r="KXZ1590" s="527"/>
      <c r="KYA1590" s="528"/>
      <c r="KYB1590" s="528"/>
      <c r="KYC1590" s="528"/>
      <c r="KYD1590" s="528"/>
      <c r="KYE1590" s="528"/>
      <c r="KYF1590" s="528"/>
      <c r="KYG1590" s="528"/>
      <c r="KYH1590" s="528"/>
      <c r="KYI1590" s="528"/>
      <c r="KYJ1590" s="528"/>
      <c r="KYK1590" s="527"/>
      <c r="KYL1590" s="528"/>
      <c r="KYM1590" s="528"/>
      <c r="KYN1590" s="528"/>
      <c r="KYO1590" s="528"/>
      <c r="KYP1590" s="528"/>
      <c r="KYQ1590" s="528"/>
      <c r="KYR1590" s="528"/>
      <c r="KYS1590" s="528"/>
      <c r="KYT1590" s="528"/>
      <c r="KYU1590" s="528"/>
      <c r="KYV1590" s="527"/>
      <c r="KYW1590" s="528"/>
      <c r="KYX1590" s="528"/>
      <c r="KYY1590" s="528"/>
      <c r="KYZ1590" s="528"/>
      <c r="KZA1590" s="528"/>
      <c r="KZB1590" s="528"/>
      <c r="KZC1590" s="528"/>
      <c r="KZD1590" s="528"/>
      <c r="KZE1590" s="528"/>
      <c r="KZF1590" s="528"/>
      <c r="KZG1590" s="527"/>
      <c r="KZH1590" s="528"/>
      <c r="KZI1590" s="528"/>
      <c r="KZJ1590" s="528"/>
      <c r="KZK1590" s="528"/>
      <c r="KZL1590" s="528"/>
      <c r="KZM1590" s="528"/>
      <c r="KZN1590" s="528"/>
      <c r="KZO1590" s="528"/>
      <c r="KZP1590" s="528"/>
      <c r="KZQ1590" s="528"/>
      <c r="KZR1590" s="527"/>
      <c r="KZS1590" s="528"/>
      <c r="KZT1590" s="528"/>
      <c r="KZU1590" s="528"/>
      <c r="KZV1590" s="528"/>
      <c r="KZW1590" s="528"/>
      <c r="KZX1590" s="528"/>
      <c r="KZY1590" s="528"/>
      <c r="KZZ1590" s="528"/>
      <c r="LAA1590" s="528"/>
      <c r="LAB1590" s="528"/>
      <c r="LAC1590" s="527"/>
      <c r="LAD1590" s="528"/>
      <c r="LAE1590" s="528"/>
      <c r="LAF1590" s="528"/>
      <c r="LAG1590" s="528"/>
      <c r="LAH1590" s="528"/>
      <c r="LAI1590" s="528"/>
      <c r="LAJ1590" s="528"/>
      <c r="LAK1590" s="528"/>
      <c r="LAL1590" s="528"/>
      <c r="LAM1590" s="528"/>
      <c r="LAN1590" s="527"/>
      <c r="LAO1590" s="528"/>
      <c r="LAP1590" s="528"/>
      <c r="LAQ1590" s="528"/>
      <c r="LAR1590" s="528"/>
      <c r="LAS1590" s="528"/>
      <c r="LAT1590" s="528"/>
      <c r="LAU1590" s="528"/>
      <c r="LAV1590" s="528"/>
      <c r="LAW1590" s="528"/>
      <c r="LAX1590" s="528"/>
      <c r="LAY1590" s="527"/>
      <c r="LAZ1590" s="528"/>
      <c r="LBA1590" s="528"/>
      <c r="LBB1590" s="528"/>
      <c r="LBC1590" s="528"/>
      <c r="LBD1590" s="528"/>
      <c r="LBE1590" s="528"/>
      <c r="LBF1590" s="528"/>
      <c r="LBG1590" s="528"/>
      <c r="LBH1590" s="528"/>
      <c r="LBI1590" s="528"/>
      <c r="LBJ1590" s="527"/>
      <c r="LBK1590" s="528"/>
      <c r="LBL1590" s="528"/>
      <c r="LBM1590" s="528"/>
      <c r="LBN1590" s="528"/>
      <c r="LBO1590" s="528"/>
      <c r="LBP1590" s="528"/>
      <c r="LBQ1590" s="528"/>
      <c r="LBR1590" s="528"/>
      <c r="LBS1590" s="528"/>
      <c r="LBT1590" s="528"/>
      <c r="LBU1590" s="527"/>
      <c r="LBV1590" s="528"/>
      <c r="LBW1590" s="528"/>
      <c r="LBX1590" s="528"/>
      <c r="LBY1590" s="528"/>
      <c r="LBZ1590" s="528"/>
      <c r="LCA1590" s="528"/>
      <c r="LCB1590" s="528"/>
      <c r="LCC1590" s="528"/>
      <c r="LCD1590" s="528"/>
      <c r="LCE1590" s="528"/>
      <c r="LCF1590" s="527"/>
      <c r="LCG1590" s="528"/>
      <c r="LCH1590" s="528"/>
      <c r="LCI1590" s="528"/>
      <c r="LCJ1590" s="528"/>
      <c r="LCK1590" s="528"/>
      <c r="LCL1590" s="528"/>
      <c r="LCM1590" s="528"/>
      <c r="LCN1590" s="528"/>
      <c r="LCO1590" s="528"/>
      <c r="LCP1590" s="528"/>
      <c r="LCQ1590" s="527"/>
      <c r="LCR1590" s="528"/>
      <c r="LCS1590" s="528"/>
      <c r="LCT1590" s="528"/>
      <c r="LCU1590" s="528"/>
      <c r="LCV1590" s="528"/>
      <c r="LCW1590" s="528"/>
      <c r="LCX1590" s="528"/>
      <c r="LCY1590" s="528"/>
      <c r="LCZ1590" s="528"/>
      <c r="LDA1590" s="528"/>
      <c r="LDB1590" s="527"/>
      <c r="LDC1590" s="528"/>
      <c r="LDD1590" s="528"/>
      <c r="LDE1590" s="528"/>
      <c r="LDF1590" s="528"/>
      <c r="LDG1590" s="528"/>
      <c r="LDH1590" s="528"/>
      <c r="LDI1590" s="528"/>
      <c r="LDJ1590" s="528"/>
      <c r="LDK1590" s="528"/>
      <c r="LDL1590" s="528"/>
      <c r="LDM1590" s="527"/>
      <c r="LDN1590" s="528"/>
      <c r="LDO1590" s="528"/>
      <c r="LDP1590" s="528"/>
      <c r="LDQ1590" s="528"/>
      <c r="LDR1590" s="528"/>
      <c r="LDS1590" s="528"/>
      <c r="LDT1590" s="528"/>
      <c r="LDU1590" s="528"/>
      <c r="LDV1590" s="528"/>
      <c r="LDW1590" s="528"/>
      <c r="LDX1590" s="527"/>
      <c r="LDY1590" s="528"/>
      <c r="LDZ1590" s="528"/>
      <c r="LEA1590" s="528"/>
      <c r="LEB1590" s="528"/>
      <c r="LEC1590" s="528"/>
      <c r="LED1590" s="528"/>
      <c r="LEE1590" s="528"/>
      <c r="LEF1590" s="528"/>
      <c r="LEG1590" s="528"/>
      <c r="LEH1590" s="528"/>
      <c r="LEI1590" s="527"/>
      <c r="LEJ1590" s="528"/>
      <c r="LEK1590" s="528"/>
      <c r="LEL1590" s="528"/>
      <c r="LEM1590" s="528"/>
      <c r="LEN1590" s="528"/>
      <c r="LEO1590" s="528"/>
      <c r="LEP1590" s="528"/>
      <c r="LEQ1590" s="528"/>
      <c r="LER1590" s="528"/>
      <c r="LES1590" s="528"/>
      <c r="LET1590" s="527"/>
      <c r="LEU1590" s="528"/>
      <c r="LEV1590" s="528"/>
      <c r="LEW1590" s="528"/>
      <c r="LEX1590" s="528"/>
      <c r="LEY1590" s="528"/>
      <c r="LEZ1590" s="528"/>
      <c r="LFA1590" s="528"/>
      <c r="LFB1590" s="528"/>
      <c r="LFC1590" s="528"/>
      <c r="LFD1590" s="528"/>
      <c r="LFE1590" s="527"/>
      <c r="LFF1590" s="528"/>
      <c r="LFG1590" s="528"/>
      <c r="LFH1590" s="528"/>
      <c r="LFI1590" s="528"/>
      <c r="LFJ1590" s="528"/>
      <c r="LFK1590" s="528"/>
      <c r="LFL1590" s="528"/>
      <c r="LFM1590" s="528"/>
      <c r="LFN1590" s="528"/>
      <c r="LFO1590" s="528"/>
      <c r="LFP1590" s="527"/>
      <c r="LFQ1590" s="528"/>
      <c r="LFR1590" s="528"/>
      <c r="LFS1590" s="528"/>
      <c r="LFT1590" s="528"/>
      <c r="LFU1590" s="528"/>
      <c r="LFV1590" s="528"/>
      <c r="LFW1590" s="528"/>
      <c r="LFX1590" s="528"/>
      <c r="LFY1590" s="528"/>
      <c r="LFZ1590" s="528"/>
      <c r="LGA1590" s="527"/>
      <c r="LGB1590" s="528"/>
      <c r="LGC1590" s="528"/>
      <c r="LGD1590" s="528"/>
      <c r="LGE1590" s="528"/>
      <c r="LGF1590" s="528"/>
      <c r="LGG1590" s="528"/>
      <c r="LGH1590" s="528"/>
      <c r="LGI1590" s="528"/>
      <c r="LGJ1590" s="528"/>
      <c r="LGK1590" s="528"/>
      <c r="LGL1590" s="527"/>
      <c r="LGM1590" s="528"/>
      <c r="LGN1590" s="528"/>
      <c r="LGO1590" s="528"/>
      <c r="LGP1590" s="528"/>
      <c r="LGQ1590" s="528"/>
      <c r="LGR1590" s="528"/>
      <c r="LGS1590" s="528"/>
      <c r="LGT1590" s="528"/>
      <c r="LGU1590" s="528"/>
      <c r="LGV1590" s="528"/>
      <c r="LGW1590" s="527"/>
      <c r="LGX1590" s="528"/>
      <c r="LGY1590" s="528"/>
      <c r="LGZ1590" s="528"/>
      <c r="LHA1590" s="528"/>
      <c r="LHB1590" s="528"/>
      <c r="LHC1590" s="528"/>
      <c r="LHD1590" s="528"/>
      <c r="LHE1590" s="528"/>
      <c r="LHF1590" s="528"/>
      <c r="LHG1590" s="528"/>
      <c r="LHH1590" s="527"/>
      <c r="LHI1590" s="528"/>
      <c r="LHJ1590" s="528"/>
      <c r="LHK1590" s="528"/>
      <c r="LHL1590" s="528"/>
      <c r="LHM1590" s="528"/>
      <c r="LHN1590" s="528"/>
      <c r="LHO1590" s="528"/>
      <c r="LHP1590" s="528"/>
      <c r="LHQ1590" s="528"/>
      <c r="LHR1590" s="528"/>
      <c r="LHS1590" s="527"/>
      <c r="LHT1590" s="528"/>
      <c r="LHU1590" s="528"/>
      <c r="LHV1590" s="528"/>
      <c r="LHW1590" s="528"/>
      <c r="LHX1590" s="528"/>
      <c r="LHY1590" s="528"/>
      <c r="LHZ1590" s="528"/>
      <c r="LIA1590" s="528"/>
      <c r="LIB1590" s="528"/>
      <c r="LIC1590" s="528"/>
      <c r="LID1590" s="527"/>
      <c r="LIE1590" s="528"/>
      <c r="LIF1590" s="528"/>
      <c r="LIG1590" s="528"/>
      <c r="LIH1590" s="528"/>
      <c r="LII1590" s="528"/>
      <c r="LIJ1590" s="528"/>
      <c r="LIK1590" s="528"/>
      <c r="LIL1590" s="528"/>
      <c r="LIM1590" s="528"/>
      <c r="LIN1590" s="528"/>
      <c r="LIO1590" s="527"/>
      <c r="LIP1590" s="528"/>
      <c r="LIQ1590" s="528"/>
      <c r="LIR1590" s="528"/>
      <c r="LIS1590" s="528"/>
      <c r="LIT1590" s="528"/>
      <c r="LIU1590" s="528"/>
      <c r="LIV1590" s="528"/>
      <c r="LIW1590" s="528"/>
      <c r="LIX1590" s="528"/>
      <c r="LIY1590" s="528"/>
      <c r="LIZ1590" s="527"/>
      <c r="LJA1590" s="528"/>
      <c r="LJB1590" s="528"/>
      <c r="LJC1590" s="528"/>
      <c r="LJD1590" s="528"/>
      <c r="LJE1590" s="528"/>
      <c r="LJF1590" s="528"/>
      <c r="LJG1590" s="528"/>
      <c r="LJH1590" s="528"/>
      <c r="LJI1590" s="528"/>
      <c r="LJJ1590" s="528"/>
      <c r="LJK1590" s="527"/>
      <c r="LJL1590" s="528"/>
      <c r="LJM1590" s="528"/>
      <c r="LJN1590" s="528"/>
      <c r="LJO1590" s="528"/>
      <c r="LJP1590" s="528"/>
      <c r="LJQ1590" s="528"/>
      <c r="LJR1590" s="528"/>
      <c r="LJS1590" s="528"/>
      <c r="LJT1590" s="528"/>
      <c r="LJU1590" s="528"/>
      <c r="LJV1590" s="527"/>
      <c r="LJW1590" s="528"/>
      <c r="LJX1590" s="528"/>
      <c r="LJY1590" s="528"/>
      <c r="LJZ1590" s="528"/>
      <c r="LKA1590" s="528"/>
      <c r="LKB1590" s="528"/>
      <c r="LKC1590" s="528"/>
      <c r="LKD1590" s="528"/>
      <c r="LKE1590" s="528"/>
      <c r="LKF1590" s="528"/>
      <c r="LKG1590" s="527"/>
      <c r="LKH1590" s="528"/>
      <c r="LKI1590" s="528"/>
      <c r="LKJ1590" s="528"/>
      <c r="LKK1590" s="528"/>
      <c r="LKL1590" s="528"/>
      <c r="LKM1590" s="528"/>
      <c r="LKN1590" s="528"/>
      <c r="LKO1590" s="528"/>
      <c r="LKP1590" s="528"/>
      <c r="LKQ1590" s="528"/>
      <c r="LKR1590" s="527"/>
      <c r="LKS1590" s="528"/>
      <c r="LKT1590" s="528"/>
      <c r="LKU1590" s="528"/>
      <c r="LKV1590" s="528"/>
      <c r="LKW1590" s="528"/>
      <c r="LKX1590" s="528"/>
      <c r="LKY1590" s="528"/>
      <c r="LKZ1590" s="528"/>
      <c r="LLA1590" s="528"/>
      <c r="LLB1590" s="528"/>
      <c r="LLC1590" s="527"/>
      <c r="LLD1590" s="528"/>
      <c r="LLE1590" s="528"/>
      <c r="LLF1590" s="528"/>
      <c r="LLG1590" s="528"/>
      <c r="LLH1590" s="528"/>
      <c r="LLI1590" s="528"/>
      <c r="LLJ1590" s="528"/>
      <c r="LLK1590" s="528"/>
      <c r="LLL1590" s="528"/>
      <c r="LLM1590" s="528"/>
      <c r="LLN1590" s="527"/>
      <c r="LLO1590" s="528"/>
      <c r="LLP1590" s="528"/>
      <c r="LLQ1590" s="528"/>
      <c r="LLR1590" s="528"/>
      <c r="LLS1590" s="528"/>
      <c r="LLT1590" s="528"/>
      <c r="LLU1590" s="528"/>
      <c r="LLV1590" s="528"/>
      <c r="LLW1590" s="528"/>
      <c r="LLX1590" s="528"/>
      <c r="LLY1590" s="527"/>
      <c r="LLZ1590" s="528"/>
      <c r="LMA1590" s="528"/>
      <c r="LMB1590" s="528"/>
      <c r="LMC1590" s="528"/>
      <c r="LMD1590" s="528"/>
      <c r="LME1590" s="528"/>
      <c r="LMF1590" s="528"/>
      <c r="LMG1590" s="528"/>
      <c r="LMH1590" s="528"/>
      <c r="LMI1590" s="528"/>
      <c r="LMJ1590" s="527"/>
      <c r="LMK1590" s="528"/>
      <c r="LML1590" s="528"/>
      <c r="LMM1590" s="528"/>
      <c r="LMN1590" s="528"/>
      <c r="LMO1590" s="528"/>
      <c r="LMP1590" s="528"/>
      <c r="LMQ1590" s="528"/>
      <c r="LMR1590" s="528"/>
      <c r="LMS1590" s="528"/>
      <c r="LMT1590" s="528"/>
      <c r="LMU1590" s="527"/>
      <c r="LMV1590" s="528"/>
      <c r="LMW1590" s="528"/>
      <c r="LMX1590" s="528"/>
      <c r="LMY1590" s="528"/>
      <c r="LMZ1590" s="528"/>
      <c r="LNA1590" s="528"/>
      <c r="LNB1590" s="528"/>
      <c r="LNC1590" s="528"/>
      <c r="LND1590" s="528"/>
      <c r="LNE1590" s="528"/>
      <c r="LNF1590" s="527"/>
      <c r="LNG1590" s="528"/>
      <c r="LNH1590" s="528"/>
      <c r="LNI1590" s="528"/>
      <c r="LNJ1590" s="528"/>
      <c r="LNK1590" s="528"/>
      <c r="LNL1590" s="528"/>
      <c r="LNM1590" s="528"/>
      <c r="LNN1590" s="528"/>
      <c r="LNO1590" s="528"/>
      <c r="LNP1590" s="528"/>
      <c r="LNQ1590" s="527"/>
      <c r="LNR1590" s="528"/>
      <c r="LNS1590" s="528"/>
      <c r="LNT1590" s="528"/>
      <c r="LNU1590" s="528"/>
      <c r="LNV1590" s="528"/>
      <c r="LNW1590" s="528"/>
      <c r="LNX1590" s="528"/>
      <c r="LNY1590" s="528"/>
      <c r="LNZ1590" s="528"/>
      <c r="LOA1590" s="528"/>
      <c r="LOB1590" s="527"/>
      <c r="LOC1590" s="528"/>
      <c r="LOD1590" s="528"/>
      <c r="LOE1590" s="528"/>
      <c r="LOF1590" s="528"/>
      <c r="LOG1590" s="528"/>
      <c r="LOH1590" s="528"/>
      <c r="LOI1590" s="528"/>
      <c r="LOJ1590" s="528"/>
      <c r="LOK1590" s="528"/>
      <c r="LOL1590" s="528"/>
      <c r="LOM1590" s="527"/>
      <c r="LON1590" s="528"/>
      <c r="LOO1590" s="528"/>
      <c r="LOP1590" s="528"/>
      <c r="LOQ1590" s="528"/>
      <c r="LOR1590" s="528"/>
      <c r="LOS1590" s="528"/>
      <c r="LOT1590" s="528"/>
      <c r="LOU1590" s="528"/>
      <c r="LOV1590" s="528"/>
      <c r="LOW1590" s="528"/>
      <c r="LOX1590" s="527"/>
      <c r="LOY1590" s="528"/>
      <c r="LOZ1590" s="528"/>
      <c r="LPA1590" s="528"/>
      <c r="LPB1590" s="528"/>
      <c r="LPC1590" s="528"/>
      <c r="LPD1590" s="528"/>
      <c r="LPE1590" s="528"/>
      <c r="LPF1590" s="528"/>
      <c r="LPG1590" s="528"/>
      <c r="LPH1590" s="528"/>
      <c r="LPI1590" s="527"/>
      <c r="LPJ1590" s="528"/>
      <c r="LPK1590" s="528"/>
      <c r="LPL1590" s="528"/>
      <c r="LPM1590" s="528"/>
      <c r="LPN1590" s="528"/>
      <c r="LPO1590" s="528"/>
      <c r="LPP1590" s="528"/>
      <c r="LPQ1590" s="528"/>
      <c r="LPR1590" s="528"/>
      <c r="LPS1590" s="528"/>
      <c r="LPT1590" s="527"/>
      <c r="LPU1590" s="528"/>
      <c r="LPV1590" s="528"/>
      <c r="LPW1590" s="528"/>
      <c r="LPX1590" s="528"/>
      <c r="LPY1590" s="528"/>
      <c r="LPZ1590" s="528"/>
      <c r="LQA1590" s="528"/>
      <c r="LQB1590" s="528"/>
      <c r="LQC1590" s="528"/>
      <c r="LQD1590" s="528"/>
      <c r="LQE1590" s="527"/>
      <c r="LQF1590" s="528"/>
      <c r="LQG1590" s="528"/>
      <c r="LQH1590" s="528"/>
      <c r="LQI1590" s="528"/>
      <c r="LQJ1590" s="528"/>
      <c r="LQK1590" s="528"/>
      <c r="LQL1590" s="528"/>
      <c r="LQM1590" s="528"/>
      <c r="LQN1590" s="528"/>
      <c r="LQO1590" s="528"/>
      <c r="LQP1590" s="527"/>
      <c r="LQQ1590" s="528"/>
      <c r="LQR1590" s="528"/>
      <c r="LQS1590" s="528"/>
      <c r="LQT1590" s="528"/>
      <c r="LQU1590" s="528"/>
      <c r="LQV1590" s="528"/>
      <c r="LQW1590" s="528"/>
      <c r="LQX1590" s="528"/>
      <c r="LQY1590" s="528"/>
      <c r="LQZ1590" s="528"/>
      <c r="LRA1590" s="527"/>
      <c r="LRB1590" s="528"/>
      <c r="LRC1590" s="528"/>
      <c r="LRD1590" s="528"/>
      <c r="LRE1590" s="528"/>
      <c r="LRF1590" s="528"/>
      <c r="LRG1590" s="528"/>
      <c r="LRH1590" s="528"/>
      <c r="LRI1590" s="528"/>
      <c r="LRJ1590" s="528"/>
      <c r="LRK1590" s="528"/>
      <c r="LRL1590" s="527"/>
      <c r="LRM1590" s="528"/>
      <c r="LRN1590" s="528"/>
      <c r="LRO1590" s="528"/>
      <c r="LRP1590" s="528"/>
      <c r="LRQ1590" s="528"/>
      <c r="LRR1590" s="528"/>
      <c r="LRS1590" s="528"/>
      <c r="LRT1590" s="528"/>
      <c r="LRU1590" s="528"/>
      <c r="LRV1590" s="528"/>
      <c r="LRW1590" s="527"/>
      <c r="LRX1590" s="528"/>
      <c r="LRY1590" s="528"/>
      <c r="LRZ1590" s="528"/>
      <c r="LSA1590" s="528"/>
      <c r="LSB1590" s="528"/>
      <c r="LSC1590" s="528"/>
      <c r="LSD1590" s="528"/>
      <c r="LSE1590" s="528"/>
      <c r="LSF1590" s="528"/>
      <c r="LSG1590" s="528"/>
      <c r="LSH1590" s="527"/>
      <c r="LSI1590" s="528"/>
      <c r="LSJ1590" s="528"/>
      <c r="LSK1590" s="528"/>
      <c r="LSL1590" s="528"/>
      <c r="LSM1590" s="528"/>
      <c r="LSN1590" s="528"/>
      <c r="LSO1590" s="528"/>
      <c r="LSP1590" s="528"/>
      <c r="LSQ1590" s="528"/>
      <c r="LSR1590" s="528"/>
      <c r="LSS1590" s="527"/>
      <c r="LST1590" s="528"/>
      <c r="LSU1590" s="528"/>
      <c r="LSV1590" s="528"/>
      <c r="LSW1590" s="528"/>
      <c r="LSX1590" s="528"/>
      <c r="LSY1590" s="528"/>
      <c r="LSZ1590" s="528"/>
      <c r="LTA1590" s="528"/>
      <c r="LTB1590" s="528"/>
      <c r="LTC1590" s="528"/>
      <c r="LTD1590" s="527"/>
      <c r="LTE1590" s="528"/>
      <c r="LTF1590" s="528"/>
      <c r="LTG1590" s="528"/>
      <c r="LTH1590" s="528"/>
      <c r="LTI1590" s="528"/>
      <c r="LTJ1590" s="528"/>
      <c r="LTK1590" s="528"/>
      <c r="LTL1590" s="528"/>
      <c r="LTM1590" s="528"/>
      <c r="LTN1590" s="528"/>
      <c r="LTO1590" s="527"/>
      <c r="LTP1590" s="528"/>
      <c r="LTQ1590" s="528"/>
      <c r="LTR1590" s="528"/>
      <c r="LTS1590" s="528"/>
      <c r="LTT1590" s="528"/>
      <c r="LTU1590" s="528"/>
      <c r="LTV1590" s="528"/>
      <c r="LTW1590" s="528"/>
      <c r="LTX1590" s="528"/>
      <c r="LTY1590" s="528"/>
      <c r="LTZ1590" s="527"/>
      <c r="LUA1590" s="528"/>
      <c r="LUB1590" s="528"/>
      <c r="LUC1590" s="528"/>
      <c r="LUD1590" s="528"/>
      <c r="LUE1590" s="528"/>
      <c r="LUF1590" s="528"/>
      <c r="LUG1590" s="528"/>
      <c r="LUH1590" s="528"/>
      <c r="LUI1590" s="528"/>
      <c r="LUJ1590" s="528"/>
      <c r="LUK1590" s="527"/>
      <c r="LUL1590" s="528"/>
      <c r="LUM1590" s="528"/>
      <c r="LUN1590" s="528"/>
      <c r="LUO1590" s="528"/>
      <c r="LUP1590" s="528"/>
      <c r="LUQ1590" s="528"/>
      <c r="LUR1590" s="528"/>
      <c r="LUS1590" s="528"/>
      <c r="LUT1590" s="528"/>
      <c r="LUU1590" s="528"/>
      <c r="LUV1590" s="527"/>
      <c r="LUW1590" s="528"/>
      <c r="LUX1590" s="528"/>
      <c r="LUY1590" s="528"/>
      <c r="LUZ1590" s="528"/>
      <c r="LVA1590" s="528"/>
      <c r="LVB1590" s="528"/>
      <c r="LVC1590" s="528"/>
      <c r="LVD1590" s="528"/>
      <c r="LVE1590" s="528"/>
      <c r="LVF1590" s="528"/>
      <c r="LVG1590" s="527"/>
      <c r="LVH1590" s="528"/>
      <c r="LVI1590" s="528"/>
      <c r="LVJ1590" s="528"/>
      <c r="LVK1590" s="528"/>
      <c r="LVL1590" s="528"/>
      <c r="LVM1590" s="528"/>
      <c r="LVN1590" s="528"/>
      <c r="LVO1590" s="528"/>
      <c r="LVP1590" s="528"/>
      <c r="LVQ1590" s="528"/>
      <c r="LVR1590" s="527"/>
      <c r="LVS1590" s="528"/>
      <c r="LVT1590" s="528"/>
      <c r="LVU1590" s="528"/>
      <c r="LVV1590" s="528"/>
      <c r="LVW1590" s="528"/>
      <c r="LVX1590" s="528"/>
      <c r="LVY1590" s="528"/>
      <c r="LVZ1590" s="528"/>
      <c r="LWA1590" s="528"/>
      <c r="LWB1590" s="528"/>
      <c r="LWC1590" s="527"/>
      <c r="LWD1590" s="528"/>
      <c r="LWE1590" s="528"/>
      <c r="LWF1590" s="528"/>
      <c r="LWG1590" s="528"/>
      <c r="LWH1590" s="528"/>
      <c r="LWI1590" s="528"/>
      <c r="LWJ1590" s="528"/>
      <c r="LWK1590" s="528"/>
      <c r="LWL1590" s="528"/>
      <c r="LWM1590" s="528"/>
      <c r="LWN1590" s="527"/>
      <c r="LWO1590" s="528"/>
      <c r="LWP1590" s="528"/>
      <c r="LWQ1590" s="528"/>
      <c r="LWR1590" s="528"/>
      <c r="LWS1590" s="528"/>
      <c r="LWT1590" s="528"/>
      <c r="LWU1590" s="528"/>
      <c r="LWV1590" s="528"/>
      <c r="LWW1590" s="528"/>
      <c r="LWX1590" s="528"/>
      <c r="LWY1590" s="527"/>
      <c r="LWZ1590" s="528"/>
      <c r="LXA1590" s="528"/>
      <c r="LXB1590" s="528"/>
      <c r="LXC1590" s="528"/>
      <c r="LXD1590" s="528"/>
      <c r="LXE1590" s="528"/>
      <c r="LXF1590" s="528"/>
      <c r="LXG1590" s="528"/>
      <c r="LXH1590" s="528"/>
      <c r="LXI1590" s="528"/>
      <c r="LXJ1590" s="527"/>
      <c r="LXK1590" s="528"/>
      <c r="LXL1590" s="528"/>
      <c r="LXM1590" s="528"/>
      <c r="LXN1590" s="528"/>
      <c r="LXO1590" s="528"/>
      <c r="LXP1590" s="528"/>
      <c r="LXQ1590" s="528"/>
      <c r="LXR1590" s="528"/>
      <c r="LXS1590" s="528"/>
      <c r="LXT1590" s="528"/>
      <c r="LXU1590" s="527"/>
      <c r="LXV1590" s="528"/>
      <c r="LXW1590" s="528"/>
      <c r="LXX1590" s="528"/>
      <c r="LXY1590" s="528"/>
      <c r="LXZ1590" s="528"/>
      <c r="LYA1590" s="528"/>
      <c r="LYB1590" s="528"/>
      <c r="LYC1590" s="528"/>
      <c r="LYD1590" s="528"/>
      <c r="LYE1590" s="528"/>
      <c r="LYF1590" s="527"/>
      <c r="LYG1590" s="528"/>
      <c r="LYH1590" s="528"/>
      <c r="LYI1590" s="528"/>
      <c r="LYJ1590" s="528"/>
      <c r="LYK1590" s="528"/>
      <c r="LYL1590" s="528"/>
      <c r="LYM1590" s="528"/>
      <c r="LYN1590" s="528"/>
      <c r="LYO1590" s="528"/>
      <c r="LYP1590" s="528"/>
      <c r="LYQ1590" s="527"/>
      <c r="LYR1590" s="528"/>
      <c r="LYS1590" s="528"/>
      <c r="LYT1590" s="528"/>
      <c r="LYU1590" s="528"/>
      <c r="LYV1590" s="528"/>
      <c r="LYW1590" s="528"/>
      <c r="LYX1590" s="528"/>
      <c r="LYY1590" s="528"/>
      <c r="LYZ1590" s="528"/>
      <c r="LZA1590" s="528"/>
      <c r="LZB1590" s="527"/>
      <c r="LZC1590" s="528"/>
      <c r="LZD1590" s="528"/>
      <c r="LZE1590" s="528"/>
      <c r="LZF1590" s="528"/>
      <c r="LZG1590" s="528"/>
      <c r="LZH1590" s="528"/>
      <c r="LZI1590" s="528"/>
      <c r="LZJ1590" s="528"/>
      <c r="LZK1590" s="528"/>
      <c r="LZL1590" s="528"/>
      <c r="LZM1590" s="527"/>
      <c r="LZN1590" s="528"/>
      <c r="LZO1590" s="528"/>
      <c r="LZP1590" s="528"/>
      <c r="LZQ1590" s="528"/>
      <c r="LZR1590" s="528"/>
      <c r="LZS1590" s="528"/>
      <c r="LZT1590" s="528"/>
      <c r="LZU1590" s="528"/>
      <c r="LZV1590" s="528"/>
      <c r="LZW1590" s="528"/>
      <c r="LZX1590" s="527"/>
      <c r="LZY1590" s="528"/>
      <c r="LZZ1590" s="528"/>
      <c r="MAA1590" s="528"/>
      <c r="MAB1590" s="528"/>
      <c r="MAC1590" s="528"/>
      <c r="MAD1590" s="528"/>
      <c r="MAE1590" s="528"/>
      <c r="MAF1590" s="528"/>
      <c r="MAG1590" s="528"/>
      <c r="MAH1590" s="528"/>
      <c r="MAI1590" s="527"/>
      <c r="MAJ1590" s="528"/>
      <c r="MAK1590" s="528"/>
      <c r="MAL1590" s="528"/>
      <c r="MAM1590" s="528"/>
      <c r="MAN1590" s="528"/>
      <c r="MAO1590" s="528"/>
      <c r="MAP1590" s="528"/>
      <c r="MAQ1590" s="528"/>
      <c r="MAR1590" s="528"/>
      <c r="MAS1590" s="528"/>
      <c r="MAT1590" s="527"/>
      <c r="MAU1590" s="528"/>
      <c r="MAV1590" s="528"/>
      <c r="MAW1590" s="528"/>
      <c r="MAX1590" s="528"/>
      <c r="MAY1590" s="528"/>
      <c r="MAZ1590" s="528"/>
      <c r="MBA1590" s="528"/>
      <c r="MBB1590" s="528"/>
      <c r="MBC1590" s="528"/>
      <c r="MBD1590" s="528"/>
      <c r="MBE1590" s="527"/>
      <c r="MBF1590" s="528"/>
      <c r="MBG1590" s="528"/>
      <c r="MBH1590" s="528"/>
      <c r="MBI1590" s="528"/>
      <c r="MBJ1590" s="528"/>
      <c r="MBK1590" s="528"/>
      <c r="MBL1590" s="528"/>
      <c r="MBM1590" s="528"/>
      <c r="MBN1590" s="528"/>
      <c r="MBO1590" s="528"/>
      <c r="MBP1590" s="527"/>
      <c r="MBQ1590" s="528"/>
      <c r="MBR1590" s="528"/>
      <c r="MBS1590" s="528"/>
      <c r="MBT1590" s="528"/>
      <c r="MBU1590" s="528"/>
      <c r="MBV1590" s="528"/>
      <c r="MBW1590" s="528"/>
      <c r="MBX1590" s="528"/>
      <c r="MBY1590" s="528"/>
      <c r="MBZ1590" s="528"/>
      <c r="MCA1590" s="527"/>
      <c r="MCB1590" s="528"/>
      <c r="MCC1590" s="528"/>
      <c r="MCD1590" s="528"/>
      <c r="MCE1590" s="528"/>
      <c r="MCF1590" s="528"/>
      <c r="MCG1590" s="528"/>
      <c r="MCH1590" s="528"/>
      <c r="MCI1590" s="528"/>
      <c r="MCJ1590" s="528"/>
      <c r="MCK1590" s="528"/>
      <c r="MCL1590" s="527"/>
      <c r="MCM1590" s="528"/>
      <c r="MCN1590" s="528"/>
      <c r="MCO1590" s="528"/>
      <c r="MCP1590" s="528"/>
      <c r="MCQ1590" s="528"/>
      <c r="MCR1590" s="528"/>
      <c r="MCS1590" s="528"/>
      <c r="MCT1590" s="528"/>
      <c r="MCU1590" s="528"/>
      <c r="MCV1590" s="528"/>
      <c r="MCW1590" s="527"/>
      <c r="MCX1590" s="528"/>
      <c r="MCY1590" s="528"/>
      <c r="MCZ1590" s="528"/>
      <c r="MDA1590" s="528"/>
      <c r="MDB1590" s="528"/>
      <c r="MDC1590" s="528"/>
      <c r="MDD1590" s="528"/>
      <c r="MDE1590" s="528"/>
      <c r="MDF1590" s="528"/>
      <c r="MDG1590" s="528"/>
      <c r="MDH1590" s="527"/>
      <c r="MDI1590" s="528"/>
      <c r="MDJ1590" s="528"/>
      <c r="MDK1590" s="528"/>
      <c r="MDL1590" s="528"/>
      <c r="MDM1590" s="528"/>
      <c r="MDN1590" s="528"/>
      <c r="MDO1590" s="528"/>
      <c r="MDP1590" s="528"/>
      <c r="MDQ1590" s="528"/>
      <c r="MDR1590" s="528"/>
      <c r="MDS1590" s="527"/>
      <c r="MDT1590" s="528"/>
      <c r="MDU1590" s="528"/>
      <c r="MDV1590" s="528"/>
      <c r="MDW1590" s="528"/>
      <c r="MDX1590" s="528"/>
      <c r="MDY1590" s="528"/>
      <c r="MDZ1590" s="528"/>
      <c r="MEA1590" s="528"/>
      <c r="MEB1590" s="528"/>
      <c r="MEC1590" s="528"/>
      <c r="MED1590" s="527"/>
      <c r="MEE1590" s="528"/>
      <c r="MEF1590" s="528"/>
      <c r="MEG1590" s="528"/>
      <c r="MEH1590" s="528"/>
      <c r="MEI1590" s="528"/>
      <c r="MEJ1590" s="528"/>
      <c r="MEK1590" s="528"/>
      <c r="MEL1590" s="528"/>
      <c r="MEM1590" s="528"/>
      <c r="MEN1590" s="528"/>
      <c r="MEO1590" s="527"/>
      <c r="MEP1590" s="528"/>
      <c r="MEQ1590" s="528"/>
      <c r="MER1590" s="528"/>
      <c r="MES1590" s="528"/>
      <c r="MET1590" s="528"/>
      <c r="MEU1590" s="528"/>
      <c r="MEV1590" s="528"/>
      <c r="MEW1590" s="528"/>
      <c r="MEX1590" s="528"/>
      <c r="MEY1590" s="528"/>
      <c r="MEZ1590" s="527"/>
      <c r="MFA1590" s="528"/>
      <c r="MFB1590" s="528"/>
      <c r="MFC1590" s="528"/>
      <c r="MFD1590" s="528"/>
      <c r="MFE1590" s="528"/>
      <c r="MFF1590" s="528"/>
      <c r="MFG1590" s="528"/>
      <c r="MFH1590" s="528"/>
      <c r="MFI1590" s="528"/>
      <c r="MFJ1590" s="528"/>
      <c r="MFK1590" s="527"/>
      <c r="MFL1590" s="528"/>
      <c r="MFM1590" s="528"/>
      <c r="MFN1590" s="528"/>
      <c r="MFO1590" s="528"/>
      <c r="MFP1590" s="528"/>
      <c r="MFQ1590" s="528"/>
      <c r="MFR1590" s="528"/>
      <c r="MFS1590" s="528"/>
      <c r="MFT1590" s="528"/>
      <c r="MFU1590" s="528"/>
      <c r="MFV1590" s="527"/>
      <c r="MFW1590" s="528"/>
      <c r="MFX1590" s="528"/>
      <c r="MFY1590" s="528"/>
      <c r="MFZ1590" s="528"/>
      <c r="MGA1590" s="528"/>
      <c r="MGB1590" s="528"/>
      <c r="MGC1590" s="528"/>
      <c r="MGD1590" s="528"/>
      <c r="MGE1590" s="528"/>
      <c r="MGF1590" s="528"/>
      <c r="MGG1590" s="527"/>
      <c r="MGH1590" s="528"/>
      <c r="MGI1590" s="528"/>
      <c r="MGJ1590" s="528"/>
      <c r="MGK1590" s="528"/>
      <c r="MGL1590" s="528"/>
      <c r="MGM1590" s="528"/>
      <c r="MGN1590" s="528"/>
      <c r="MGO1590" s="528"/>
      <c r="MGP1590" s="528"/>
      <c r="MGQ1590" s="528"/>
      <c r="MGR1590" s="527"/>
      <c r="MGS1590" s="528"/>
      <c r="MGT1590" s="528"/>
      <c r="MGU1590" s="528"/>
      <c r="MGV1590" s="528"/>
      <c r="MGW1590" s="528"/>
      <c r="MGX1590" s="528"/>
      <c r="MGY1590" s="528"/>
      <c r="MGZ1590" s="528"/>
      <c r="MHA1590" s="528"/>
      <c r="MHB1590" s="528"/>
      <c r="MHC1590" s="527"/>
      <c r="MHD1590" s="528"/>
      <c r="MHE1590" s="528"/>
      <c r="MHF1590" s="528"/>
      <c r="MHG1590" s="528"/>
      <c r="MHH1590" s="528"/>
      <c r="MHI1590" s="528"/>
      <c r="MHJ1590" s="528"/>
      <c r="MHK1590" s="528"/>
      <c r="MHL1590" s="528"/>
      <c r="MHM1590" s="528"/>
      <c r="MHN1590" s="527"/>
      <c r="MHO1590" s="528"/>
      <c r="MHP1590" s="528"/>
      <c r="MHQ1590" s="528"/>
      <c r="MHR1590" s="528"/>
      <c r="MHS1590" s="528"/>
      <c r="MHT1590" s="528"/>
      <c r="MHU1590" s="528"/>
      <c r="MHV1590" s="528"/>
      <c r="MHW1590" s="528"/>
      <c r="MHX1590" s="528"/>
      <c r="MHY1590" s="527"/>
      <c r="MHZ1590" s="528"/>
      <c r="MIA1590" s="528"/>
      <c r="MIB1590" s="528"/>
      <c r="MIC1590" s="528"/>
      <c r="MID1590" s="528"/>
      <c r="MIE1590" s="528"/>
      <c r="MIF1590" s="528"/>
      <c r="MIG1590" s="528"/>
      <c r="MIH1590" s="528"/>
      <c r="MII1590" s="528"/>
      <c r="MIJ1590" s="527"/>
      <c r="MIK1590" s="528"/>
      <c r="MIL1590" s="528"/>
      <c r="MIM1590" s="528"/>
      <c r="MIN1590" s="528"/>
      <c r="MIO1590" s="528"/>
      <c r="MIP1590" s="528"/>
      <c r="MIQ1590" s="528"/>
      <c r="MIR1590" s="528"/>
      <c r="MIS1590" s="528"/>
      <c r="MIT1590" s="528"/>
      <c r="MIU1590" s="527"/>
      <c r="MIV1590" s="528"/>
      <c r="MIW1590" s="528"/>
      <c r="MIX1590" s="528"/>
      <c r="MIY1590" s="528"/>
      <c r="MIZ1590" s="528"/>
      <c r="MJA1590" s="528"/>
      <c r="MJB1590" s="528"/>
      <c r="MJC1590" s="528"/>
      <c r="MJD1590" s="528"/>
      <c r="MJE1590" s="528"/>
      <c r="MJF1590" s="527"/>
      <c r="MJG1590" s="528"/>
      <c r="MJH1590" s="528"/>
      <c r="MJI1590" s="528"/>
      <c r="MJJ1590" s="528"/>
      <c r="MJK1590" s="528"/>
      <c r="MJL1590" s="528"/>
      <c r="MJM1590" s="528"/>
      <c r="MJN1590" s="528"/>
      <c r="MJO1590" s="528"/>
      <c r="MJP1590" s="528"/>
      <c r="MJQ1590" s="527"/>
      <c r="MJR1590" s="528"/>
      <c r="MJS1590" s="528"/>
      <c r="MJT1590" s="528"/>
      <c r="MJU1590" s="528"/>
      <c r="MJV1590" s="528"/>
      <c r="MJW1590" s="528"/>
      <c r="MJX1590" s="528"/>
      <c r="MJY1590" s="528"/>
      <c r="MJZ1590" s="528"/>
      <c r="MKA1590" s="528"/>
      <c r="MKB1590" s="527"/>
      <c r="MKC1590" s="528"/>
      <c r="MKD1590" s="528"/>
      <c r="MKE1590" s="528"/>
      <c r="MKF1590" s="528"/>
      <c r="MKG1590" s="528"/>
      <c r="MKH1590" s="528"/>
      <c r="MKI1590" s="528"/>
      <c r="MKJ1590" s="528"/>
      <c r="MKK1590" s="528"/>
      <c r="MKL1590" s="528"/>
      <c r="MKM1590" s="527"/>
      <c r="MKN1590" s="528"/>
      <c r="MKO1590" s="528"/>
      <c r="MKP1590" s="528"/>
      <c r="MKQ1590" s="528"/>
      <c r="MKR1590" s="528"/>
      <c r="MKS1590" s="528"/>
      <c r="MKT1590" s="528"/>
      <c r="MKU1590" s="528"/>
      <c r="MKV1590" s="528"/>
      <c r="MKW1590" s="528"/>
      <c r="MKX1590" s="527"/>
      <c r="MKY1590" s="528"/>
      <c r="MKZ1590" s="528"/>
      <c r="MLA1590" s="528"/>
      <c r="MLB1590" s="528"/>
      <c r="MLC1590" s="528"/>
      <c r="MLD1590" s="528"/>
      <c r="MLE1590" s="528"/>
      <c r="MLF1590" s="528"/>
      <c r="MLG1590" s="528"/>
      <c r="MLH1590" s="528"/>
      <c r="MLI1590" s="527"/>
      <c r="MLJ1590" s="528"/>
      <c r="MLK1590" s="528"/>
      <c r="MLL1590" s="528"/>
      <c r="MLM1590" s="528"/>
      <c r="MLN1590" s="528"/>
      <c r="MLO1590" s="528"/>
      <c r="MLP1590" s="528"/>
      <c r="MLQ1590" s="528"/>
      <c r="MLR1590" s="528"/>
      <c r="MLS1590" s="528"/>
      <c r="MLT1590" s="527"/>
      <c r="MLU1590" s="528"/>
      <c r="MLV1590" s="528"/>
      <c r="MLW1590" s="528"/>
      <c r="MLX1590" s="528"/>
      <c r="MLY1590" s="528"/>
      <c r="MLZ1590" s="528"/>
      <c r="MMA1590" s="528"/>
      <c r="MMB1590" s="528"/>
      <c r="MMC1590" s="528"/>
      <c r="MMD1590" s="528"/>
      <c r="MME1590" s="527"/>
      <c r="MMF1590" s="528"/>
      <c r="MMG1590" s="528"/>
      <c r="MMH1590" s="528"/>
      <c r="MMI1590" s="528"/>
      <c r="MMJ1590" s="528"/>
      <c r="MMK1590" s="528"/>
      <c r="MML1590" s="528"/>
      <c r="MMM1590" s="528"/>
      <c r="MMN1590" s="528"/>
      <c r="MMO1590" s="528"/>
      <c r="MMP1590" s="527"/>
      <c r="MMQ1590" s="528"/>
      <c r="MMR1590" s="528"/>
      <c r="MMS1590" s="528"/>
      <c r="MMT1590" s="528"/>
      <c r="MMU1590" s="528"/>
      <c r="MMV1590" s="528"/>
      <c r="MMW1590" s="528"/>
      <c r="MMX1590" s="528"/>
      <c r="MMY1590" s="528"/>
      <c r="MMZ1590" s="528"/>
      <c r="MNA1590" s="527"/>
      <c r="MNB1590" s="528"/>
      <c r="MNC1590" s="528"/>
      <c r="MND1590" s="528"/>
      <c r="MNE1590" s="528"/>
      <c r="MNF1590" s="528"/>
      <c r="MNG1590" s="528"/>
      <c r="MNH1590" s="528"/>
      <c r="MNI1590" s="528"/>
      <c r="MNJ1590" s="528"/>
      <c r="MNK1590" s="528"/>
      <c r="MNL1590" s="527"/>
      <c r="MNM1590" s="528"/>
      <c r="MNN1590" s="528"/>
      <c r="MNO1590" s="528"/>
      <c r="MNP1590" s="528"/>
      <c r="MNQ1590" s="528"/>
      <c r="MNR1590" s="528"/>
      <c r="MNS1590" s="528"/>
      <c r="MNT1590" s="528"/>
      <c r="MNU1590" s="528"/>
      <c r="MNV1590" s="528"/>
      <c r="MNW1590" s="527"/>
      <c r="MNX1590" s="528"/>
      <c r="MNY1590" s="528"/>
      <c r="MNZ1590" s="528"/>
      <c r="MOA1590" s="528"/>
      <c r="MOB1590" s="528"/>
      <c r="MOC1590" s="528"/>
      <c r="MOD1590" s="528"/>
      <c r="MOE1590" s="528"/>
      <c r="MOF1590" s="528"/>
      <c r="MOG1590" s="528"/>
      <c r="MOH1590" s="527"/>
      <c r="MOI1590" s="528"/>
      <c r="MOJ1590" s="528"/>
      <c r="MOK1590" s="528"/>
      <c r="MOL1590" s="528"/>
      <c r="MOM1590" s="528"/>
      <c r="MON1590" s="528"/>
      <c r="MOO1590" s="528"/>
      <c r="MOP1590" s="528"/>
      <c r="MOQ1590" s="528"/>
      <c r="MOR1590" s="528"/>
      <c r="MOS1590" s="527"/>
      <c r="MOT1590" s="528"/>
      <c r="MOU1590" s="528"/>
      <c r="MOV1590" s="528"/>
      <c r="MOW1590" s="528"/>
      <c r="MOX1590" s="528"/>
      <c r="MOY1590" s="528"/>
      <c r="MOZ1590" s="528"/>
      <c r="MPA1590" s="528"/>
      <c r="MPB1590" s="528"/>
      <c r="MPC1590" s="528"/>
      <c r="MPD1590" s="527"/>
      <c r="MPE1590" s="528"/>
      <c r="MPF1590" s="528"/>
      <c r="MPG1590" s="528"/>
      <c r="MPH1590" s="528"/>
      <c r="MPI1590" s="528"/>
      <c r="MPJ1590" s="528"/>
      <c r="MPK1590" s="528"/>
      <c r="MPL1590" s="528"/>
      <c r="MPM1590" s="528"/>
      <c r="MPN1590" s="528"/>
      <c r="MPO1590" s="527"/>
      <c r="MPP1590" s="528"/>
      <c r="MPQ1590" s="528"/>
      <c r="MPR1590" s="528"/>
      <c r="MPS1590" s="528"/>
      <c r="MPT1590" s="528"/>
      <c r="MPU1590" s="528"/>
      <c r="MPV1590" s="528"/>
      <c r="MPW1590" s="528"/>
      <c r="MPX1590" s="528"/>
      <c r="MPY1590" s="528"/>
      <c r="MPZ1590" s="527"/>
      <c r="MQA1590" s="528"/>
      <c r="MQB1590" s="528"/>
      <c r="MQC1590" s="528"/>
      <c r="MQD1590" s="528"/>
      <c r="MQE1590" s="528"/>
      <c r="MQF1590" s="528"/>
      <c r="MQG1590" s="528"/>
      <c r="MQH1590" s="528"/>
      <c r="MQI1590" s="528"/>
      <c r="MQJ1590" s="528"/>
      <c r="MQK1590" s="527"/>
      <c r="MQL1590" s="528"/>
      <c r="MQM1590" s="528"/>
      <c r="MQN1590" s="528"/>
      <c r="MQO1590" s="528"/>
      <c r="MQP1590" s="528"/>
      <c r="MQQ1590" s="528"/>
      <c r="MQR1590" s="528"/>
      <c r="MQS1590" s="528"/>
      <c r="MQT1590" s="528"/>
      <c r="MQU1590" s="528"/>
      <c r="MQV1590" s="527"/>
      <c r="MQW1590" s="528"/>
      <c r="MQX1590" s="528"/>
      <c r="MQY1590" s="528"/>
      <c r="MQZ1590" s="528"/>
      <c r="MRA1590" s="528"/>
      <c r="MRB1590" s="528"/>
      <c r="MRC1590" s="528"/>
      <c r="MRD1590" s="528"/>
      <c r="MRE1590" s="528"/>
      <c r="MRF1590" s="528"/>
      <c r="MRG1590" s="527"/>
      <c r="MRH1590" s="528"/>
      <c r="MRI1590" s="528"/>
      <c r="MRJ1590" s="528"/>
      <c r="MRK1590" s="528"/>
      <c r="MRL1590" s="528"/>
      <c r="MRM1590" s="528"/>
      <c r="MRN1590" s="528"/>
      <c r="MRO1590" s="528"/>
      <c r="MRP1590" s="528"/>
      <c r="MRQ1590" s="528"/>
      <c r="MRR1590" s="527"/>
      <c r="MRS1590" s="528"/>
      <c r="MRT1590" s="528"/>
      <c r="MRU1590" s="528"/>
      <c r="MRV1590" s="528"/>
      <c r="MRW1590" s="528"/>
      <c r="MRX1590" s="528"/>
      <c r="MRY1590" s="528"/>
      <c r="MRZ1590" s="528"/>
      <c r="MSA1590" s="528"/>
      <c r="MSB1590" s="528"/>
      <c r="MSC1590" s="527"/>
      <c r="MSD1590" s="528"/>
      <c r="MSE1590" s="528"/>
      <c r="MSF1590" s="528"/>
      <c r="MSG1590" s="528"/>
      <c r="MSH1590" s="528"/>
      <c r="MSI1590" s="528"/>
      <c r="MSJ1590" s="528"/>
      <c r="MSK1590" s="528"/>
      <c r="MSL1590" s="528"/>
      <c r="MSM1590" s="528"/>
      <c r="MSN1590" s="527"/>
      <c r="MSO1590" s="528"/>
      <c r="MSP1590" s="528"/>
      <c r="MSQ1590" s="528"/>
      <c r="MSR1590" s="528"/>
      <c r="MSS1590" s="528"/>
      <c r="MST1590" s="528"/>
      <c r="MSU1590" s="528"/>
      <c r="MSV1590" s="528"/>
      <c r="MSW1590" s="528"/>
      <c r="MSX1590" s="528"/>
      <c r="MSY1590" s="527"/>
      <c r="MSZ1590" s="528"/>
      <c r="MTA1590" s="528"/>
      <c r="MTB1590" s="528"/>
      <c r="MTC1590" s="528"/>
      <c r="MTD1590" s="528"/>
      <c r="MTE1590" s="528"/>
      <c r="MTF1590" s="528"/>
      <c r="MTG1590" s="528"/>
      <c r="MTH1590" s="528"/>
      <c r="MTI1590" s="528"/>
      <c r="MTJ1590" s="527"/>
      <c r="MTK1590" s="528"/>
      <c r="MTL1590" s="528"/>
      <c r="MTM1590" s="528"/>
      <c r="MTN1590" s="528"/>
      <c r="MTO1590" s="528"/>
      <c r="MTP1590" s="528"/>
      <c r="MTQ1590" s="528"/>
      <c r="MTR1590" s="528"/>
      <c r="MTS1590" s="528"/>
      <c r="MTT1590" s="528"/>
      <c r="MTU1590" s="527"/>
      <c r="MTV1590" s="528"/>
      <c r="MTW1590" s="528"/>
      <c r="MTX1590" s="528"/>
      <c r="MTY1590" s="528"/>
      <c r="MTZ1590" s="528"/>
      <c r="MUA1590" s="528"/>
      <c r="MUB1590" s="528"/>
      <c r="MUC1590" s="528"/>
      <c r="MUD1590" s="528"/>
      <c r="MUE1590" s="528"/>
      <c r="MUF1590" s="527"/>
      <c r="MUG1590" s="528"/>
      <c r="MUH1590" s="528"/>
      <c r="MUI1590" s="528"/>
      <c r="MUJ1590" s="528"/>
      <c r="MUK1590" s="528"/>
      <c r="MUL1590" s="528"/>
      <c r="MUM1590" s="528"/>
      <c r="MUN1590" s="528"/>
      <c r="MUO1590" s="528"/>
      <c r="MUP1590" s="528"/>
      <c r="MUQ1590" s="527"/>
      <c r="MUR1590" s="528"/>
      <c r="MUS1590" s="528"/>
      <c r="MUT1590" s="528"/>
      <c r="MUU1590" s="528"/>
      <c r="MUV1590" s="528"/>
      <c r="MUW1590" s="528"/>
      <c r="MUX1590" s="528"/>
      <c r="MUY1590" s="528"/>
      <c r="MUZ1590" s="528"/>
      <c r="MVA1590" s="528"/>
      <c r="MVB1590" s="527"/>
      <c r="MVC1590" s="528"/>
      <c r="MVD1590" s="528"/>
      <c r="MVE1590" s="528"/>
      <c r="MVF1590" s="528"/>
      <c r="MVG1590" s="528"/>
      <c r="MVH1590" s="528"/>
      <c r="MVI1590" s="528"/>
      <c r="MVJ1590" s="528"/>
      <c r="MVK1590" s="528"/>
      <c r="MVL1590" s="528"/>
      <c r="MVM1590" s="527"/>
      <c r="MVN1590" s="528"/>
      <c r="MVO1590" s="528"/>
      <c r="MVP1590" s="528"/>
      <c r="MVQ1590" s="528"/>
      <c r="MVR1590" s="528"/>
      <c r="MVS1590" s="528"/>
      <c r="MVT1590" s="528"/>
      <c r="MVU1590" s="528"/>
      <c r="MVV1590" s="528"/>
      <c r="MVW1590" s="528"/>
      <c r="MVX1590" s="527"/>
      <c r="MVY1590" s="528"/>
      <c r="MVZ1590" s="528"/>
      <c r="MWA1590" s="528"/>
      <c r="MWB1590" s="528"/>
      <c r="MWC1590" s="528"/>
      <c r="MWD1590" s="528"/>
      <c r="MWE1590" s="528"/>
      <c r="MWF1590" s="528"/>
      <c r="MWG1590" s="528"/>
      <c r="MWH1590" s="528"/>
      <c r="MWI1590" s="527"/>
      <c r="MWJ1590" s="528"/>
      <c r="MWK1590" s="528"/>
      <c r="MWL1590" s="528"/>
      <c r="MWM1590" s="528"/>
      <c r="MWN1590" s="528"/>
      <c r="MWO1590" s="528"/>
      <c r="MWP1590" s="528"/>
      <c r="MWQ1590" s="528"/>
      <c r="MWR1590" s="528"/>
      <c r="MWS1590" s="528"/>
      <c r="MWT1590" s="527"/>
      <c r="MWU1590" s="528"/>
      <c r="MWV1590" s="528"/>
      <c r="MWW1590" s="528"/>
      <c r="MWX1590" s="528"/>
      <c r="MWY1590" s="528"/>
      <c r="MWZ1590" s="528"/>
      <c r="MXA1590" s="528"/>
      <c r="MXB1590" s="528"/>
      <c r="MXC1590" s="528"/>
      <c r="MXD1590" s="528"/>
      <c r="MXE1590" s="527"/>
      <c r="MXF1590" s="528"/>
      <c r="MXG1590" s="528"/>
      <c r="MXH1590" s="528"/>
      <c r="MXI1590" s="528"/>
      <c r="MXJ1590" s="528"/>
      <c r="MXK1590" s="528"/>
      <c r="MXL1590" s="528"/>
      <c r="MXM1590" s="528"/>
      <c r="MXN1590" s="528"/>
      <c r="MXO1590" s="528"/>
      <c r="MXP1590" s="527"/>
      <c r="MXQ1590" s="528"/>
      <c r="MXR1590" s="528"/>
      <c r="MXS1590" s="528"/>
      <c r="MXT1590" s="528"/>
      <c r="MXU1590" s="528"/>
      <c r="MXV1590" s="528"/>
      <c r="MXW1590" s="528"/>
      <c r="MXX1590" s="528"/>
      <c r="MXY1590" s="528"/>
      <c r="MXZ1590" s="528"/>
      <c r="MYA1590" s="527"/>
      <c r="MYB1590" s="528"/>
      <c r="MYC1590" s="528"/>
      <c r="MYD1590" s="528"/>
      <c r="MYE1590" s="528"/>
      <c r="MYF1590" s="528"/>
      <c r="MYG1590" s="528"/>
      <c r="MYH1590" s="528"/>
      <c r="MYI1590" s="528"/>
      <c r="MYJ1590" s="528"/>
      <c r="MYK1590" s="528"/>
      <c r="MYL1590" s="527"/>
      <c r="MYM1590" s="528"/>
      <c r="MYN1590" s="528"/>
      <c r="MYO1590" s="528"/>
      <c r="MYP1590" s="528"/>
      <c r="MYQ1590" s="528"/>
      <c r="MYR1590" s="528"/>
      <c r="MYS1590" s="528"/>
      <c r="MYT1590" s="528"/>
      <c r="MYU1590" s="528"/>
      <c r="MYV1590" s="528"/>
      <c r="MYW1590" s="527"/>
      <c r="MYX1590" s="528"/>
      <c r="MYY1590" s="528"/>
      <c r="MYZ1590" s="528"/>
      <c r="MZA1590" s="528"/>
      <c r="MZB1590" s="528"/>
      <c r="MZC1590" s="528"/>
      <c r="MZD1590" s="528"/>
      <c r="MZE1590" s="528"/>
      <c r="MZF1590" s="528"/>
      <c r="MZG1590" s="528"/>
      <c r="MZH1590" s="527"/>
      <c r="MZI1590" s="528"/>
      <c r="MZJ1590" s="528"/>
      <c r="MZK1590" s="528"/>
      <c r="MZL1590" s="528"/>
      <c r="MZM1590" s="528"/>
      <c r="MZN1590" s="528"/>
      <c r="MZO1590" s="528"/>
      <c r="MZP1590" s="528"/>
      <c r="MZQ1590" s="528"/>
      <c r="MZR1590" s="528"/>
      <c r="MZS1590" s="527"/>
      <c r="MZT1590" s="528"/>
      <c r="MZU1590" s="528"/>
      <c r="MZV1590" s="528"/>
      <c r="MZW1590" s="528"/>
      <c r="MZX1590" s="528"/>
      <c r="MZY1590" s="528"/>
      <c r="MZZ1590" s="528"/>
      <c r="NAA1590" s="528"/>
      <c r="NAB1590" s="528"/>
      <c r="NAC1590" s="528"/>
      <c r="NAD1590" s="527"/>
      <c r="NAE1590" s="528"/>
      <c r="NAF1590" s="528"/>
      <c r="NAG1590" s="528"/>
      <c r="NAH1590" s="528"/>
      <c r="NAI1590" s="528"/>
      <c r="NAJ1590" s="528"/>
      <c r="NAK1590" s="528"/>
      <c r="NAL1590" s="528"/>
      <c r="NAM1590" s="528"/>
      <c r="NAN1590" s="528"/>
      <c r="NAO1590" s="527"/>
      <c r="NAP1590" s="528"/>
      <c r="NAQ1590" s="528"/>
      <c r="NAR1590" s="528"/>
      <c r="NAS1590" s="528"/>
      <c r="NAT1590" s="528"/>
      <c r="NAU1590" s="528"/>
      <c r="NAV1590" s="528"/>
      <c r="NAW1590" s="528"/>
      <c r="NAX1590" s="528"/>
      <c r="NAY1590" s="528"/>
      <c r="NAZ1590" s="527"/>
      <c r="NBA1590" s="528"/>
      <c r="NBB1590" s="528"/>
      <c r="NBC1590" s="528"/>
      <c r="NBD1590" s="528"/>
      <c r="NBE1590" s="528"/>
      <c r="NBF1590" s="528"/>
      <c r="NBG1590" s="528"/>
      <c r="NBH1590" s="528"/>
      <c r="NBI1590" s="528"/>
      <c r="NBJ1590" s="528"/>
      <c r="NBK1590" s="527"/>
      <c r="NBL1590" s="528"/>
      <c r="NBM1590" s="528"/>
      <c r="NBN1590" s="528"/>
      <c r="NBO1590" s="528"/>
      <c r="NBP1590" s="528"/>
      <c r="NBQ1590" s="528"/>
      <c r="NBR1590" s="528"/>
      <c r="NBS1590" s="528"/>
      <c r="NBT1590" s="528"/>
      <c r="NBU1590" s="528"/>
      <c r="NBV1590" s="527"/>
      <c r="NBW1590" s="528"/>
      <c r="NBX1590" s="528"/>
      <c r="NBY1590" s="528"/>
      <c r="NBZ1590" s="528"/>
      <c r="NCA1590" s="528"/>
      <c r="NCB1590" s="528"/>
      <c r="NCC1590" s="528"/>
      <c r="NCD1590" s="528"/>
      <c r="NCE1590" s="528"/>
      <c r="NCF1590" s="528"/>
      <c r="NCG1590" s="527"/>
      <c r="NCH1590" s="528"/>
      <c r="NCI1590" s="528"/>
      <c r="NCJ1590" s="528"/>
      <c r="NCK1590" s="528"/>
      <c r="NCL1590" s="528"/>
      <c r="NCM1590" s="528"/>
      <c r="NCN1590" s="528"/>
      <c r="NCO1590" s="528"/>
      <c r="NCP1590" s="528"/>
      <c r="NCQ1590" s="528"/>
      <c r="NCR1590" s="527"/>
      <c r="NCS1590" s="528"/>
      <c r="NCT1590" s="528"/>
      <c r="NCU1590" s="528"/>
      <c r="NCV1590" s="528"/>
      <c r="NCW1590" s="528"/>
      <c r="NCX1590" s="528"/>
      <c r="NCY1590" s="528"/>
      <c r="NCZ1590" s="528"/>
      <c r="NDA1590" s="528"/>
      <c r="NDB1590" s="528"/>
      <c r="NDC1590" s="527"/>
      <c r="NDD1590" s="528"/>
      <c r="NDE1590" s="528"/>
      <c r="NDF1590" s="528"/>
      <c r="NDG1590" s="528"/>
      <c r="NDH1590" s="528"/>
      <c r="NDI1590" s="528"/>
      <c r="NDJ1590" s="528"/>
      <c r="NDK1590" s="528"/>
      <c r="NDL1590" s="528"/>
      <c r="NDM1590" s="528"/>
      <c r="NDN1590" s="527"/>
      <c r="NDO1590" s="528"/>
      <c r="NDP1590" s="528"/>
      <c r="NDQ1590" s="528"/>
      <c r="NDR1590" s="528"/>
      <c r="NDS1590" s="528"/>
      <c r="NDT1590" s="528"/>
      <c r="NDU1590" s="528"/>
      <c r="NDV1590" s="528"/>
      <c r="NDW1590" s="528"/>
      <c r="NDX1590" s="528"/>
      <c r="NDY1590" s="527"/>
      <c r="NDZ1590" s="528"/>
      <c r="NEA1590" s="528"/>
      <c r="NEB1590" s="528"/>
      <c r="NEC1590" s="528"/>
      <c r="NED1590" s="528"/>
      <c r="NEE1590" s="528"/>
      <c r="NEF1590" s="528"/>
      <c r="NEG1590" s="528"/>
      <c r="NEH1590" s="528"/>
      <c r="NEI1590" s="528"/>
      <c r="NEJ1590" s="527"/>
      <c r="NEK1590" s="528"/>
      <c r="NEL1590" s="528"/>
      <c r="NEM1590" s="528"/>
      <c r="NEN1590" s="528"/>
      <c r="NEO1590" s="528"/>
      <c r="NEP1590" s="528"/>
      <c r="NEQ1590" s="528"/>
      <c r="NER1590" s="528"/>
      <c r="NES1590" s="528"/>
      <c r="NET1590" s="528"/>
      <c r="NEU1590" s="527"/>
      <c r="NEV1590" s="528"/>
      <c r="NEW1590" s="528"/>
      <c r="NEX1590" s="528"/>
      <c r="NEY1590" s="528"/>
      <c r="NEZ1590" s="528"/>
      <c r="NFA1590" s="528"/>
      <c r="NFB1590" s="528"/>
      <c r="NFC1590" s="528"/>
      <c r="NFD1590" s="528"/>
      <c r="NFE1590" s="528"/>
      <c r="NFF1590" s="527"/>
      <c r="NFG1590" s="528"/>
      <c r="NFH1590" s="528"/>
      <c r="NFI1590" s="528"/>
      <c r="NFJ1590" s="528"/>
      <c r="NFK1590" s="528"/>
      <c r="NFL1590" s="528"/>
      <c r="NFM1590" s="528"/>
      <c r="NFN1590" s="528"/>
      <c r="NFO1590" s="528"/>
      <c r="NFP1590" s="528"/>
      <c r="NFQ1590" s="527"/>
      <c r="NFR1590" s="528"/>
      <c r="NFS1590" s="528"/>
      <c r="NFT1590" s="528"/>
      <c r="NFU1590" s="528"/>
      <c r="NFV1590" s="528"/>
      <c r="NFW1590" s="528"/>
      <c r="NFX1590" s="528"/>
      <c r="NFY1590" s="528"/>
      <c r="NFZ1590" s="528"/>
      <c r="NGA1590" s="528"/>
      <c r="NGB1590" s="527"/>
      <c r="NGC1590" s="528"/>
      <c r="NGD1590" s="528"/>
      <c r="NGE1590" s="528"/>
      <c r="NGF1590" s="528"/>
      <c r="NGG1590" s="528"/>
      <c r="NGH1590" s="528"/>
      <c r="NGI1590" s="528"/>
      <c r="NGJ1590" s="528"/>
      <c r="NGK1590" s="528"/>
      <c r="NGL1590" s="528"/>
      <c r="NGM1590" s="527"/>
      <c r="NGN1590" s="528"/>
      <c r="NGO1590" s="528"/>
      <c r="NGP1590" s="528"/>
      <c r="NGQ1590" s="528"/>
      <c r="NGR1590" s="528"/>
      <c r="NGS1590" s="528"/>
      <c r="NGT1590" s="528"/>
      <c r="NGU1590" s="528"/>
      <c r="NGV1590" s="528"/>
      <c r="NGW1590" s="528"/>
      <c r="NGX1590" s="527"/>
      <c r="NGY1590" s="528"/>
      <c r="NGZ1590" s="528"/>
      <c r="NHA1590" s="528"/>
      <c r="NHB1590" s="528"/>
      <c r="NHC1590" s="528"/>
      <c r="NHD1590" s="528"/>
      <c r="NHE1590" s="528"/>
      <c r="NHF1590" s="528"/>
      <c r="NHG1590" s="528"/>
      <c r="NHH1590" s="528"/>
      <c r="NHI1590" s="527"/>
      <c r="NHJ1590" s="528"/>
      <c r="NHK1590" s="528"/>
      <c r="NHL1590" s="528"/>
      <c r="NHM1590" s="528"/>
      <c r="NHN1590" s="528"/>
      <c r="NHO1590" s="528"/>
      <c r="NHP1590" s="528"/>
      <c r="NHQ1590" s="528"/>
      <c r="NHR1590" s="528"/>
      <c r="NHS1590" s="528"/>
      <c r="NHT1590" s="527"/>
      <c r="NHU1590" s="528"/>
      <c r="NHV1590" s="528"/>
      <c r="NHW1590" s="528"/>
      <c r="NHX1590" s="528"/>
      <c r="NHY1590" s="528"/>
      <c r="NHZ1590" s="528"/>
      <c r="NIA1590" s="528"/>
      <c r="NIB1590" s="528"/>
      <c r="NIC1590" s="528"/>
      <c r="NID1590" s="528"/>
      <c r="NIE1590" s="527"/>
      <c r="NIF1590" s="528"/>
      <c r="NIG1590" s="528"/>
      <c r="NIH1590" s="528"/>
      <c r="NII1590" s="528"/>
      <c r="NIJ1590" s="528"/>
      <c r="NIK1590" s="528"/>
      <c r="NIL1590" s="528"/>
      <c r="NIM1590" s="528"/>
      <c r="NIN1590" s="528"/>
      <c r="NIO1590" s="528"/>
      <c r="NIP1590" s="527"/>
      <c r="NIQ1590" s="528"/>
      <c r="NIR1590" s="528"/>
      <c r="NIS1590" s="528"/>
      <c r="NIT1590" s="528"/>
      <c r="NIU1590" s="528"/>
      <c r="NIV1590" s="528"/>
      <c r="NIW1590" s="528"/>
      <c r="NIX1590" s="528"/>
      <c r="NIY1590" s="528"/>
      <c r="NIZ1590" s="528"/>
      <c r="NJA1590" s="527"/>
      <c r="NJB1590" s="528"/>
      <c r="NJC1590" s="528"/>
      <c r="NJD1590" s="528"/>
      <c r="NJE1590" s="528"/>
      <c r="NJF1590" s="528"/>
      <c r="NJG1590" s="528"/>
      <c r="NJH1590" s="528"/>
      <c r="NJI1590" s="528"/>
      <c r="NJJ1590" s="528"/>
      <c r="NJK1590" s="528"/>
      <c r="NJL1590" s="527"/>
      <c r="NJM1590" s="528"/>
      <c r="NJN1590" s="528"/>
      <c r="NJO1590" s="528"/>
      <c r="NJP1590" s="528"/>
      <c r="NJQ1590" s="528"/>
      <c r="NJR1590" s="528"/>
      <c r="NJS1590" s="528"/>
      <c r="NJT1590" s="528"/>
      <c r="NJU1590" s="528"/>
      <c r="NJV1590" s="528"/>
      <c r="NJW1590" s="527"/>
      <c r="NJX1590" s="528"/>
      <c r="NJY1590" s="528"/>
      <c r="NJZ1590" s="528"/>
      <c r="NKA1590" s="528"/>
      <c r="NKB1590" s="528"/>
      <c r="NKC1590" s="528"/>
      <c r="NKD1590" s="528"/>
      <c r="NKE1590" s="528"/>
      <c r="NKF1590" s="528"/>
      <c r="NKG1590" s="528"/>
      <c r="NKH1590" s="527"/>
      <c r="NKI1590" s="528"/>
      <c r="NKJ1590" s="528"/>
      <c r="NKK1590" s="528"/>
      <c r="NKL1590" s="528"/>
      <c r="NKM1590" s="528"/>
      <c r="NKN1590" s="528"/>
      <c r="NKO1590" s="528"/>
      <c r="NKP1590" s="528"/>
      <c r="NKQ1590" s="528"/>
      <c r="NKR1590" s="528"/>
      <c r="NKS1590" s="527"/>
      <c r="NKT1590" s="528"/>
      <c r="NKU1590" s="528"/>
      <c r="NKV1590" s="528"/>
      <c r="NKW1590" s="528"/>
      <c r="NKX1590" s="528"/>
      <c r="NKY1590" s="528"/>
      <c r="NKZ1590" s="528"/>
      <c r="NLA1590" s="528"/>
      <c r="NLB1590" s="528"/>
      <c r="NLC1590" s="528"/>
      <c r="NLD1590" s="527"/>
      <c r="NLE1590" s="528"/>
      <c r="NLF1590" s="528"/>
      <c r="NLG1590" s="528"/>
      <c r="NLH1590" s="528"/>
      <c r="NLI1590" s="528"/>
      <c r="NLJ1590" s="528"/>
      <c r="NLK1590" s="528"/>
      <c r="NLL1590" s="528"/>
      <c r="NLM1590" s="528"/>
      <c r="NLN1590" s="528"/>
      <c r="NLO1590" s="527"/>
      <c r="NLP1590" s="528"/>
      <c r="NLQ1590" s="528"/>
      <c r="NLR1590" s="528"/>
      <c r="NLS1590" s="528"/>
      <c r="NLT1590" s="528"/>
      <c r="NLU1590" s="528"/>
      <c r="NLV1590" s="528"/>
      <c r="NLW1590" s="528"/>
      <c r="NLX1590" s="528"/>
      <c r="NLY1590" s="528"/>
      <c r="NLZ1590" s="527"/>
      <c r="NMA1590" s="528"/>
      <c r="NMB1590" s="528"/>
      <c r="NMC1590" s="528"/>
      <c r="NMD1590" s="528"/>
      <c r="NME1590" s="528"/>
      <c r="NMF1590" s="528"/>
      <c r="NMG1590" s="528"/>
      <c r="NMH1590" s="528"/>
      <c r="NMI1590" s="528"/>
      <c r="NMJ1590" s="528"/>
      <c r="NMK1590" s="527"/>
      <c r="NML1590" s="528"/>
      <c r="NMM1590" s="528"/>
      <c r="NMN1590" s="528"/>
      <c r="NMO1590" s="528"/>
      <c r="NMP1590" s="528"/>
      <c r="NMQ1590" s="528"/>
      <c r="NMR1590" s="528"/>
      <c r="NMS1590" s="528"/>
      <c r="NMT1590" s="528"/>
      <c r="NMU1590" s="528"/>
      <c r="NMV1590" s="527"/>
      <c r="NMW1590" s="528"/>
      <c r="NMX1590" s="528"/>
      <c r="NMY1590" s="528"/>
      <c r="NMZ1590" s="528"/>
      <c r="NNA1590" s="528"/>
      <c r="NNB1590" s="528"/>
      <c r="NNC1590" s="528"/>
      <c r="NND1590" s="528"/>
      <c r="NNE1590" s="528"/>
      <c r="NNF1590" s="528"/>
      <c r="NNG1590" s="527"/>
      <c r="NNH1590" s="528"/>
      <c r="NNI1590" s="528"/>
      <c r="NNJ1590" s="528"/>
      <c r="NNK1590" s="528"/>
      <c r="NNL1590" s="528"/>
      <c r="NNM1590" s="528"/>
      <c r="NNN1590" s="528"/>
      <c r="NNO1590" s="528"/>
      <c r="NNP1590" s="528"/>
      <c r="NNQ1590" s="528"/>
      <c r="NNR1590" s="527"/>
      <c r="NNS1590" s="528"/>
      <c r="NNT1590" s="528"/>
      <c r="NNU1590" s="528"/>
      <c r="NNV1590" s="528"/>
      <c r="NNW1590" s="528"/>
      <c r="NNX1590" s="528"/>
      <c r="NNY1590" s="528"/>
      <c r="NNZ1590" s="528"/>
      <c r="NOA1590" s="528"/>
      <c r="NOB1590" s="528"/>
      <c r="NOC1590" s="527"/>
      <c r="NOD1590" s="528"/>
      <c r="NOE1590" s="528"/>
      <c r="NOF1590" s="528"/>
      <c r="NOG1590" s="528"/>
      <c r="NOH1590" s="528"/>
      <c r="NOI1590" s="528"/>
      <c r="NOJ1590" s="528"/>
      <c r="NOK1590" s="528"/>
      <c r="NOL1590" s="528"/>
      <c r="NOM1590" s="528"/>
      <c r="NON1590" s="527"/>
      <c r="NOO1590" s="528"/>
      <c r="NOP1590" s="528"/>
      <c r="NOQ1590" s="528"/>
      <c r="NOR1590" s="528"/>
      <c r="NOS1590" s="528"/>
      <c r="NOT1590" s="528"/>
      <c r="NOU1590" s="528"/>
      <c r="NOV1590" s="528"/>
      <c r="NOW1590" s="528"/>
      <c r="NOX1590" s="528"/>
      <c r="NOY1590" s="527"/>
      <c r="NOZ1590" s="528"/>
      <c r="NPA1590" s="528"/>
      <c r="NPB1590" s="528"/>
      <c r="NPC1590" s="528"/>
      <c r="NPD1590" s="528"/>
      <c r="NPE1590" s="528"/>
      <c r="NPF1590" s="528"/>
      <c r="NPG1590" s="528"/>
      <c r="NPH1590" s="528"/>
      <c r="NPI1590" s="528"/>
      <c r="NPJ1590" s="527"/>
      <c r="NPK1590" s="528"/>
      <c r="NPL1590" s="528"/>
      <c r="NPM1590" s="528"/>
      <c r="NPN1590" s="528"/>
      <c r="NPO1590" s="528"/>
      <c r="NPP1590" s="528"/>
      <c r="NPQ1590" s="528"/>
      <c r="NPR1590" s="528"/>
      <c r="NPS1590" s="528"/>
      <c r="NPT1590" s="528"/>
      <c r="NPU1590" s="527"/>
      <c r="NPV1590" s="528"/>
      <c r="NPW1590" s="528"/>
      <c r="NPX1590" s="528"/>
      <c r="NPY1590" s="528"/>
      <c r="NPZ1590" s="528"/>
      <c r="NQA1590" s="528"/>
      <c r="NQB1590" s="528"/>
      <c r="NQC1590" s="528"/>
      <c r="NQD1590" s="528"/>
      <c r="NQE1590" s="528"/>
      <c r="NQF1590" s="527"/>
      <c r="NQG1590" s="528"/>
      <c r="NQH1590" s="528"/>
      <c r="NQI1590" s="528"/>
      <c r="NQJ1590" s="528"/>
      <c r="NQK1590" s="528"/>
      <c r="NQL1590" s="528"/>
      <c r="NQM1590" s="528"/>
      <c r="NQN1590" s="528"/>
      <c r="NQO1590" s="528"/>
      <c r="NQP1590" s="528"/>
      <c r="NQQ1590" s="527"/>
      <c r="NQR1590" s="528"/>
      <c r="NQS1590" s="528"/>
      <c r="NQT1590" s="528"/>
      <c r="NQU1590" s="528"/>
      <c r="NQV1590" s="528"/>
      <c r="NQW1590" s="528"/>
      <c r="NQX1590" s="528"/>
      <c r="NQY1590" s="528"/>
      <c r="NQZ1590" s="528"/>
      <c r="NRA1590" s="528"/>
      <c r="NRB1590" s="527"/>
      <c r="NRC1590" s="528"/>
      <c r="NRD1590" s="528"/>
      <c r="NRE1590" s="528"/>
      <c r="NRF1590" s="528"/>
      <c r="NRG1590" s="528"/>
      <c r="NRH1590" s="528"/>
      <c r="NRI1590" s="528"/>
      <c r="NRJ1590" s="528"/>
      <c r="NRK1590" s="528"/>
      <c r="NRL1590" s="528"/>
      <c r="NRM1590" s="527"/>
      <c r="NRN1590" s="528"/>
      <c r="NRO1590" s="528"/>
      <c r="NRP1590" s="528"/>
      <c r="NRQ1590" s="528"/>
      <c r="NRR1590" s="528"/>
      <c r="NRS1590" s="528"/>
      <c r="NRT1590" s="528"/>
      <c r="NRU1590" s="528"/>
      <c r="NRV1590" s="528"/>
      <c r="NRW1590" s="528"/>
      <c r="NRX1590" s="527"/>
      <c r="NRY1590" s="528"/>
      <c r="NRZ1590" s="528"/>
      <c r="NSA1590" s="528"/>
      <c r="NSB1590" s="528"/>
      <c r="NSC1590" s="528"/>
      <c r="NSD1590" s="528"/>
      <c r="NSE1590" s="528"/>
      <c r="NSF1590" s="528"/>
      <c r="NSG1590" s="528"/>
      <c r="NSH1590" s="528"/>
      <c r="NSI1590" s="527"/>
      <c r="NSJ1590" s="528"/>
      <c r="NSK1590" s="528"/>
      <c r="NSL1590" s="528"/>
      <c r="NSM1590" s="528"/>
      <c r="NSN1590" s="528"/>
      <c r="NSO1590" s="528"/>
      <c r="NSP1590" s="528"/>
      <c r="NSQ1590" s="528"/>
      <c r="NSR1590" s="528"/>
      <c r="NSS1590" s="528"/>
      <c r="NST1590" s="527"/>
      <c r="NSU1590" s="528"/>
      <c r="NSV1590" s="528"/>
      <c r="NSW1590" s="528"/>
      <c r="NSX1590" s="528"/>
      <c r="NSY1590" s="528"/>
      <c r="NSZ1590" s="528"/>
      <c r="NTA1590" s="528"/>
      <c r="NTB1590" s="528"/>
      <c r="NTC1590" s="528"/>
      <c r="NTD1590" s="528"/>
      <c r="NTE1590" s="527"/>
      <c r="NTF1590" s="528"/>
      <c r="NTG1590" s="528"/>
      <c r="NTH1590" s="528"/>
      <c r="NTI1590" s="528"/>
      <c r="NTJ1590" s="528"/>
      <c r="NTK1590" s="528"/>
      <c r="NTL1590" s="528"/>
      <c r="NTM1590" s="528"/>
      <c r="NTN1590" s="528"/>
      <c r="NTO1590" s="528"/>
      <c r="NTP1590" s="527"/>
      <c r="NTQ1590" s="528"/>
      <c r="NTR1590" s="528"/>
      <c r="NTS1590" s="528"/>
      <c r="NTT1590" s="528"/>
      <c r="NTU1590" s="528"/>
      <c r="NTV1590" s="528"/>
      <c r="NTW1590" s="528"/>
      <c r="NTX1590" s="528"/>
      <c r="NTY1590" s="528"/>
      <c r="NTZ1590" s="528"/>
      <c r="NUA1590" s="527"/>
      <c r="NUB1590" s="528"/>
      <c r="NUC1590" s="528"/>
      <c r="NUD1590" s="528"/>
      <c r="NUE1590" s="528"/>
      <c r="NUF1590" s="528"/>
      <c r="NUG1590" s="528"/>
      <c r="NUH1590" s="528"/>
      <c r="NUI1590" s="528"/>
      <c r="NUJ1590" s="528"/>
      <c r="NUK1590" s="528"/>
      <c r="NUL1590" s="527"/>
      <c r="NUM1590" s="528"/>
      <c r="NUN1590" s="528"/>
      <c r="NUO1590" s="528"/>
      <c r="NUP1590" s="528"/>
      <c r="NUQ1590" s="528"/>
      <c r="NUR1590" s="528"/>
      <c r="NUS1590" s="528"/>
      <c r="NUT1590" s="528"/>
      <c r="NUU1590" s="528"/>
      <c r="NUV1590" s="528"/>
      <c r="NUW1590" s="527"/>
      <c r="NUX1590" s="528"/>
      <c r="NUY1590" s="528"/>
      <c r="NUZ1590" s="528"/>
      <c r="NVA1590" s="528"/>
      <c r="NVB1590" s="528"/>
      <c r="NVC1590" s="528"/>
      <c r="NVD1590" s="528"/>
      <c r="NVE1590" s="528"/>
      <c r="NVF1590" s="528"/>
      <c r="NVG1590" s="528"/>
      <c r="NVH1590" s="527"/>
      <c r="NVI1590" s="528"/>
      <c r="NVJ1590" s="528"/>
      <c r="NVK1590" s="528"/>
      <c r="NVL1590" s="528"/>
      <c r="NVM1590" s="528"/>
      <c r="NVN1590" s="528"/>
      <c r="NVO1590" s="528"/>
      <c r="NVP1590" s="528"/>
      <c r="NVQ1590" s="528"/>
      <c r="NVR1590" s="528"/>
      <c r="NVS1590" s="527"/>
      <c r="NVT1590" s="528"/>
      <c r="NVU1590" s="528"/>
      <c r="NVV1590" s="528"/>
      <c r="NVW1590" s="528"/>
      <c r="NVX1590" s="528"/>
      <c r="NVY1590" s="528"/>
      <c r="NVZ1590" s="528"/>
      <c r="NWA1590" s="528"/>
      <c r="NWB1590" s="528"/>
      <c r="NWC1590" s="528"/>
      <c r="NWD1590" s="527"/>
      <c r="NWE1590" s="528"/>
      <c r="NWF1590" s="528"/>
      <c r="NWG1590" s="528"/>
      <c r="NWH1590" s="528"/>
      <c r="NWI1590" s="528"/>
      <c r="NWJ1590" s="528"/>
      <c r="NWK1590" s="528"/>
      <c r="NWL1590" s="528"/>
      <c r="NWM1590" s="528"/>
      <c r="NWN1590" s="528"/>
      <c r="NWO1590" s="527"/>
      <c r="NWP1590" s="528"/>
      <c r="NWQ1590" s="528"/>
      <c r="NWR1590" s="528"/>
      <c r="NWS1590" s="528"/>
      <c r="NWT1590" s="528"/>
      <c r="NWU1590" s="528"/>
      <c r="NWV1590" s="528"/>
      <c r="NWW1590" s="528"/>
      <c r="NWX1590" s="528"/>
      <c r="NWY1590" s="528"/>
      <c r="NWZ1590" s="527"/>
      <c r="NXA1590" s="528"/>
      <c r="NXB1590" s="528"/>
      <c r="NXC1590" s="528"/>
      <c r="NXD1590" s="528"/>
      <c r="NXE1590" s="528"/>
      <c r="NXF1590" s="528"/>
      <c r="NXG1590" s="528"/>
      <c r="NXH1590" s="528"/>
      <c r="NXI1590" s="528"/>
      <c r="NXJ1590" s="528"/>
      <c r="NXK1590" s="527"/>
      <c r="NXL1590" s="528"/>
      <c r="NXM1590" s="528"/>
      <c r="NXN1590" s="528"/>
      <c r="NXO1590" s="528"/>
      <c r="NXP1590" s="528"/>
      <c r="NXQ1590" s="528"/>
      <c r="NXR1590" s="528"/>
      <c r="NXS1590" s="528"/>
      <c r="NXT1590" s="528"/>
      <c r="NXU1590" s="528"/>
      <c r="NXV1590" s="527"/>
      <c r="NXW1590" s="528"/>
      <c r="NXX1590" s="528"/>
      <c r="NXY1590" s="528"/>
      <c r="NXZ1590" s="528"/>
      <c r="NYA1590" s="528"/>
      <c r="NYB1590" s="528"/>
      <c r="NYC1590" s="528"/>
      <c r="NYD1590" s="528"/>
      <c r="NYE1590" s="528"/>
      <c r="NYF1590" s="528"/>
      <c r="NYG1590" s="527"/>
      <c r="NYH1590" s="528"/>
      <c r="NYI1590" s="528"/>
      <c r="NYJ1590" s="528"/>
      <c r="NYK1590" s="528"/>
      <c r="NYL1590" s="528"/>
      <c r="NYM1590" s="528"/>
      <c r="NYN1590" s="528"/>
      <c r="NYO1590" s="528"/>
      <c r="NYP1590" s="528"/>
      <c r="NYQ1590" s="528"/>
      <c r="NYR1590" s="527"/>
      <c r="NYS1590" s="528"/>
      <c r="NYT1590" s="528"/>
      <c r="NYU1590" s="528"/>
      <c r="NYV1590" s="528"/>
      <c r="NYW1590" s="528"/>
      <c r="NYX1590" s="528"/>
      <c r="NYY1590" s="528"/>
      <c r="NYZ1590" s="528"/>
      <c r="NZA1590" s="528"/>
      <c r="NZB1590" s="528"/>
      <c r="NZC1590" s="527"/>
      <c r="NZD1590" s="528"/>
      <c r="NZE1590" s="528"/>
      <c r="NZF1590" s="528"/>
      <c r="NZG1590" s="528"/>
      <c r="NZH1590" s="528"/>
      <c r="NZI1590" s="528"/>
      <c r="NZJ1590" s="528"/>
      <c r="NZK1590" s="528"/>
      <c r="NZL1590" s="528"/>
      <c r="NZM1590" s="528"/>
      <c r="NZN1590" s="527"/>
      <c r="NZO1590" s="528"/>
      <c r="NZP1590" s="528"/>
      <c r="NZQ1590" s="528"/>
      <c r="NZR1590" s="528"/>
      <c r="NZS1590" s="528"/>
      <c r="NZT1590" s="528"/>
      <c r="NZU1590" s="528"/>
      <c r="NZV1590" s="528"/>
      <c r="NZW1590" s="528"/>
      <c r="NZX1590" s="528"/>
      <c r="NZY1590" s="527"/>
      <c r="NZZ1590" s="528"/>
      <c r="OAA1590" s="528"/>
      <c r="OAB1590" s="528"/>
      <c r="OAC1590" s="528"/>
      <c r="OAD1590" s="528"/>
      <c r="OAE1590" s="528"/>
      <c r="OAF1590" s="528"/>
      <c r="OAG1590" s="528"/>
      <c r="OAH1590" s="528"/>
      <c r="OAI1590" s="528"/>
      <c r="OAJ1590" s="527"/>
      <c r="OAK1590" s="528"/>
      <c r="OAL1590" s="528"/>
      <c r="OAM1590" s="528"/>
      <c r="OAN1590" s="528"/>
      <c r="OAO1590" s="528"/>
      <c r="OAP1590" s="528"/>
      <c r="OAQ1590" s="528"/>
      <c r="OAR1590" s="528"/>
      <c r="OAS1590" s="528"/>
      <c r="OAT1590" s="528"/>
      <c r="OAU1590" s="527"/>
      <c r="OAV1590" s="528"/>
      <c r="OAW1590" s="528"/>
      <c r="OAX1590" s="528"/>
      <c r="OAY1590" s="528"/>
      <c r="OAZ1590" s="528"/>
      <c r="OBA1590" s="528"/>
      <c r="OBB1590" s="528"/>
      <c r="OBC1590" s="528"/>
      <c r="OBD1590" s="528"/>
      <c r="OBE1590" s="528"/>
      <c r="OBF1590" s="527"/>
      <c r="OBG1590" s="528"/>
      <c r="OBH1590" s="528"/>
      <c r="OBI1590" s="528"/>
      <c r="OBJ1590" s="528"/>
      <c r="OBK1590" s="528"/>
      <c r="OBL1590" s="528"/>
      <c r="OBM1590" s="528"/>
      <c r="OBN1590" s="528"/>
      <c r="OBO1590" s="528"/>
      <c r="OBP1590" s="528"/>
      <c r="OBQ1590" s="527"/>
      <c r="OBR1590" s="528"/>
      <c r="OBS1590" s="528"/>
      <c r="OBT1590" s="528"/>
      <c r="OBU1590" s="528"/>
      <c r="OBV1590" s="528"/>
      <c r="OBW1590" s="528"/>
      <c r="OBX1590" s="528"/>
      <c r="OBY1590" s="528"/>
      <c r="OBZ1590" s="528"/>
      <c r="OCA1590" s="528"/>
      <c r="OCB1590" s="527"/>
      <c r="OCC1590" s="528"/>
      <c r="OCD1590" s="528"/>
      <c r="OCE1590" s="528"/>
      <c r="OCF1590" s="528"/>
      <c r="OCG1590" s="528"/>
      <c r="OCH1590" s="528"/>
      <c r="OCI1590" s="528"/>
      <c r="OCJ1590" s="528"/>
      <c r="OCK1590" s="528"/>
      <c r="OCL1590" s="528"/>
      <c r="OCM1590" s="527"/>
      <c r="OCN1590" s="528"/>
      <c r="OCO1590" s="528"/>
      <c r="OCP1590" s="528"/>
      <c r="OCQ1590" s="528"/>
      <c r="OCR1590" s="528"/>
      <c r="OCS1590" s="528"/>
      <c r="OCT1590" s="528"/>
      <c r="OCU1590" s="528"/>
      <c r="OCV1590" s="528"/>
      <c r="OCW1590" s="528"/>
      <c r="OCX1590" s="527"/>
      <c r="OCY1590" s="528"/>
      <c r="OCZ1590" s="528"/>
      <c r="ODA1590" s="528"/>
      <c r="ODB1590" s="528"/>
      <c r="ODC1590" s="528"/>
      <c r="ODD1590" s="528"/>
      <c r="ODE1590" s="528"/>
      <c r="ODF1590" s="528"/>
      <c r="ODG1590" s="528"/>
      <c r="ODH1590" s="528"/>
      <c r="ODI1590" s="527"/>
      <c r="ODJ1590" s="528"/>
      <c r="ODK1590" s="528"/>
      <c r="ODL1590" s="528"/>
      <c r="ODM1590" s="528"/>
      <c r="ODN1590" s="528"/>
      <c r="ODO1590" s="528"/>
      <c r="ODP1590" s="528"/>
      <c r="ODQ1590" s="528"/>
      <c r="ODR1590" s="528"/>
      <c r="ODS1590" s="528"/>
      <c r="ODT1590" s="527"/>
      <c r="ODU1590" s="528"/>
      <c r="ODV1590" s="528"/>
      <c r="ODW1590" s="528"/>
      <c r="ODX1590" s="528"/>
      <c r="ODY1590" s="528"/>
      <c r="ODZ1590" s="528"/>
      <c r="OEA1590" s="528"/>
      <c r="OEB1590" s="528"/>
      <c r="OEC1590" s="528"/>
      <c r="OED1590" s="528"/>
      <c r="OEE1590" s="527"/>
      <c r="OEF1590" s="528"/>
      <c r="OEG1590" s="528"/>
      <c r="OEH1590" s="528"/>
      <c r="OEI1590" s="528"/>
      <c r="OEJ1590" s="528"/>
      <c r="OEK1590" s="528"/>
      <c r="OEL1590" s="528"/>
      <c r="OEM1590" s="528"/>
      <c r="OEN1590" s="528"/>
      <c r="OEO1590" s="528"/>
      <c r="OEP1590" s="527"/>
      <c r="OEQ1590" s="528"/>
      <c r="OER1590" s="528"/>
      <c r="OES1590" s="528"/>
      <c r="OET1590" s="528"/>
      <c r="OEU1590" s="528"/>
      <c r="OEV1590" s="528"/>
      <c r="OEW1590" s="528"/>
      <c r="OEX1590" s="528"/>
      <c r="OEY1590" s="528"/>
      <c r="OEZ1590" s="528"/>
      <c r="OFA1590" s="527"/>
      <c r="OFB1590" s="528"/>
      <c r="OFC1590" s="528"/>
      <c r="OFD1590" s="528"/>
      <c r="OFE1590" s="528"/>
      <c r="OFF1590" s="528"/>
      <c r="OFG1590" s="528"/>
      <c r="OFH1590" s="528"/>
      <c r="OFI1590" s="528"/>
      <c r="OFJ1590" s="528"/>
      <c r="OFK1590" s="528"/>
      <c r="OFL1590" s="527"/>
      <c r="OFM1590" s="528"/>
      <c r="OFN1590" s="528"/>
      <c r="OFO1590" s="528"/>
      <c r="OFP1590" s="528"/>
      <c r="OFQ1590" s="528"/>
      <c r="OFR1590" s="528"/>
      <c r="OFS1590" s="528"/>
      <c r="OFT1590" s="528"/>
      <c r="OFU1590" s="528"/>
      <c r="OFV1590" s="528"/>
      <c r="OFW1590" s="527"/>
      <c r="OFX1590" s="528"/>
      <c r="OFY1590" s="528"/>
      <c r="OFZ1590" s="528"/>
      <c r="OGA1590" s="528"/>
      <c r="OGB1590" s="528"/>
      <c r="OGC1590" s="528"/>
      <c r="OGD1590" s="528"/>
      <c r="OGE1590" s="528"/>
      <c r="OGF1590" s="528"/>
      <c r="OGG1590" s="528"/>
      <c r="OGH1590" s="527"/>
      <c r="OGI1590" s="528"/>
      <c r="OGJ1590" s="528"/>
      <c r="OGK1590" s="528"/>
      <c r="OGL1590" s="528"/>
      <c r="OGM1590" s="528"/>
      <c r="OGN1590" s="528"/>
      <c r="OGO1590" s="528"/>
      <c r="OGP1590" s="528"/>
      <c r="OGQ1590" s="528"/>
      <c r="OGR1590" s="528"/>
      <c r="OGS1590" s="527"/>
      <c r="OGT1590" s="528"/>
      <c r="OGU1590" s="528"/>
      <c r="OGV1590" s="528"/>
      <c r="OGW1590" s="528"/>
      <c r="OGX1590" s="528"/>
      <c r="OGY1590" s="528"/>
      <c r="OGZ1590" s="528"/>
      <c r="OHA1590" s="528"/>
      <c r="OHB1590" s="528"/>
      <c r="OHC1590" s="528"/>
      <c r="OHD1590" s="527"/>
      <c r="OHE1590" s="528"/>
      <c r="OHF1590" s="528"/>
      <c r="OHG1590" s="528"/>
      <c r="OHH1590" s="528"/>
      <c r="OHI1590" s="528"/>
      <c r="OHJ1590" s="528"/>
      <c r="OHK1590" s="528"/>
      <c r="OHL1590" s="528"/>
      <c r="OHM1590" s="528"/>
      <c r="OHN1590" s="528"/>
      <c r="OHO1590" s="527"/>
      <c r="OHP1590" s="528"/>
      <c r="OHQ1590" s="528"/>
      <c r="OHR1590" s="528"/>
      <c r="OHS1590" s="528"/>
      <c r="OHT1590" s="528"/>
      <c r="OHU1590" s="528"/>
      <c r="OHV1590" s="528"/>
      <c r="OHW1590" s="528"/>
      <c r="OHX1590" s="528"/>
      <c r="OHY1590" s="528"/>
      <c r="OHZ1590" s="527"/>
      <c r="OIA1590" s="528"/>
      <c r="OIB1590" s="528"/>
      <c r="OIC1590" s="528"/>
      <c r="OID1590" s="528"/>
      <c r="OIE1590" s="528"/>
      <c r="OIF1590" s="528"/>
      <c r="OIG1590" s="528"/>
      <c r="OIH1590" s="528"/>
      <c r="OII1590" s="528"/>
      <c r="OIJ1590" s="528"/>
      <c r="OIK1590" s="527"/>
      <c r="OIL1590" s="528"/>
      <c r="OIM1590" s="528"/>
      <c r="OIN1590" s="528"/>
      <c r="OIO1590" s="528"/>
      <c r="OIP1590" s="528"/>
      <c r="OIQ1590" s="528"/>
      <c r="OIR1590" s="528"/>
      <c r="OIS1590" s="528"/>
      <c r="OIT1590" s="528"/>
      <c r="OIU1590" s="528"/>
      <c r="OIV1590" s="527"/>
      <c r="OIW1590" s="528"/>
      <c r="OIX1590" s="528"/>
      <c r="OIY1590" s="528"/>
      <c r="OIZ1590" s="528"/>
      <c r="OJA1590" s="528"/>
      <c r="OJB1590" s="528"/>
      <c r="OJC1590" s="528"/>
      <c r="OJD1590" s="528"/>
      <c r="OJE1590" s="528"/>
      <c r="OJF1590" s="528"/>
      <c r="OJG1590" s="527"/>
      <c r="OJH1590" s="528"/>
      <c r="OJI1590" s="528"/>
      <c r="OJJ1590" s="528"/>
      <c r="OJK1590" s="528"/>
      <c r="OJL1590" s="528"/>
      <c r="OJM1590" s="528"/>
      <c r="OJN1590" s="528"/>
      <c r="OJO1590" s="528"/>
      <c r="OJP1590" s="528"/>
      <c r="OJQ1590" s="528"/>
      <c r="OJR1590" s="527"/>
      <c r="OJS1590" s="528"/>
      <c r="OJT1590" s="528"/>
      <c r="OJU1590" s="528"/>
      <c r="OJV1590" s="528"/>
      <c r="OJW1590" s="528"/>
      <c r="OJX1590" s="528"/>
      <c r="OJY1590" s="528"/>
      <c r="OJZ1590" s="528"/>
      <c r="OKA1590" s="528"/>
      <c r="OKB1590" s="528"/>
      <c r="OKC1590" s="527"/>
      <c r="OKD1590" s="528"/>
      <c r="OKE1590" s="528"/>
      <c r="OKF1590" s="528"/>
      <c r="OKG1590" s="528"/>
      <c r="OKH1590" s="528"/>
      <c r="OKI1590" s="528"/>
      <c r="OKJ1590" s="528"/>
      <c r="OKK1590" s="528"/>
      <c r="OKL1590" s="528"/>
      <c r="OKM1590" s="528"/>
      <c r="OKN1590" s="527"/>
      <c r="OKO1590" s="528"/>
      <c r="OKP1590" s="528"/>
      <c r="OKQ1590" s="528"/>
      <c r="OKR1590" s="528"/>
      <c r="OKS1590" s="528"/>
      <c r="OKT1590" s="528"/>
      <c r="OKU1590" s="528"/>
      <c r="OKV1590" s="528"/>
      <c r="OKW1590" s="528"/>
      <c r="OKX1590" s="528"/>
      <c r="OKY1590" s="527"/>
      <c r="OKZ1590" s="528"/>
      <c r="OLA1590" s="528"/>
      <c r="OLB1590" s="528"/>
      <c r="OLC1590" s="528"/>
      <c r="OLD1590" s="528"/>
      <c r="OLE1590" s="528"/>
      <c r="OLF1590" s="528"/>
      <c r="OLG1590" s="528"/>
      <c r="OLH1590" s="528"/>
      <c r="OLI1590" s="528"/>
      <c r="OLJ1590" s="527"/>
      <c r="OLK1590" s="528"/>
      <c r="OLL1590" s="528"/>
      <c r="OLM1590" s="528"/>
      <c r="OLN1590" s="528"/>
      <c r="OLO1590" s="528"/>
      <c r="OLP1590" s="528"/>
      <c r="OLQ1590" s="528"/>
      <c r="OLR1590" s="528"/>
      <c r="OLS1590" s="528"/>
      <c r="OLT1590" s="528"/>
      <c r="OLU1590" s="527"/>
      <c r="OLV1590" s="528"/>
      <c r="OLW1590" s="528"/>
      <c r="OLX1590" s="528"/>
      <c r="OLY1590" s="528"/>
      <c r="OLZ1590" s="528"/>
      <c r="OMA1590" s="528"/>
      <c r="OMB1590" s="528"/>
      <c r="OMC1590" s="528"/>
      <c r="OMD1590" s="528"/>
      <c r="OME1590" s="528"/>
      <c r="OMF1590" s="527"/>
      <c r="OMG1590" s="528"/>
      <c r="OMH1590" s="528"/>
      <c r="OMI1590" s="528"/>
      <c r="OMJ1590" s="528"/>
      <c r="OMK1590" s="528"/>
      <c r="OML1590" s="528"/>
      <c r="OMM1590" s="528"/>
      <c r="OMN1590" s="528"/>
      <c r="OMO1590" s="528"/>
      <c r="OMP1590" s="528"/>
      <c r="OMQ1590" s="527"/>
      <c r="OMR1590" s="528"/>
      <c r="OMS1590" s="528"/>
      <c r="OMT1590" s="528"/>
      <c r="OMU1590" s="528"/>
      <c r="OMV1590" s="528"/>
      <c r="OMW1590" s="528"/>
      <c r="OMX1590" s="528"/>
      <c r="OMY1590" s="528"/>
      <c r="OMZ1590" s="528"/>
      <c r="ONA1590" s="528"/>
      <c r="ONB1590" s="527"/>
      <c r="ONC1590" s="528"/>
      <c r="OND1590" s="528"/>
      <c r="ONE1590" s="528"/>
      <c r="ONF1590" s="528"/>
      <c r="ONG1590" s="528"/>
      <c r="ONH1590" s="528"/>
      <c r="ONI1590" s="528"/>
      <c r="ONJ1590" s="528"/>
      <c r="ONK1590" s="528"/>
      <c r="ONL1590" s="528"/>
      <c r="ONM1590" s="527"/>
      <c r="ONN1590" s="528"/>
      <c r="ONO1590" s="528"/>
      <c r="ONP1590" s="528"/>
      <c r="ONQ1590" s="528"/>
      <c r="ONR1590" s="528"/>
      <c r="ONS1590" s="528"/>
      <c r="ONT1590" s="528"/>
      <c r="ONU1590" s="528"/>
      <c r="ONV1590" s="528"/>
      <c r="ONW1590" s="528"/>
      <c r="ONX1590" s="527"/>
      <c r="ONY1590" s="528"/>
      <c r="ONZ1590" s="528"/>
      <c r="OOA1590" s="528"/>
      <c r="OOB1590" s="528"/>
      <c r="OOC1590" s="528"/>
      <c r="OOD1590" s="528"/>
      <c r="OOE1590" s="528"/>
      <c r="OOF1590" s="528"/>
      <c r="OOG1590" s="528"/>
      <c r="OOH1590" s="528"/>
      <c r="OOI1590" s="527"/>
      <c r="OOJ1590" s="528"/>
      <c r="OOK1590" s="528"/>
      <c r="OOL1590" s="528"/>
      <c r="OOM1590" s="528"/>
      <c r="OON1590" s="528"/>
      <c r="OOO1590" s="528"/>
      <c r="OOP1590" s="528"/>
      <c r="OOQ1590" s="528"/>
      <c r="OOR1590" s="528"/>
      <c r="OOS1590" s="528"/>
      <c r="OOT1590" s="527"/>
      <c r="OOU1590" s="528"/>
      <c r="OOV1590" s="528"/>
      <c r="OOW1590" s="528"/>
      <c r="OOX1590" s="528"/>
      <c r="OOY1590" s="528"/>
      <c r="OOZ1590" s="528"/>
      <c r="OPA1590" s="528"/>
      <c r="OPB1590" s="528"/>
      <c r="OPC1590" s="528"/>
      <c r="OPD1590" s="528"/>
      <c r="OPE1590" s="527"/>
      <c r="OPF1590" s="528"/>
      <c r="OPG1590" s="528"/>
      <c r="OPH1590" s="528"/>
      <c r="OPI1590" s="528"/>
      <c r="OPJ1590" s="528"/>
      <c r="OPK1590" s="528"/>
      <c r="OPL1590" s="528"/>
      <c r="OPM1590" s="528"/>
      <c r="OPN1590" s="528"/>
      <c r="OPO1590" s="528"/>
      <c r="OPP1590" s="527"/>
      <c r="OPQ1590" s="528"/>
      <c r="OPR1590" s="528"/>
      <c r="OPS1590" s="528"/>
      <c r="OPT1590" s="528"/>
      <c r="OPU1590" s="528"/>
      <c r="OPV1590" s="528"/>
      <c r="OPW1590" s="528"/>
      <c r="OPX1590" s="528"/>
      <c r="OPY1590" s="528"/>
      <c r="OPZ1590" s="528"/>
      <c r="OQA1590" s="527"/>
      <c r="OQB1590" s="528"/>
      <c r="OQC1590" s="528"/>
      <c r="OQD1590" s="528"/>
      <c r="OQE1590" s="528"/>
      <c r="OQF1590" s="528"/>
      <c r="OQG1590" s="528"/>
      <c r="OQH1590" s="528"/>
      <c r="OQI1590" s="528"/>
      <c r="OQJ1590" s="528"/>
      <c r="OQK1590" s="528"/>
      <c r="OQL1590" s="527"/>
      <c r="OQM1590" s="528"/>
      <c r="OQN1590" s="528"/>
      <c r="OQO1590" s="528"/>
      <c r="OQP1590" s="528"/>
      <c r="OQQ1590" s="528"/>
      <c r="OQR1590" s="528"/>
      <c r="OQS1590" s="528"/>
      <c r="OQT1590" s="528"/>
      <c r="OQU1590" s="528"/>
      <c r="OQV1590" s="528"/>
      <c r="OQW1590" s="527"/>
      <c r="OQX1590" s="528"/>
      <c r="OQY1590" s="528"/>
      <c r="OQZ1590" s="528"/>
      <c r="ORA1590" s="528"/>
      <c r="ORB1590" s="528"/>
      <c r="ORC1590" s="528"/>
      <c r="ORD1590" s="528"/>
      <c r="ORE1590" s="528"/>
      <c r="ORF1590" s="528"/>
      <c r="ORG1590" s="528"/>
      <c r="ORH1590" s="527"/>
      <c r="ORI1590" s="528"/>
      <c r="ORJ1590" s="528"/>
      <c r="ORK1590" s="528"/>
      <c r="ORL1590" s="528"/>
      <c r="ORM1590" s="528"/>
      <c r="ORN1590" s="528"/>
      <c r="ORO1590" s="528"/>
      <c r="ORP1590" s="528"/>
      <c r="ORQ1590" s="528"/>
      <c r="ORR1590" s="528"/>
      <c r="ORS1590" s="527"/>
      <c r="ORT1590" s="528"/>
      <c r="ORU1590" s="528"/>
      <c r="ORV1590" s="528"/>
      <c r="ORW1590" s="528"/>
      <c r="ORX1590" s="528"/>
      <c r="ORY1590" s="528"/>
      <c r="ORZ1590" s="528"/>
      <c r="OSA1590" s="528"/>
      <c r="OSB1590" s="528"/>
      <c r="OSC1590" s="528"/>
      <c r="OSD1590" s="527"/>
      <c r="OSE1590" s="528"/>
      <c r="OSF1590" s="528"/>
      <c r="OSG1590" s="528"/>
      <c r="OSH1590" s="528"/>
      <c r="OSI1590" s="528"/>
      <c r="OSJ1590" s="528"/>
      <c r="OSK1590" s="528"/>
      <c r="OSL1590" s="528"/>
      <c r="OSM1590" s="528"/>
      <c r="OSN1590" s="528"/>
      <c r="OSO1590" s="527"/>
      <c r="OSP1590" s="528"/>
      <c r="OSQ1590" s="528"/>
      <c r="OSR1590" s="528"/>
      <c r="OSS1590" s="528"/>
      <c r="OST1590" s="528"/>
      <c r="OSU1590" s="528"/>
      <c r="OSV1590" s="528"/>
      <c r="OSW1590" s="528"/>
      <c r="OSX1590" s="528"/>
      <c r="OSY1590" s="528"/>
      <c r="OSZ1590" s="527"/>
      <c r="OTA1590" s="528"/>
      <c r="OTB1590" s="528"/>
      <c r="OTC1590" s="528"/>
      <c r="OTD1590" s="528"/>
      <c r="OTE1590" s="528"/>
      <c r="OTF1590" s="528"/>
      <c r="OTG1590" s="528"/>
      <c r="OTH1590" s="528"/>
      <c r="OTI1590" s="528"/>
      <c r="OTJ1590" s="528"/>
      <c r="OTK1590" s="527"/>
      <c r="OTL1590" s="528"/>
      <c r="OTM1590" s="528"/>
      <c r="OTN1590" s="528"/>
      <c r="OTO1590" s="528"/>
      <c r="OTP1590" s="528"/>
      <c r="OTQ1590" s="528"/>
      <c r="OTR1590" s="528"/>
      <c r="OTS1590" s="528"/>
      <c r="OTT1590" s="528"/>
      <c r="OTU1590" s="528"/>
      <c r="OTV1590" s="527"/>
      <c r="OTW1590" s="528"/>
      <c r="OTX1590" s="528"/>
      <c r="OTY1590" s="528"/>
      <c r="OTZ1590" s="528"/>
      <c r="OUA1590" s="528"/>
      <c r="OUB1590" s="528"/>
      <c r="OUC1590" s="528"/>
      <c r="OUD1590" s="528"/>
      <c r="OUE1590" s="528"/>
      <c r="OUF1590" s="528"/>
      <c r="OUG1590" s="527"/>
      <c r="OUH1590" s="528"/>
      <c r="OUI1590" s="528"/>
      <c r="OUJ1590" s="528"/>
      <c r="OUK1590" s="528"/>
      <c r="OUL1590" s="528"/>
      <c r="OUM1590" s="528"/>
      <c r="OUN1590" s="528"/>
      <c r="OUO1590" s="528"/>
      <c r="OUP1590" s="528"/>
      <c r="OUQ1590" s="528"/>
      <c r="OUR1590" s="527"/>
      <c r="OUS1590" s="528"/>
      <c r="OUT1590" s="528"/>
      <c r="OUU1590" s="528"/>
      <c r="OUV1590" s="528"/>
      <c r="OUW1590" s="528"/>
      <c r="OUX1590" s="528"/>
      <c r="OUY1590" s="528"/>
      <c r="OUZ1590" s="528"/>
      <c r="OVA1590" s="528"/>
      <c r="OVB1590" s="528"/>
      <c r="OVC1590" s="527"/>
      <c r="OVD1590" s="528"/>
      <c r="OVE1590" s="528"/>
      <c r="OVF1590" s="528"/>
      <c r="OVG1590" s="528"/>
      <c r="OVH1590" s="528"/>
      <c r="OVI1590" s="528"/>
      <c r="OVJ1590" s="528"/>
      <c r="OVK1590" s="528"/>
      <c r="OVL1590" s="528"/>
      <c r="OVM1590" s="528"/>
      <c r="OVN1590" s="527"/>
      <c r="OVO1590" s="528"/>
      <c r="OVP1590" s="528"/>
      <c r="OVQ1590" s="528"/>
      <c r="OVR1590" s="528"/>
      <c r="OVS1590" s="528"/>
      <c r="OVT1590" s="528"/>
      <c r="OVU1590" s="528"/>
      <c r="OVV1590" s="528"/>
      <c r="OVW1590" s="528"/>
      <c r="OVX1590" s="528"/>
      <c r="OVY1590" s="527"/>
      <c r="OVZ1590" s="528"/>
      <c r="OWA1590" s="528"/>
      <c r="OWB1590" s="528"/>
      <c r="OWC1590" s="528"/>
      <c r="OWD1590" s="528"/>
      <c r="OWE1590" s="528"/>
      <c r="OWF1590" s="528"/>
      <c r="OWG1590" s="528"/>
      <c r="OWH1590" s="528"/>
      <c r="OWI1590" s="528"/>
      <c r="OWJ1590" s="527"/>
      <c r="OWK1590" s="528"/>
      <c r="OWL1590" s="528"/>
      <c r="OWM1590" s="528"/>
      <c r="OWN1590" s="528"/>
      <c r="OWO1590" s="528"/>
      <c r="OWP1590" s="528"/>
      <c r="OWQ1590" s="528"/>
      <c r="OWR1590" s="528"/>
      <c r="OWS1590" s="528"/>
      <c r="OWT1590" s="528"/>
      <c r="OWU1590" s="527"/>
      <c r="OWV1590" s="528"/>
      <c r="OWW1590" s="528"/>
      <c r="OWX1590" s="528"/>
      <c r="OWY1590" s="528"/>
      <c r="OWZ1590" s="528"/>
      <c r="OXA1590" s="528"/>
      <c r="OXB1590" s="528"/>
      <c r="OXC1590" s="528"/>
      <c r="OXD1590" s="528"/>
      <c r="OXE1590" s="528"/>
      <c r="OXF1590" s="527"/>
      <c r="OXG1590" s="528"/>
      <c r="OXH1590" s="528"/>
      <c r="OXI1590" s="528"/>
      <c r="OXJ1590" s="528"/>
      <c r="OXK1590" s="528"/>
      <c r="OXL1590" s="528"/>
      <c r="OXM1590" s="528"/>
      <c r="OXN1590" s="528"/>
      <c r="OXO1590" s="528"/>
      <c r="OXP1590" s="528"/>
      <c r="OXQ1590" s="527"/>
      <c r="OXR1590" s="528"/>
      <c r="OXS1590" s="528"/>
      <c r="OXT1590" s="528"/>
      <c r="OXU1590" s="528"/>
      <c r="OXV1590" s="528"/>
      <c r="OXW1590" s="528"/>
      <c r="OXX1590" s="528"/>
      <c r="OXY1590" s="528"/>
      <c r="OXZ1590" s="528"/>
      <c r="OYA1590" s="528"/>
      <c r="OYB1590" s="527"/>
      <c r="OYC1590" s="528"/>
      <c r="OYD1590" s="528"/>
      <c r="OYE1590" s="528"/>
      <c r="OYF1590" s="528"/>
      <c r="OYG1590" s="528"/>
      <c r="OYH1590" s="528"/>
      <c r="OYI1590" s="528"/>
      <c r="OYJ1590" s="528"/>
      <c r="OYK1590" s="528"/>
      <c r="OYL1590" s="528"/>
      <c r="OYM1590" s="527"/>
      <c r="OYN1590" s="528"/>
      <c r="OYO1590" s="528"/>
      <c r="OYP1590" s="528"/>
      <c r="OYQ1590" s="528"/>
      <c r="OYR1590" s="528"/>
      <c r="OYS1590" s="528"/>
      <c r="OYT1590" s="528"/>
      <c r="OYU1590" s="528"/>
      <c r="OYV1590" s="528"/>
      <c r="OYW1590" s="528"/>
      <c r="OYX1590" s="527"/>
      <c r="OYY1590" s="528"/>
      <c r="OYZ1590" s="528"/>
      <c r="OZA1590" s="528"/>
      <c r="OZB1590" s="528"/>
      <c r="OZC1590" s="528"/>
      <c r="OZD1590" s="528"/>
      <c r="OZE1590" s="528"/>
      <c r="OZF1590" s="528"/>
      <c r="OZG1590" s="528"/>
      <c r="OZH1590" s="528"/>
      <c r="OZI1590" s="527"/>
      <c r="OZJ1590" s="528"/>
      <c r="OZK1590" s="528"/>
      <c r="OZL1590" s="528"/>
      <c r="OZM1590" s="528"/>
      <c r="OZN1590" s="528"/>
      <c r="OZO1590" s="528"/>
      <c r="OZP1590" s="528"/>
      <c r="OZQ1590" s="528"/>
      <c r="OZR1590" s="528"/>
      <c r="OZS1590" s="528"/>
      <c r="OZT1590" s="527"/>
      <c r="OZU1590" s="528"/>
      <c r="OZV1590" s="528"/>
      <c r="OZW1590" s="528"/>
      <c r="OZX1590" s="528"/>
      <c r="OZY1590" s="528"/>
      <c r="OZZ1590" s="528"/>
      <c r="PAA1590" s="528"/>
      <c r="PAB1590" s="528"/>
      <c r="PAC1590" s="528"/>
      <c r="PAD1590" s="528"/>
      <c r="PAE1590" s="527"/>
      <c r="PAF1590" s="528"/>
      <c r="PAG1590" s="528"/>
      <c r="PAH1590" s="528"/>
      <c r="PAI1590" s="528"/>
      <c r="PAJ1590" s="528"/>
      <c r="PAK1590" s="528"/>
      <c r="PAL1590" s="528"/>
      <c r="PAM1590" s="528"/>
      <c r="PAN1590" s="528"/>
      <c r="PAO1590" s="528"/>
      <c r="PAP1590" s="527"/>
      <c r="PAQ1590" s="528"/>
      <c r="PAR1590" s="528"/>
      <c r="PAS1590" s="528"/>
      <c r="PAT1590" s="528"/>
      <c r="PAU1590" s="528"/>
      <c r="PAV1590" s="528"/>
      <c r="PAW1590" s="528"/>
      <c r="PAX1590" s="528"/>
      <c r="PAY1590" s="528"/>
      <c r="PAZ1590" s="528"/>
      <c r="PBA1590" s="527"/>
      <c r="PBB1590" s="528"/>
      <c r="PBC1590" s="528"/>
      <c r="PBD1590" s="528"/>
      <c r="PBE1590" s="528"/>
      <c r="PBF1590" s="528"/>
      <c r="PBG1590" s="528"/>
      <c r="PBH1590" s="528"/>
      <c r="PBI1590" s="528"/>
      <c r="PBJ1590" s="528"/>
      <c r="PBK1590" s="528"/>
      <c r="PBL1590" s="527"/>
      <c r="PBM1590" s="528"/>
      <c r="PBN1590" s="528"/>
      <c r="PBO1590" s="528"/>
      <c r="PBP1590" s="528"/>
      <c r="PBQ1590" s="528"/>
      <c r="PBR1590" s="528"/>
      <c r="PBS1590" s="528"/>
      <c r="PBT1590" s="528"/>
      <c r="PBU1590" s="528"/>
      <c r="PBV1590" s="528"/>
      <c r="PBW1590" s="527"/>
      <c r="PBX1590" s="528"/>
      <c r="PBY1590" s="528"/>
      <c r="PBZ1590" s="528"/>
      <c r="PCA1590" s="528"/>
      <c r="PCB1590" s="528"/>
      <c r="PCC1590" s="528"/>
      <c r="PCD1590" s="528"/>
      <c r="PCE1590" s="528"/>
      <c r="PCF1590" s="528"/>
      <c r="PCG1590" s="528"/>
      <c r="PCH1590" s="527"/>
      <c r="PCI1590" s="528"/>
      <c r="PCJ1590" s="528"/>
      <c r="PCK1590" s="528"/>
      <c r="PCL1590" s="528"/>
      <c r="PCM1590" s="528"/>
      <c r="PCN1590" s="528"/>
      <c r="PCO1590" s="528"/>
      <c r="PCP1590" s="528"/>
      <c r="PCQ1590" s="528"/>
      <c r="PCR1590" s="528"/>
      <c r="PCS1590" s="527"/>
      <c r="PCT1590" s="528"/>
      <c r="PCU1590" s="528"/>
      <c r="PCV1590" s="528"/>
      <c r="PCW1590" s="528"/>
      <c r="PCX1590" s="528"/>
      <c r="PCY1590" s="528"/>
      <c r="PCZ1590" s="528"/>
      <c r="PDA1590" s="528"/>
      <c r="PDB1590" s="528"/>
      <c r="PDC1590" s="528"/>
      <c r="PDD1590" s="527"/>
      <c r="PDE1590" s="528"/>
      <c r="PDF1590" s="528"/>
      <c r="PDG1590" s="528"/>
      <c r="PDH1590" s="528"/>
      <c r="PDI1590" s="528"/>
      <c r="PDJ1590" s="528"/>
      <c r="PDK1590" s="528"/>
      <c r="PDL1590" s="528"/>
      <c r="PDM1590" s="528"/>
      <c r="PDN1590" s="528"/>
      <c r="PDO1590" s="527"/>
      <c r="PDP1590" s="528"/>
      <c r="PDQ1590" s="528"/>
      <c r="PDR1590" s="528"/>
      <c r="PDS1590" s="528"/>
      <c r="PDT1590" s="528"/>
      <c r="PDU1590" s="528"/>
      <c r="PDV1590" s="528"/>
      <c r="PDW1590" s="528"/>
      <c r="PDX1590" s="528"/>
      <c r="PDY1590" s="528"/>
      <c r="PDZ1590" s="527"/>
      <c r="PEA1590" s="528"/>
      <c r="PEB1590" s="528"/>
      <c r="PEC1590" s="528"/>
      <c r="PED1590" s="528"/>
      <c r="PEE1590" s="528"/>
      <c r="PEF1590" s="528"/>
      <c r="PEG1590" s="528"/>
      <c r="PEH1590" s="528"/>
      <c r="PEI1590" s="528"/>
      <c r="PEJ1590" s="528"/>
      <c r="PEK1590" s="527"/>
      <c r="PEL1590" s="528"/>
      <c r="PEM1590" s="528"/>
      <c r="PEN1590" s="528"/>
      <c r="PEO1590" s="528"/>
      <c r="PEP1590" s="528"/>
      <c r="PEQ1590" s="528"/>
      <c r="PER1590" s="528"/>
      <c r="PES1590" s="528"/>
      <c r="PET1590" s="528"/>
      <c r="PEU1590" s="528"/>
      <c r="PEV1590" s="527"/>
      <c r="PEW1590" s="528"/>
      <c r="PEX1590" s="528"/>
      <c r="PEY1590" s="528"/>
      <c r="PEZ1590" s="528"/>
      <c r="PFA1590" s="528"/>
      <c r="PFB1590" s="528"/>
      <c r="PFC1590" s="528"/>
      <c r="PFD1590" s="528"/>
      <c r="PFE1590" s="528"/>
      <c r="PFF1590" s="528"/>
      <c r="PFG1590" s="527"/>
      <c r="PFH1590" s="528"/>
      <c r="PFI1590" s="528"/>
      <c r="PFJ1590" s="528"/>
      <c r="PFK1590" s="528"/>
      <c r="PFL1590" s="528"/>
      <c r="PFM1590" s="528"/>
      <c r="PFN1590" s="528"/>
      <c r="PFO1590" s="528"/>
      <c r="PFP1590" s="528"/>
      <c r="PFQ1590" s="528"/>
      <c r="PFR1590" s="527"/>
      <c r="PFS1590" s="528"/>
      <c r="PFT1590" s="528"/>
      <c r="PFU1590" s="528"/>
      <c r="PFV1590" s="528"/>
      <c r="PFW1590" s="528"/>
      <c r="PFX1590" s="528"/>
      <c r="PFY1590" s="528"/>
      <c r="PFZ1590" s="528"/>
      <c r="PGA1590" s="528"/>
      <c r="PGB1590" s="528"/>
      <c r="PGC1590" s="527"/>
      <c r="PGD1590" s="528"/>
      <c r="PGE1590" s="528"/>
      <c r="PGF1590" s="528"/>
      <c r="PGG1590" s="528"/>
      <c r="PGH1590" s="528"/>
      <c r="PGI1590" s="528"/>
      <c r="PGJ1590" s="528"/>
      <c r="PGK1590" s="528"/>
      <c r="PGL1590" s="528"/>
      <c r="PGM1590" s="528"/>
      <c r="PGN1590" s="527"/>
      <c r="PGO1590" s="528"/>
      <c r="PGP1590" s="528"/>
      <c r="PGQ1590" s="528"/>
      <c r="PGR1590" s="528"/>
      <c r="PGS1590" s="528"/>
      <c r="PGT1590" s="528"/>
      <c r="PGU1590" s="528"/>
      <c r="PGV1590" s="528"/>
      <c r="PGW1590" s="528"/>
      <c r="PGX1590" s="528"/>
      <c r="PGY1590" s="527"/>
      <c r="PGZ1590" s="528"/>
      <c r="PHA1590" s="528"/>
      <c r="PHB1590" s="528"/>
      <c r="PHC1590" s="528"/>
      <c r="PHD1590" s="528"/>
      <c r="PHE1590" s="528"/>
      <c r="PHF1590" s="528"/>
      <c r="PHG1590" s="528"/>
      <c r="PHH1590" s="528"/>
      <c r="PHI1590" s="528"/>
      <c r="PHJ1590" s="527"/>
      <c r="PHK1590" s="528"/>
      <c r="PHL1590" s="528"/>
      <c r="PHM1590" s="528"/>
      <c r="PHN1590" s="528"/>
      <c r="PHO1590" s="528"/>
      <c r="PHP1590" s="528"/>
      <c r="PHQ1590" s="528"/>
      <c r="PHR1590" s="528"/>
      <c r="PHS1590" s="528"/>
      <c r="PHT1590" s="528"/>
      <c r="PHU1590" s="527"/>
      <c r="PHV1590" s="528"/>
      <c r="PHW1590" s="528"/>
      <c r="PHX1590" s="528"/>
      <c r="PHY1590" s="528"/>
      <c r="PHZ1590" s="528"/>
      <c r="PIA1590" s="528"/>
      <c r="PIB1590" s="528"/>
      <c r="PIC1590" s="528"/>
      <c r="PID1590" s="528"/>
      <c r="PIE1590" s="528"/>
      <c r="PIF1590" s="527"/>
      <c r="PIG1590" s="528"/>
      <c r="PIH1590" s="528"/>
      <c r="PII1590" s="528"/>
      <c r="PIJ1590" s="528"/>
      <c r="PIK1590" s="528"/>
      <c r="PIL1590" s="528"/>
      <c r="PIM1590" s="528"/>
      <c r="PIN1590" s="528"/>
      <c r="PIO1590" s="528"/>
      <c r="PIP1590" s="528"/>
      <c r="PIQ1590" s="527"/>
      <c r="PIR1590" s="528"/>
      <c r="PIS1590" s="528"/>
      <c r="PIT1590" s="528"/>
      <c r="PIU1590" s="528"/>
      <c r="PIV1590" s="528"/>
      <c r="PIW1590" s="528"/>
      <c r="PIX1590" s="528"/>
      <c r="PIY1590" s="528"/>
      <c r="PIZ1590" s="528"/>
      <c r="PJA1590" s="528"/>
      <c r="PJB1590" s="527"/>
      <c r="PJC1590" s="528"/>
      <c r="PJD1590" s="528"/>
      <c r="PJE1590" s="528"/>
      <c r="PJF1590" s="528"/>
      <c r="PJG1590" s="528"/>
      <c r="PJH1590" s="528"/>
      <c r="PJI1590" s="528"/>
      <c r="PJJ1590" s="528"/>
      <c r="PJK1590" s="528"/>
      <c r="PJL1590" s="528"/>
      <c r="PJM1590" s="527"/>
      <c r="PJN1590" s="528"/>
      <c r="PJO1590" s="528"/>
      <c r="PJP1590" s="528"/>
      <c r="PJQ1590" s="528"/>
      <c r="PJR1590" s="528"/>
      <c r="PJS1590" s="528"/>
      <c r="PJT1590" s="528"/>
      <c r="PJU1590" s="528"/>
      <c r="PJV1590" s="528"/>
      <c r="PJW1590" s="528"/>
      <c r="PJX1590" s="527"/>
      <c r="PJY1590" s="528"/>
      <c r="PJZ1590" s="528"/>
      <c r="PKA1590" s="528"/>
      <c r="PKB1590" s="528"/>
      <c r="PKC1590" s="528"/>
      <c r="PKD1590" s="528"/>
      <c r="PKE1590" s="528"/>
      <c r="PKF1590" s="528"/>
      <c r="PKG1590" s="528"/>
      <c r="PKH1590" s="528"/>
      <c r="PKI1590" s="527"/>
      <c r="PKJ1590" s="528"/>
      <c r="PKK1590" s="528"/>
      <c r="PKL1590" s="528"/>
      <c r="PKM1590" s="528"/>
      <c r="PKN1590" s="528"/>
      <c r="PKO1590" s="528"/>
      <c r="PKP1590" s="528"/>
      <c r="PKQ1590" s="528"/>
      <c r="PKR1590" s="528"/>
      <c r="PKS1590" s="528"/>
      <c r="PKT1590" s="527"/>
      <c r="PKU1590" s="528"/>
      <c r="PKV1590" s="528"/>
      <c r="PKW1590" s="528"/>
      <c r="PKX1590" s="528"/>
      <c r="PKY1590" s="528"/>
      <c r="PKZ1590" s="528"/>
      <c r="PLA1590" s="528"/>
      <c r="PLB1590" s="528"/>
      <c r="PLC1590" s="528"/>
      <c r="PLD1590" s="528"/>
      <c r="PLE1590" s="527"/>
      <c r="PLF1590" s="528"/>
      <c r="PLG1590" s="528"/>
      <c r="PLH1590" s="528"/>
      <c r="PLI1590" s="528"/>
      <c r="PLJ1590" s="528"/>
      <c r="PLK1590" s="528"/>
      <c r="PLL1590" s="528"/>
      <c r="PLM1590" s="528"/>
      <c r="PLN1590" s="528"/>
      <c r="PLO1590" s="528"/>
      <c r="PLP1590" s="527"/>
      <c r="PLQ1590" s="528"/>
      <c r="PLR1590" s="528"/>
      <c r="PLS1590" s="528"/>
      <c r="PLT1590" s="528"/>
      <c r="PLU1590" s="528"/>
      <c r="PLV1590" s="528"/>
      <c r="PLW1590" s="528"/>
      <c r="PLX1590" s="528"/>
      <c r="PLY1590" s="528"/>
      <c r="PLZ1590" s="528"/>
      <c r="PMA1590" s="527"/>
      <c r="PMB1590" s="528"/>
      <c r="PMC1590" s="528"/>
      <c r="PMD1590" s="528"/>
      <c r="PME1590" s="528"/>
      <c r="PMF1590" s="528"/>
      <c r="PMG1590" s="528"/>
      <c r="PMH1590" s="528"/>
      <c r="PMI1590" s="528"/>
      <c r="PMJ1590" s="528"/>
      <c r="PMK1590" s="528"/>
      <c r="PML1590" s="527"/>
      <c r="PMM1590" s="528"/>
      <c r="PMN1590" s="528"/>
      <c r="PMO1590" s="528"/>
      <c r="PMP1590" s="528"/>
      <c r="PMQ1590" s="528"/>
      <c r="PMR1590" s="528"/>
      <c r="PMS1590" s="528"/>
      <c r="PMT1590" s="528"/>
      <c r="PMU1590" s="528"/>
      <c r="PMV1590" s="528"/>
      <c r="PMW1590" s="527"/>
      <c r="PMX1590" s="528"/>
      <c r="PMY1590" s="528"/>
      <c r="PMZ1590" s="528"/>
      <c r="PNA1590" s="528"/>
      <c r="PNB1590" s="528"/>
      <c r="PNC1590" s="528"/>
      <c r="PND1590" s="528"/>
      <c r="PNE1590" s="528"/>
      <c r="PNF1590" s="528"/>
      <c r="PNG1590" s="528"/>
      <c r="PNH1590" s="527"/>
      <c r="PNI1590" s="528"/>
      <c r="PNJ1590" s="528"/>
      <c r="PNK1590" s="528"/>
      <c r="PNL1590" s="528"/>
      <c r="PNM1590" s="528"/>
      <c r="PNN1590" s="528"/>
      <c r="PNO1590" s="528"/>
      <c r="PNP1590" s="528"/>
      <c r="PNQ1590" s="528"/>
      <c r="PNR1590" s="528"/>
      <c r="PNS1590" s="527"/>
      <c r="PNT1590" s="528"/>
      <c r="PNU1590" s="528"/>
      <c r="PNV1590" s="528"/>
      <c r="PNW1590" s="528"/>
      <c r="PNX1590" s="528"/>
      <c r="PNY1590" s="528"/>
      <c r="PNZ1590" s="528"/>
      <c r="POA1590" s="528"/>
      <c r="POB1590" s="528"/>
      <c r="POC1590" s="528"/>
      <c r="POD1590" s="527"/>
      <c r="POE1590" s="528"/>
      <c r="POF1590" s="528"/>
      <c r="POG1590" s="528"/>
      <c r="POH1590" s="528"/>
      <c r="POI1590" s="528"/>
      <c r="POJ1590" s="528"/>
      <c r="POK1590" s="528"/>
      <c r="POL1590" s="528"/>
      <c r="POM1590" s="528"/>
      <c r="PON1590" s="528"/>
      <c r="POO1590" s="527"/>
      <c r="POP1590" s="528"/>
      <c r="POQ1590" s="528"/>
      <c r="POR1590" s="528"/>
      <c r="POS1590" s="528"/>
      <c r="POT1590" s="528"/>
      <c r="POU1590" s="528"/>
      <c r="POV1590" s="528"/>
      <c r="POW1590" s="528"/>
      <c r="POX1590" s="528"/>
      <c r="POY1590" s="528"/>
      <c r="POZ1590" s="527"/>
      <c r="PPA1590" s="528"/>
      <c r="PPB1590" s="528"/>
      <c r="PPC1590" s="528"/>
      <c r="PPD1590" s="528"/>
      <c r="PPE1590" s="528"/>
      <c r="PPF1590" s="528"/>
      <c r="PPG1590" s="528"/>
      <c r="PPH1590" s="528"/>
      <c r="PPI1590" s="528"/>
      <c r="PPJ1590" s="528"/>
      <c r="PPK1590" s="527"/>
      <c r="PPL1590" s="528"/>
      <c r="PPM1590" s="528"/>
      <c r="PPN1590" s="528"/>
      <c r="PPO1590" s="528"/>
      <c r="PPP1590" s="528"/>
      <c r="PPQ1590" s="528"/>
      <c r="PPR1590" s="528"/>
      <c r="PPS1590" s="528"/>
      <c r="PPT1590" s="528"/>
      <c r="PPU1590" s="528"/>
      <c r="PPV1590" s="527"/>
      <c r="PPW1590" s="528"/>
      <c r="PPX1590" s="528"/>
      <c r="PPY1590" s="528"/>
      <c r="PPZ1590" s="528"/>
      <c r="PQA1590" s="528"/>
      <c r="PQB1590" s="528"/>
      <c r="PQC1590" s="528"/>
      <c r="PQD1590" s="528"/>
      <c r="PQE1590" s="528"/>
      <c r="PQF1590" s="528"/>
      <c r="PQG1590" s="527"/>
      <c r="PQH1590" s="528"/>
      <c r="PQI1590" s="528"/>
      <c r="PQJ1590" s="528"/>
      <c r="PQK1590" s="528"/>
      <c r="PQL1590" s="528"/>
      <c r="PQM1590" s="528"/>
      <c r="PQN1590" s="528"/>
      <c r="PQO1590" s="528"/>
      <c r="PQP1590" s="528"/>
      <c r="PQQ1590" s="528"/>
      <c r="PQR1590" s="527"/>
      <c r="PQS1590" s="528"/>
      <c r="PQT1590" s="528"/>
      <c r="PQU1590" s="528"/>
      <c r="PQV1590" s="528"/>
      <c r="PQW1590" s="528"/>
      <c r="PQX1590" s="528"/>
      <c r="PQY1590" s="528"/>
      <c r="PQZ1590" s="528"/>
      <c r="PRA1590" s="528"/>
      <c r="PRB1590" s="528"/>
      <c r="PRC1590" s="527"/>
      <c r="PRD1590" s="528"/>
      <c r="PRE1590" s="528"/>
      <c r="PRF1590" s="528"/>
      <c r="PRG1590" s="528"/>
      <c r="PRH1590" s="528"/>
      <c r="PRI1590" s="528"/>
      <c r="PRJ1590" s="528"/>
      <c r="PRK1590" s="528"/>
      <c r="PRL1590" s="528"/>
      <c r="PRM1590" s="528"/>
      <c r="PRN1590" s="527"/>
      <c r="PRO1590" s="528"/>
      <c r="PRP1590" s="528"/>
      <c r="PRQ1590" s="528"/>
      <c r="PRR1590" s="528"/>
      <c r="PRS1590" s="528"/>
      <c r="PRT1590" s="528"/>
      <c r="PRU1590" s="528"/>
      <c r="PRV1590" s="528"/>
      <c r="PRW1590" s="528"/>
      <c r="PRX1590" s="528"/>
      <c r="PRY1590" s="527"/>
      <c r="PRZ1590" s="528"/>
      <c r="PSA1590" s="528"/>
      <c r="PSB1590" s="528"/>
      <c r="PSC1590" s="528"/>
      <c r="PSD1590" s="528"/>
      <c r="PSE1590" s="528"/>
      <c r="PSF1590" s="528"/>
      <c r="PSG1590" s="528"/>
      <c r="PSH1590" s="528"/>
      <c r="PSI1590" s="528"/>
      <c r="PSJ1590" s="527"/>
      <c r="PSK1590" s="528"/>
      <c r="PSL1590" s="528"/>
      <c r="PSM1590" s="528"/>
      <c r="PSN1590" s="528"/>
      <c r="PSO1590" s="528"/>
      <c r="PSP1590" s="528"/>
      <c r="PSQ1590" s="528"/>
      <c r="PSR1590" s="528"/>
      <c r="PSS1590" s="528"/>
      <c r="PST1590" s="528"/>
      <c r="PSU1590" s="527"/>
      <c r="PSV1590" s="528"/>
      <c r="PSW1590" s="528"/>
      <c r="PSX1590" s="528"/>
      <c r="PSY1590" s="528"/>
      <c r="PSZ1590" s="528"/>
      <c r="PTA1590" s="528"/>
      <c r="PTB1590" s="528"/>
      <c r="PTC1590" s="528"/>
      <c r="PTD1590" s="528"/>
      <c r="PTE1590" s="528"/>
      <c r="PTF1590" s="527"/>
      <c r="PTG1590" s="528"/>
      <c r="PTH1590" s="528"/>
      <c r="PTI1590" s="528"/>
      <c r="PTJ1590" s="528"/>
      <c r="PTK1590" s="528"/>
      <c r="PTL1590" s="528"/>
      <c r="PTM1590" s="528"/>
      <c r="PTN1590" s="528"/>
      <c r="PTO1590" s="528"/>
      <c r="PTP1590" s="528"/>
      <c r="PTQ1590" s="527"/>
      <c r="PTR1590" s="528"/>
      <c r="PTS1590" s="528"/>
      <c r="PTT1590" s="528"/>
      <c r="PTU1590" s="528"/>
      <c r="PTV1590" s="528"/>
      <c r="PTW1590" s="528"/>
      <c r="PTX1590" s="528"/>
      <c r="PTY1590" s="528"/>
      <c r="PTZ1590" s="528"/>
      <c r="PUA1590" s="528"/>
      <c r="PUB1590" s="527"/>
      <c r="PUC1590" s="528"/>
      <c r="PUD1590" s="528"/>
      <c r="PUE1590" s="528"/>
      <c r="PUF1590" s="528"/>
      <c r="PUG1590" s="528"/>
      <c r="PUH1590" s="528"/>
      <c r="PUI1590" s="528"/>
      <c r="PUJ1590" s="528"/>
      <c r="PUK1590" s="528"/>
      <c r="PUL1590" s="528"/>
      <c r="PUM1590" s="527"/>
      <c r="PUN1590" s="528"/>
      <c r="PUO1590" s="528"/>
      <c r="PUP1590" s="528"/>
      <c r="PUQ1590" s="528"/>
      <c r="PUR1590" s="528"/>
      <c r="PUS1590" s="528"/>
      <c r="PUT1590" s="528"/>
      <c r="PUU1590" s="528"/>
      <c r="PUV1590" s="528"/>
      <c r="PUW1590" s="528"/>
      <c r="PUX1590" s="527"/>
      <c r="PUY1590" s="528"/>
      <c r="PUZ1590" s="528"/>
      <c r="PVA1590" s="528"/>
      <c r="PVB1590" s="528"/>
      <c r="PVC1590" s="528"/>
      <c r="PVD1590" s="528"/>
      <c r="PVE1590" s="528"/>
      <c r="PVF1590" s="528"/>
      <c r="PVG1590" s="528"/>
      <c r="PVH1590" s="528"/>
      <c r="PVI1590" s="527"/>
      <c r="PVJ1590" s="528"/>
      <c r="PVK1590" s="528"/>
      <c r="PVL1590" s="528"/>
      <c r="PVM1590" s="528"/>
      <c r="PVN1590" s="528"/>
      <c r="PVO1590" s="528"/>
      <c r="PVP1590" s="528"/>
      <c r="PVQ1590" s="528"/>
      <c r="PVR1590" s="528"/>
      <c r="PVS1590" s="528"/>
      <c r="PVT1590" s="527"/>
      <c r="PVU1590" s="528"/>
      <c r="PVV1590" s="528"/>
      <c r="PVW1590" s="528"/>
      <c r="PVX1590" s="528"/>
      <c r="PVY1590" s="528"/>
      <c r="PVZ1590" s="528"/>
      <c r="PWA1590" s="528"/>
      <c r="PWB1590" s="528"/>
      <c r="PWC1590" s="528"/>
      <c r="PWD1590" s="528"/>
      <c r="PWE1590" s="527"/>
      <c r="PWF1590" s="528"/>
      <c r="PWG1590" s="528"/>
      <c r="PWH1590" s="528"/>
      <c r="PWI1590" s="528"/>
      <c r="PWJ1590" s="528"/>
      <c r="PWK1590" s="528"/>
      <c r="PWL1590" s="528"/>
      <c r="PWM1590" s="528"/>
      <c r="PWN1590" s="528"/>
      <c r="PWO1590" s="528"/>
      <c r="PWP1590" s="527"/>
      <c r="PWQ1590" s="528"/>
      <c r="PWR1590" s="528"/>
      <c r="PWS1590" s="528"/>
      <c r="PWT1590" s="528"/>
      <c r="PWU1590" s="528"/>
      <c r="PWV1590" s="528"/>
      <c r="PWW1590" s="528"/>
      <c r="PWX1590" s="528"/>
      <c r="PWY1590" s="528"/>
      <c r="PWZ1590" s="528"/>
      <c r="PXA1590" s="527"/>
      <c r="PXB1590" s="528"/>
      <c r="PXC1590" s="528"/>
      <c r="PXD1590" s="528"/>
      <c r="PXE1590" s="528"/>
      <c r="PXF1590" s="528"/>
      <c r="PXG1590" s="528"/>
      <c r="PXH1590" s="528"/>
      <c r="PXI1590" s="528"/>
      <c r="PXJ1590" s="528"/>
      <c r="PXK1590" s="528"/>
      <c r="PXL1590" s="527"/>
      <c r="PXM1590" s="528"/>
      <c r="PXN1590" s="528"/>
      <c r="PXO1590" s="528"/>
      <c r="PXP1590" s="528"/>
      <c r="PXQ1590" s="528"/>
      <c r="PXR1590" s="528"/>
      <c r="PXS1590" s="528"/>
      <c r="PXT1590" s="528"/>
      <c r="PXU1590" s="528"/>
      <c r="PXV1590" s="528"/>
      <c r="PXW1590" s="527"/>
      <c r="PXX1590" s="528"/>
      <c r="PXY1590" s="528"/>
      <c r="PXZ1590" s="528"/>
      <c r="PYA1590" s="528"/>
      <c r="PYB1590" s="528"/>
      <c r="PYC1590" s="528"/>
      <c r="PYD1590" s="528"/>
      <c r="PYE1590" s="528"/>
      <c r="PYF1590" s="528"/>
      <c r="PYG1590" s="528"/>
      <c r="PYH1590" s="527"/>
      <c r="PYI1590" s="528"/>
      <c r="PYJ1590" s="528"/>
      <c r="PYK1590" s="528"/>
      <c r="PYL1590" s="528"/>
      <c r="PYM1590" s="528"/>
      <c r="PYN1590" s="528"/>
      <c r="PYO1590" s="528"/>
      <c r="PYP1590" s="528"/>
      <c r="PYQ1590" s="528"/>
      <c r="PYR1590" s="528"/>
      <c r="PYS1590" s="527"/>
      <c r="PYT1590" s="528"/>
      <c r="PYU1590" s="528"/>
      <c r="PYV1590" s="528"/>
      <c r="PYW1590" s="528"/>
      <c r="PYX1590" s="528"/>
      <c r="PYY1590" s="528"/>
      <c r="PYZ1590" s="528"/>
      <c r="PZA1590" s="528"/>
      <c r="PZB1590" s="528"/>
      <c r="PZC1590" s="528"/>
      <c r="PZD1590" s="527"/>
      <c r="PZE1590" s="528"/>
      <c r="PZF1590" s="528"/>
      <c r="PZG1590" s="528"/>
      <c r="PZH1590" s="528"/>
      <c r="PZI1590" s="528"/>
      <c r="PZJ1590" s="528"/>
      <c r="PZK1590" s="528"/>
      <c r="PZL1590" s="528"/>
      <c r="PZM1590" s="528"/>
      <c r="PZN1590" s="528"/>
      <c r="PZO1590" s="527"/>
      <c r="PZP1590" s="528"/>
      <c r="PZQ1590" s="528"/>
      <c r="PZR1590" s="528"/>
      <c r="PZS1590" s="528"/>
      <c r="PZT1590" s="528"/>
      <c r="PZU1590" s="528"/>
      <c r="PZV1590" s="528"/>
      <c r="PZW1590" s="528"/>
      <c r="PZX1590" s="528"/>
      <c r="PZY1590" s="528"/>
      <c r="PZZ1590" s="527"/>
      <c r="QAA1590" s="528"/>
      <c r="QAB1590" s="528"/>
      <c r="QAC1590" s="528"/>
      <c r="QAD1590" s="528"/>
      <c r="QAE1590" s="528"/>
      <c r="QAF1590" s="528"/>
      <c r="QAG1590" s="528"/>
      <c r="QAH1590" s="528"/>
      <c r="QAI1590" s="528"/>
      <c r="QAJ1590" s="528"/>
      <c r="QAK1590" s="527"/>
      <c r="QAL1590" s="528"/>
      <c r="QAM1590" s="528"/>
      <c r="QAN1590" s="528"/>
      <c r="QAO1590" s="528"/>
      <c r="QAP1590" s="528"/>
      <c r="QAQ1590" s="528"/>
      <c r="QAR1590" s="528"/>
      <c r="QAS1590" s="528"/>
      <c r="QAT1590" s="528"/>
      <c r="QAU1590" s="528"/>
      <c r="QAV1590" s="527"/>
      <c r="QAW1590" s="528"/>
      <c r="QAX1590" s="528"/>
      <c r="QAY1590" s="528"/>
      <c r="QAZ1590" s="528"/>
      <c r="QBA1590" s="528"/>
      <c r="QBB1590" s="528"/>
      <c r="QBC1590" s="528"/>
      <c r="QBD1590" s="528"/>
      <c r="QBE1590" s="528"/>
      <c r="QBF1590" s="528"/>
      <c r="QBG1590" s="527"/>
      <c r="QBH1590" s="528"/>
      <c r="QBI1590" s="528"/>
      <c r="QBJ1590" s="528"/>
      <c r="QBK1590" s="528"/>
      <c r="QBL1590" s="528"/>
      <c r="QBM1590" s="528"/>
      <c r="QBN1590" s="528"/>
      <c r="QBO1590" s="528"/>
      <c r="QBP1590" s="528"/>
      <c r="QBQ1590" s="528"/>
      <c r="QBR1590" s="527"/>
      <c r="QBS1590" s="528"/>
      <c r="QBT1590" s="528"/>
      <c r="QBU1590" s="528"/>
      <c r="QBV1590" s="528"/>
      <c r="QBW1590" s="528"/>
      <c r="QBX1590" s="528"/>
      <c r="QBY1590" s="528"/>
      <c r="QBZ1590" s="528"/>
      <c r="QCA1590" s="528"/>
      <c r="QCB1590" s="528"/>
      <c r="QCC1590" s="527"/>
      <c r="QCD1590" s="528"/>
      <c r="QCE1590" s="528"/>
      <c r="QCF1590" s="528"/>
      <c r="QCG1590" s="528"/>
      <c r="QCH1590" s="528"/>
      <c r="QCI1590" s="528"/>
      <c r="QCJ1590" s="528"/>
      <c r="QCK1590" s="528"/>
      <c r="QCL1590" s="528"/>
      <c r="QCM1590" s="528"/>
      <c r="QCN1590" s="527"/>
      <c r="QCO1590" s="528"/>
      <c r="QCP1590" s="528"/>
      <c r="QCQ1590" s="528"/>
      <c r="QCR1590" s="528"/>
      <c r="QCS1590" s="528"/>
      <c r="QCT1590" s="528"/>
      <c r="QCU1590" s="528"/>
      <c r="QCV1590" s="528"/>
      <c r="QCW1590" s="528"/>
      <c r="QCX1590" s="528"/>
      <c r="QCY1590" s="527"/>
      <c r="QCZ1590" s="528"/>
      <c r="QDA1590" s="528"/>
      <c r="QDB1590" s="528"/>
      <c r="QDC1590" s="528"/>
      <c r="QDD1590" s="528"/>
      <c r="QDE1590" s="528"/>
      <c r="QDF1590" s="528"/>
      <c r="QDG1590" s="528"/>
      <c r="QDH1590" s="528"/>
      <c r="QDI1590" s="528"/>
      <c r="QDJ1590" s="527"/>
      <c r="QDK1590" s="528"/>
      <c r="QDL1590" s="528"/>
      <c r="QDM1590" s="528"/>
      <c r="QDN1590" s="528"/>
      <c r="QDO1590" s="528"/>
      <c r="QDP1590" s="528"/>
      <c r="QDQ1590" s="528"/>
      <c r="QDR1590" s="528"/>
      <c r="QDS1590" s="528"/>
      <c r="QDT1590" s="528"/>
      <c r="QDU1590" s="527"/>
      <c r="QDV1590" s="528"/>
      <c r="QDW1590" s="528"/>
      <c r="QDX1590" s="528"/>
      <c r="QDY1590" s="528"/>
      <c r="QDZ1590" s="528"/>
      <c r="QEA1590" s="528"/>
      <c r="QEB1590" s="528"/>
      <c r="QEC1590" s="528"/>
      <c r="QED1590" s="528"/>
      <c r="QEE1590" s="528"/>
      <c r="QEF1590" s="527"/>
      <c r="QEG1590" s="528"/>
      <c r="QEH1590" s="528"/>
      <c r="QEI1590" s="528"/>
      <c r="QEJ1590" s="528"/>
      <c r="QEK1590" s="528"/>
      <c r="QEL1590" s="528"/>
      <c r="QEM1590" s="528"/>
      <c r="QEN1590" s="528"/>
      <c r="QEO1590" s="528"/>
      <c r="QEP1590" s="528"/>
      <c r="QEQ1590" s="527"/>
      <c r="QER1590" s="528"/>
      <c r="QES1590" s="528"/>
      <c r="QET1590" s="528"/>
      <c r="QEU1590" s="528"/>
      <c r="QEV1590" s="528"/>
      <c r="QEW1590" s="528"/>
      <c r="QEX1590" s="528"/>
      <c r="QEY1590" s="528"/>
      <c r="QEZ1590" s="528"/>
      <c r="QFA1590" s="528"/>
      <c r="QFB1590" s="527"/>
      <c r="QFC1590" s="528"/>
      <c r="QFD1590" s="528"/>
      <c r="QFE1590" s="528"/>
      <c r="QFF1590" s="528"/>
      <c r="QFG1590" s="528"/>
      <c r="QFH1590" s="528"/>
      <c r="QFI1590" s="528"/>
      <c r="QFJ1590" s="528"/>
      <c r="QFK1590" s="528"/>
      <c r="QFL1590" s="528"/>
      <c r="QFM1590" s="527"/>
      <c r="QFN1590" s="528"/>
      <c r="QFO1590" s="528"/>
      <c r="QFP1590" s="528"/>
      <c r="QFQ1590" s="528"/>
      <c r="QFR1590" s="528"/>
      <c r="QFS1590" s="528"/>
      <c r="QFT1590" s="528"/>
      <c r="QFU1590" s="528"/>
      <c r="QFV1590" s="528"/>
      <c r="QFW1590" s="528"/>
      <c r="QFX1590" s="527"/>
      <c r="QFY1590" s="528"/>
      <c r="QFZ1590" s="528"/>
      <c r="QGA1590" s="528"/>
      <c r="QGB1590" s="528"/>
      <c r="QGC1590" s="528"/>
      <c r="QGD1590" s="528"/>
      <c r="QGE1590" s="528"/>
      <c r="QGF1590" s="528"/>
      <c r="QGG1590" s="528"/>
      <c r="QGH1590" s="528"/>
      <c r="QGI1590" s="527"/>
      <c r="QGJ1590" s="528"/>
      <c r="QGK1590" s="528"/>
      <c r="QGL1590" s="528"/>
      <c r="QGM1590" s="528"/>
      <c r="QGN1590" s="528"/>
      <c r="QGO1590" s="528"/>
      <c r="QGP1590" s="528"/>
      <c r="QGQ1590" s="528"/>
      <c r="QGR1590" s="528"/>
      <c r="QGS1590" s="528"/>
      <c r="QGT1590" s="527"/>
      <c r="QGU1590" s="528"/>
      <c r="QGV1590" s="528"/>
      <c r="QGW1590" s="528"/>
      <c r="QGX1590" s="528"/>
      <c r="QGY1590" s="528"/>
      <c r="QGZ1590" s="528"/>
      <c r="QHA1590" s="528"/>
      <c r="QHB1590" s="528"/>
      <c r="QHC1590" s="528"/>
      <c r="QHD1590" s="528"/>
      <c r="QHE1590" s="527"/>
      <c r="QHF1590" s="528"/>
      <c r="QHG1590" s="528"/>
      <c r="QHH1590" s="528"/>
      <c r="QHI1590" s="528"/>
      <c r="QHJ1590" s="528"/>
      <c r="QHK1590" s="528"/>
      <c r="QHL1590" s="528"/>
      <c r="QHM1590" s="528"/>
      <c r="QHN1590" s="528"/>
      <c r="QHO1590" s="528"/>
      <c r="QHP1590" s="527"/>
      <c r="QHQ1590" s="528"/>
      <c r="QHR1590" s="528"/>
      <c r="QHS1590" s="528"/>
      <c r="QHT1590" s="528"/>
      <c r="QHU1590" s="528"/>
      <c r="QHV1590" s="528"/>
      <c r="QHW1590" s="528"/>
      <c r="QHX1590" s="528"/>
      <c r="QHY1590" s="528"/>
      <c r="QHZ1590" s="528"/>
      <c r="QIA1590" s="527"/>
      <c r="QIB1590" s="528"/>
      <c r="QIC1590" s="528"/>
      <c r="QID1590" s="528"/>
      <c r="QIE1590" s="528"/>
      <c r="QIF1590" s="528"/>
      <c r="QIG1590" s="528"/>
      <c r="QIH1590" s="528"/>
      <c r="QII1590" s="528"/>
      <c r="QIJ1590" s="528"/>
      <c r="QIK1590" s="528"/>
      <c r="QIL1590" s="527"/>
      <c r="QIM1590" s="528"/>
      <c r="QIN1590" s="528"/>
      <c r="QIO1590" s="528"/>
      <c r="QIP1590" s="528"/>
      <c r="QIQ1590" s="528"/>
      <c r="QIR1590" s="528"/>
      <c r="QIS1590" s="528"/>
      <c r="QIT1590" s="528"/>
      <c r="QIU1590" s="528"/>
      <c r="QIV1590" s="528"/>
      <c r="QIW1590" s="527"/>
      <c r="QIX1590" s="528"/>
      <c r="QIY1590" s="528"/>
      <c r="QIZ1590" s="528"/>
      <c r="QJA1590" s="528"/>
      <c r="QJB1590" s="528"/>
      <c r="QJC1590" s="528"/>
      <c r="QJD1590" s="528"/>
      <c r="QJE1590" s="528"/>
      <c r="QJF1590" s="528"/>
      <c r="QJG1590" s="528"/>
      <c r="QJH1590" s="527"/>
      <c r="QJI1590" s="528"/>
      <c r="QJJ1590" s="528"/>
      <c r="QJK1590" s="528"/>
      <c r="QJL1590" s="528"/>
      <c r="QJM1590" s="528"/>
      <c r="QJN1590" s="528"/>
      <c r="QJO1590" s="528"/>
      <c r="QJP1590" s="528"/>
      <c r="QJQ1590" s="528"/>
      <c r="QJR1590" s="528"/>
      <c r="QJS1590" s="527"/>
      <c r="QJT1590" s="528"/>
      <c r="QJU1590" s="528"/>
      <c r="QJV1590" s="528"/>
      <c r="QJW1590" s="528"/>
      <c r="QJX1590" s="528"/>
      <c r="QJY1590" s="528"/>
      <c r="QJZ1590" s="528"/>
      <c r="QKA1590" s="528"/>
      <c r="QKB1590" s="528"/>
      <c r="QKC1590" s="528"/>
      <c r="QKD1590" s="527"/>
      <c r="QKE1590" s="528"/>
      <c r="QKF1590" s="528"/>
      <c r="QKG1590" s="528"/>
      <c r="QKH1590" s="528"/>
      <c r="QKI1590" s="528"/>
      <c r="QKJ1590" s="528"/>
      <c r="QKK1590" s="528"/>
      <c r="QKL1590" s="528"/>
      <c r="QKM1590" s="528"/>
      <c r="QKN1590" s="528"/>
      <c r="QKO1590" s="527"/>
      <c r="QKP1590" s="528"/>
      <c r="QKQ1590" s="528"/>
      <c r="QKR1590" s="528"/>
      <c r="QKS1590" s="528"/>
      <c r="QKT1590" s="528"/>
      <c r="QKU1590" s="528"/>
      <c r="QKV1590" s="528"/>
      <c r="QKW1590" s="528"/>
      <c r="QKX1590" s="528"/>
      <c r="QKY1590" s="528"/>
      <c r="QKZ1590" s="527"/>
      <c r="QLA1590" s="528"/>
      <c r="QLB1590" s="528"/>
      <c r="QLC1590" s="528"/>
      <c r="QLD1590" s="528"/>
      <c r="QLE1590" s="528"/>
      <c r="QLF1590" s="528"/>
      <c r="QLG1590" s="528"/>
      <c r="QLH1590" s="528"/>
      <c r="QLI1590" s="528"/>
      <c r="QLJ1590" s="528"/>
      <c r="QLK1590" s="527"/>
      <c r="QLL1590" s="528"/>
      <c r="QLM1590" s="528"/>
      <c r="QLN1590" s="528"/>
      <c r="QLO1590" s="528"/>
      <c r="QLP1590" s="528"/>
      <c r="QLQ1590" s="528"/>
      <c r="QLR1590" s="528"/>
      <c r="QLS1590" s="528"/>
      <c r="QLT1590" s="528"/>
      <c r="QLU1590" s="528"/>
      <c r="QLV1590" s="527"/>
      <c r="QLW1590" s="528"/>
      <c r="QLX1590" s="528"/>
      <c r="QLY1590" s="528"/>
      <c r="QLZ1590" s="528"/>
      <c r="QMA1590" s="528"/>
      <c r="QMB1590" s="528"/>
      <c r="QMC1590" s="528"/>
      <c r="QMD1590" s="528"/>
      <c r="QME1590" s="528"/>
      <c r="QMF1590" s="528"/>
      <c r="QMG1590" s="527"/>
      <c r="QMH1590" s="528"/>
      <c r="QMI1590" s="528"/>
      <c r="QMJ1590" s="528"/>
      <c r="QMK1590" s="528"/>
      <c r="QML1590" s="528"/>
      <c r="QMM1590" s="528"/>
      <c r="QMN1590" s="528"/>
      <c r="QMO1590" s="528"/>
      <c r="QMP1590" s="528"/>
      <c r="QMQ1590" s="528"/>
      <c r="QMR1590" s="527"/>
      <c r="QMS1590" s="528"/>
      <c r="QMT1590" s="528"/>
      <c r="QMU1590" s="528"/>
      <c r="QMV1590" s="528"/>
      <c r="QMW1590" s="528"/>
      <c r="QMX1590" s="528"/>
      <c r="QMY1590" s="528"/>
      <c r="QMZ1590" s="528"/>
      <c r="QNA1590" s="528"/>
      <c r="QNB1590" s="528"/>
      <c r="QNC1590" s="527"/>
      <c r="QND1590" s="528"/>
      <c r="QNE1590" s="528"/>
      <c r="QNF1590" s="528"/>
      <c r="QNG1590" s="528"/>
      <c r="QNH1590" s="528"/>
      <c r="QNI1590" s="528"/>
      <c r="QNJ1590" s="528"/>
      <c r="QNK1590" s="528"/>
      <c r="QNL1590" s="528"/>
      <c r="QNM1590" s="528"/>
      <c r="QNN1590" s="527"/>
      <c r="QNO1590" s="528"/>
      <c r="QNP1590" s="528"/>
      <c r="QNQ1590" s="528"/>
      <c r="QNR1590" s="528"/>
      <c r="QNS1590" s="528"/>
      <c r="QNT1590" s="528"/>
      <c r="QNU1590" s="528"/>
      <c r="QNV1590" s="528"/>
      <c r="QNW1590" s="528"/>
      <c r="QNX1590" s="528"/>
      <c r="QNY1590" s="527"/>
      <c r="QNZ1590" s="528"/>
      <c r="QOA1590" s="528"/>
      <c r="QOB1590" s="528"/>
      <c r="QOC1590" s="528"/>
      <c r="QOD1590" s="528"/>
      <c r="QOE1590" s="528"/>
      <c r="QOF1590" s="528"/>
      <c r="QOG1590" s="528"/>
      <c r="QOH1590" s="528"/>
      <c r="QOI1590" s="528"/>
      <c r="QOJ1590" s="527"/>
      <c r="QOK1590" s="528"/>
      <c r="QOL1590" s="528"/>
      <c r="QOM1590" s="528"/>
      <c r="QON1590" s="528"/>
      <c r="QOO1590" s="528"/>
      <c r="QOP1590" s="528"/>
      <c r="QOQ1590" s="528"/>
      <c r="QOR1590" s="528"/>
      <c r="QOS1590" s="528"/>
      <c r="QOT1590" s="528"/>
      <c r="QOU1590" s="527"/>
      <c r="QOV1590" s="528"/>
      <c r="QOW1590" s="528"/>
      <c r="QOX1590" s="528"/>
      <c r="QOY1590" s="528"/>
      <c r="QOZ1590" s="528"/>
      <c r="QPA1590" s="528"/>
      <c r="QPB1590" s="528"/>
      <c r="QPC1590" s="528"/>
      <c r="QPD1590" s="528"/>
      <c r="QPE1590" s="528"/>
      <c r="QPF1590" s="527"/>
      <c r="QPG1590" s="528"/>
      <c r="QPH1590" s="528"/>
      <c r="QPI1590" s="528"/>
      <c r="QPJ1590" s="528"/>
      <c r="QPK1590" s="528"/>
      <c r="QPL1590" s="528"/>
      <c r="QPM1590" s="528"/>
      <c r="QPN1590" s="528"/>
      <c r="QPO1590" s="528"/>
      <c r="QPP1590" s="528"/>
      <c r="QPQ1590" s="527"/>
      <c r="QPR1590" s="528"/>
      <c r="QPS1590" s="528"/>
      <c r="QPT1590" s="528"/>
      <c r="QPU1590" s="528"/>
      <c r="QPV1590" s="528"/>
      <c r="QPW1590" s="528"/>
      <c r="QPX1590" s="528"/>
      <c r="QPY1590" s="528"/>
      <c r="QPZ1590" s="528"/>
      <c r="QQA1590" s="528"/>
      <c r="QQB1590" s="527"/>
      <c r="QQC1590" s="528"/>
      <c r="QQD1590" s="528"/>
      <c r="QQE1590" s="528"/>
      <c r="QQF1590" s="528"/>
      <c r="QQG1590" s="528"/>
      <c r="QQH1590" s="528"/>
      <c r="QQI1590" s="528"/>
      <c r="QQJ1590" s="528"/>
      <c r="QQK1590" s="528"/>
      <c r="QQL1590" s="528"/>
      <c r="QQM1590" s="527"/>
      <c r="QQN1590" s="528"/>
      <c r="QQO1590" s="528"/>
      <c r="QQP1590" s="528"/>
      <c r="QQQ1590" s="528"/>
      <c r="QQR1590" s="528"/>
      <c r="QQS1590" s="528"/>
      <c r="QQT1590" s="528"/>
      <c r="QQU1590" s="528"/>
      <c r="QQV1590" s="528"/>
      <c r="QQW1590" s="528"/>
      <c r="QQX1590" s="527"/>
      <c r="QQY1590" s="528"/>
      <c r="QQZ1590" s="528"/>
      <c r="QRA1590" s="528"/>
      <c r="QRB1590" s="528"/>
      <c r="QRC1590" s="528"/>
      <c r="QRD1590" s="528"/>
      <c r="QRE1590" s="528"/>
      <c r="QRF1590" s="528"/>
      <c r="QRG1590" s="528"/>
      <c r="QRH1590" s="528"/>
      <c r="QRI1590" s="527"/>
      <c r="QRJ1590" s="528"/>
      <c r="QRK1590" s="528"/>
      <c r="QRL1590" s="528"/>
      <c r="QRM1590" s="528"/>
      <c r="QRN1590" s="528"/>
      <c r="QRO1590" s="528"/>
      <c r="QRP1590" s="528"/>
      <c r="QRQ1590" s="528"/>
      <c r="QRR1590" s="528"/>
      <c r="QRS1590" s="528"/>
      <c r="QRT1590" s="527"/>
      <c r="QRU1590" s="528"/>
      <c r="QRV1590" s="528"/>
      <c r="QRW1590" s="528"/>
      <c r="QRX1590" s="528"/>
      <c r="QRY1590" s="528"/>
      <c r="QRZ1590" s="528"/>
      <c r="QSA1590" s="528"/>
      <c r="QSB1590" s="528"/>
      <c r="QSC1590" s="528"/>
      <c r="QSD1590" s="528"/>
      <c r="QSE1590" s="527"/>
      <c r="QSF1590" s="528"/>
      <c r="QSG1590" s="528"/>
      <c r="QSH1590" s="528"/>
      <c r="QSI1590" s="528"/>
      <c r="QSJ1590" s="528"/>
      <c r="QSK1590" s="528"/>
      <c r="QSL1590" s="528"/>
      <c r="QSM1590" s="528"/>
      <c r="QSN1590" s="528"/>
      <c r="QSO1590" s="528"/>
      <c r="QSP1590" s="527"/>
      <c r="QSQ1590" s="528"/>
      <c r="QSR1590" s="528"/>
      <c r="QSS1590" s="528"/>
      <c r="QST1590" s="528"/>
      <c r="QSU1590" s="528"/>
      <c r="QSV1590" s="528"/>
      <c r="QSW1590" s="528"/>
      <c r="QSX1590" s="528"/>
      <c r="QSY1590" s="528"/>
      <c r="QSZ1590" s="528"/>
      <c r="QTA1590" s="527"/>
      <c r="QTB1590" s="528"/>
      <c r="QTC1590" s="528"/>
      <c r="QTD1590" s="528"/>
      <c r="QTE1590" s="528"/>
      <c r="QTF1590" s="528"/>
      <c r="QTG1590" s="528"/>
      <c r="QTH1590" s="528"/>
      <c r="QTI1590" s="528"/>
      <c r="QTJ1590" s="528"/>
      <c r="QTK1590" s="528"/>
      <c r="QTL1590" s="527"/>
      <c r="QTM1590" s="528"/>
      <c r="QTN1590" s="528"/>
      <c r="QTO1590" s="528"/>
      <c r="QTP1590" s="528"/>
      <c r="QTQ1590" s="528"/>
      <c r="QTR1590" s="528"/>
      <c r="QTS1590" s="528"/>
      <c r="QTT1590" s="528"/>
      <c r="QTU1590" s="528"/>
      <c r="QTV1590" s="528"/>
      <c r="QTW1590" s="527"/>
      <c r="QTX1590" s="528"/>
      <c r="QTY1590" s="528"/>
      <c r="QTZ1590" s="528"/>
      <c r="QUA1590" s="528"/>
      <c r="QUB1590" s="528"/>
      <c r="QUC1590" s="528"/>
      <c r="QUD1590" s="528"/>
      <c r="QUE1590" s="528"/>
      <c r="QUF1590" s="528"/>
      <c r="QUG1590" s="528"/>
      <c r="QUH1590" s="527"/>
      <c r="QUI1590" s="528"/>
      <c r="QUJ1590" s="528"/>
      <c r="QUK1590" s="528"/>
      <c r="QUL1590" s="528"/>
      <c r="QUM1590" s="528"/>
      <c r="QUN1590" s="528"/>
      <c r="QUO1590" s="528"/>
      <c r="QUP1590" s="528"/>
      <c r="QUQ1590" s="528"/>
      <c r="QUR1590" s="528"/>
      <c r="QUS1590" s="527"/>
      <c r="QUT1590" s="528"/>
      <c r="QUU1590" s="528"/>
      <c r="QUV1590" s="528"/>
      <c r="QUW1590" s="528"/>
      <c r="QUX1590" s="528"/>
      <c r="QUY1590" s="528"/>
      <c r="QUZ1590" s="528"/>
      <c r="QVA1590" s="528"/>
      <c r="QVB1590" s="528"/>
      <c r="QVC1590" s="528"/>
      <c r="QVD1590" s="527"/>
      <c r="QVE1590" s="528"/>
      <c r="QVF1590" s="528"/>
      <c r="QVG1590" s="528"/>
      <c r="QVH1590" s="528"/>
      <c r="QVI1590" s="528"/>
      <c r="QVJ1590" s="528"/>
      <c r="QVK1590" s="528"/>
      <c r="QVL1590" s="528"/>
      <c r="QVM1590" s="528"/>
      <c r="QVN1590" s="528"/>
      <c r="QVO1590" s="527"/>
      <c r="QVP1590" s="528"/>
      <c r="QVQ1590" s="528"/>
      <c r="QVR1590" s="528"/>
      <c r="QVS1590" s="528"/>
      <c r="QVT1590" s="528"/>
      <c r="QVU1590" s="528"/>
      <c r="QVV1590" s="528"/>
      <c r="QVW1590" s="528"/>
      <c r="QVX1590" s="528"/>
      <c r="QVY1590" s="528"/>
      <c r="QVZ1590" s="527"/>
      <c r="QWA1590" s="528"/>
      <c r="QWB1590" s="528"/>
      <c r="QWC1590" s="528"/>
      <c r="QWD1590" s="528"/>
      <c r="QWE1590" s="528"/>
      <c r="QWF1590" s="528"/>
      <c r="QWG1590" s="528"/>
      <c r="QWH1590" s="528"/>
      <c r="QWI1590" s="528"/>
      <c r="QWJ1590" s="528"/>
      <c r="QWK1590" s="527"/>
      <c r="QWL1590" s="528"/>
      <c r="QWM1590" s="528"/>
      <c r="QWN1590" s="528"/>
      <c r="QWO1590" s="528"/>
      <c r="QWP1590" s="528"/>
      <c r="QWQ1590" s="528"/>
      <c r="QWR1590" s="528"/>
      <c r="QWS1590" s="528"/>
      <c r="QWT1590" s="528"/>
      <c r="QWU1590" s="528"/>
      <c r="QWV1590" s="527"/>
      <c r="QWW1590" s="528"/>
      <c r="QWX1590" s="528"/>
      <c r="QWY1590" s="528"/>
      <c r="QWZ1590" s="528"/>
      <c r="QXA1590" s="528"/>
      <c r="QXB1590" s="528"/>
      <c r="QXC1590" s="528"/>
      <c r="QXD1590" s="528"/>
      <c r="QXE1590" s="528"/>
      <c r="QXF1590" s="528"/>
      <c r="QXG1590" s="527"/>
      <c r="QXH1590" s="528"/>
      <c r="QXI1590" s="528"/>
      <c r="QXJ1590" s="528"/>
      <c r="QXK1590" s="528"/>
      <c r="QXL1590" s="528"/>
      <c r="QXM1590" s="528"/>
      <c r="QXN1590" s="528"/>
      <c r="QXO1590" s="528"/>
      <c r="QXP1590" s="528"/>
      <c r="QXQ1590" s="528"/>
      <c r="QXR1590" s="527"/>
      <c r="QXS1590" s="528"/>
      <c r="QXT1590" s="528"/>
      <c r="QXU1590" s="528"/>
      <c r="QXV1590" s="528"/>
      <c r="QXW1590" s="528"/>
      <c r="QXX1590" s="528"/>
      <c r="QXY1590" s="528"/>
      <c r="QXZ1590" s="528"/>
      <c r="QYA1590" s="528"/>
      <c r="QYB1590" s="528"/>
      <c r="QYC1590" s="527"/>
      <c r="QYD1590" s="528"/>
      <c r="QYE1590" s="528"/>
      <c r="QYF1590" s="528"/>
      <c r="QYG1590" s="528"/>
      <c r="QYH1590" s="528"/>
      <c r="QYI1590" s="528"/>
      <c r="QYJ1590" s="528"/>
      <c r="QYK1590" s="528"/>
      <c r="QYL1590" s="528"/>
      <c r="QYM1590" s="528"/>
      <c r="QYN1590" s="527"/>
      <c r="QYO1590" s="528"/>
      <c r="QYP1590" s="528"/>
      <c r="QYQ1590" s="528"/>
      <c r="QYR1590" s="528"/>
      <c r="QYS1590" s="528"/>
      <c r="QYT1590" s="528"/>
      <c r="QYU1590" s="528"/>
      <c r="QYV1590" s="528"/>
      <c r="QYW1590" s="528"/>
      <c r="QYX1590" s="528"/>
      <c r="QYY1590" s="527"/>
      <c r="QYZ1590" s="528"/>
      <c r="QZA1590" s="528"/>
      <c r="QZB1590" s="528"/>
      <c r="QZC1590" s="528"/>
      <c r="QZD1590" s="528"/>
      <c r="QZE1590" s="528"/>
      <c r="QZF1590" s="528"/>
      <c r="QZG1590" s="528"/>
      <c r="QZH1590" s="528"/>
      <c r="QZI1590" s="528"/>
      <c r="QZJ1590" s="527"/>
      <c r="QZK1590" s="528"/>
      <c r="QZL1590" s="528"/>
      <c r="QZM1590" s="528"/>
      <c r="QZN1590" s="528"/>
      <c r="QZO1590" s="528"/>
      <c r="QZP1590" s="528"/>
      <c r="QZQ1590" s="528"/>
      <c r="QZR1590" s="528"/>
      <c r="QZS1590" s="528"/>
      <c r="QZT1590" s="528"/>
      <c r="QZU1590" s="527"/>
      <c r="QZV1590" s="528"/>
      <c r="QZW1590" s="528"/>
      <c r="QZX1590" s="528"/>
      <c r="QZY1590" s="528"/>
      <c r="QZZ1590" s="528"/>
      <c r="RAA1590" s="528"/>
      <c r="RAB1590" s="528"/>
      <c r="RAC1590" s="528"/>
      <c r="RAD1590" s="528"/>
      <c r="RAE1590" s="528"/>
      <c r="RAF1590" s="527"/>
      <c r="RAG1590" s="528"/>
      <c r="RAH1590" s="528"/>
      <c r="RAI1590" s="528"/>
      <c r="RAJ1590" s="528"/>
      <c r="RAK1590" s="528"/>
      <c r="RAL1590" s="528"/>
      <c r="RAM1590" s="528"/>
      <c r="RAN1590" s="528"/>
      <c r="RAO1590" s="528"/>
      <c r="RAP1590" s="528"/>
      <c r="RAQ1590" s="527"/>
      <c r="RAR1590" s="528"/>
      <c r="RAS1590" s="528"/>
      <c r="RAT1590" s="528"/>
      <c r="RAU1590" s="528"/>
      <c r="RAV1590" s="528"/>
      <c r="RAW1590" s="528"/>
      <c r="RAX1590" s="528"/>
      <c r="RAY1590" s="528"/>
      <c r="RAZ1590" s="528"/>
      <c r="RBA1590" s="528"/>
      <c r="RBB1590" s="527"/>
      <c r="RBC1590" s="528"/>
      <c r="RBD1590" s="528"/>
      <c r="RBE1590" s="528"/>
      <c r="RBF1590" s="528"/>
      <c r="RBG1590" s="528"/>
      <c r="RBH1590" s="528"/>
      <c r="RBI1590" s="528"/>
      <c r="RBJ1590" s="528"/>
      <c r="RBK1590" s="528"/>
      <c r="RBL1590" s="528"/>
      <c r="RBM1590" s="527"/>
      <c r="RBN1590" s="528"/>
      <c r="RBO1590" s="528"/>
      <c r="RBP1590" s="528"/>
      <c r="RBQ1590" s="528"/>
      <c r="RBR1590" s="528"/>
      <c r="RBS1590" s="528"/>
      <c r="RBT1590" s="528"/>
      <c r="RBU1590" s="528"/>
      <c r="RBV1590" s="528"/>
      <c r="RBW1590" s="528"/>
      <c r="RBX1590" s="527"/>
      <c r="RBY1590" s="528"/>
      <c r="RBZ1590" s="528"/>
      <c r="RCA1590" s="528"/>
      <c r="RCB1590" s="528"/>
      <c r="RCC1590" s="528"/>
      <c r="RCD1590" s="528"/>
      <c r="RCE1590" s="528"/>
      <c r="RCF1590" s="528"/>
      <c r="RCG1590" s="528"/>
      <c r="RCH1590" s="528"/>
      <c r="RCI1590" s="527"/>
      <c r="RCJ1590" s="528"/>
      <c r="RCK1590" s="528"/>
      <c r="RCL1590" s="528"/>
      <c r="RCM1590" s="528"/>
      <c r="RCN1590" s="528"/>
      <c r="RCO1590" s="528"/>
      <c r="RCP1590" s="528"/>
      <c r="RCQ1590" s="528"/>
      <c r="RCR1590" s="528"/>
      <c r="RCS1590" s="528"/>
      <c r="RCT1590" s="527"/>
      <c r="RCU1590" s="528"/>
      <c r="RCV1590" s="528"/>
      <c r="RCW1590" s="528"/>
      <c r="RCX1590" s="528"/>
      <c r="RCY1590" s="528"/>
      <c r="RCZ1590" s="528"/>
      <c r="RDA1590" s="528"/>
      <c r="RDB1590" s="528"/>
      <c r="RDC1590" s="528"/>
      <c r="RDD1590" s="528"/>
      <c r="RDE1590" s="527"/>
      <c r="RDF1590" s="528"/>
      <c r="RDG1590" s="528"/>
      <c r="RDH1590" s="528"/>
      <c r="RDI1590" s="528"/>
      <c r="RDJ1590" s="528"/>
      <c r="RDK1590" s="528"/>
      <c r="RDL1590" s="528"/>
      <c r="RDM1590" s="528"/>
      <c r="RDN1590" s="528"/>
      <c r="RDO1590" s="528"/>
      <c r="RDP1590" s="527"/>
      <c r="RDQ1590" s="528"/>
      <c r="RDR1590" s="528"/>
      <c r="RDS1590" s="528"/>
      <c r="RDT1590" s="528"/>
      <c r="RDU1590" s="528"/>
      <c r="RDV1590" s="528"/>
      <c r="RDW1590" s="528"/>
      <c r="RDX1590" s="528"/>
      <c r="RDY1590" s="528"/>
      <c r="RDZ1590" s="528"/>
      <c r="REA1590" s="527"/>
      <c r="REB1590" s="528"/>
      <c r="REC1590" s="528"/>
      <c r="RED1590" s="528"/>
      <c r="REE1590" s="528"/>
      <c r="REF1590" s="528"/>
      <c r="REG1590" s="528"/>
      <c r="REH1590" s="528"/>
      <c r="REI1590" s="528"/>
      <c r="REJ1590" s="528"/>
      <c r="REK1590" s="528"/>
      <c r="REL1590" s="527"/>
      <c r="REM1590" s="528"/>
      <c r="REN1590" s="528"/>
      <c r="REO1590" s="528"/>
      <c r="REP1590" s="528"/>
      <c r="REQ1590" s="528"/>
      <c r="RER1590" s="528"/>
      <c r="RES1590" s="528"/>
      <c r="RET1590" s="528"/>
      <c r="REU1590" s="528"/>
      <c r="REV1590" s="528"/>
      <c r="REW1590" s="527"/>
      <c r="REX1590" s="528"/>
      <c r="REY1590" s="528"/>
      <c r="REZ1590" s="528"/>
      <c r="RFA1590" s="528"/>
      <c r="RFB1590" s="528"/>
      <c r="RFC1590" s="528"/>
      <c r="RFD1590" s="528"/>
      <c r="RFE1590" s="528"/>
      <c r="RFF1590" s="528"/>
      <c r="RFG1590" s="528"/>
      <c r="RFH1590" s="527"/>
      <c r="RFI1590" s="528"/>
      <c r="RFJ1590" s="528"/>
      <c r="RFK1590" s="528"/>
      <c r="RFL1590" s="528"/>
      <c r="RFM1590" s="528"/>
      <c r="RFN1590" s="528"/>
      <c r="RFO1590" s="528"/>
      <c r="RFP1590" s="528"/>
      <c r="RFQ1590" s="528"/>
      <c r="RFR1590" s="528"/>
      <c r="RFS1590" s="527"/>
      <c r="RFT1590" s="528"/>
      <c r="RFU1590" s="528"/>
      <c r="RFV1590" s="528"/>
      <c r="RFW1590" s="528"/>
      <c r="RFX1590" s="528"/>
      <c r="RFY1590" s="528"/>
      <c r="RFZ1590" s="528"/>
      <c r="RGA1590" s="528"/>
      <c r="RGB1590" s="528"/>
      <c r="RGC1590" s="528"/>
      <c r="RGD1590" s="527"/>
      <c r="RGE1590" s="528"/>
      <c r="RGF1590" s="528"/>
      <c r="RGG1590" s="528"/>
      <c r="RGH1590" s="528"/>
      <c r="RGI1590" s="528"/>
      <c r="RGJ1590" s="528"/>
      <c r="RGK1590" s="528"/>
      <c r="RGL1590" s="528"/>
      <c r="RGM1590" s="528"/>
      <c r="RGN1590" s="528"/>
      <c r="RGO1590" s="527"/>
      <c r="RGP1590" s="528"/>
      <c r="RGQ1590" s="528"/>
      <c r="RGR1590" s="528"/>
      <c r="RGS1590" s="528"/>
      <c r="RGT1590" s="528"/>
      <c r="RGU1590" s="528"/>
      <c r="RGV1590" s="528"/>
      <c r="RGW1590" s="528"/>
      <c r="RGX1590" s="528"/>
      <c r="RGY1590" s="528"/>
      <c r="RGZ1590" s="527"/>
      <c r="RHA1590" s="528"/>
      <c r="RHB1590" s="528"/>
      <c r="RHC1590" s="528"/>
      <c r="RHD1590" s="528"/>
      <c r="RHE1590" s="528"/>
      <c r="RHF1590" s="528"/>
      <c r="RHG1590" s="528"/>
      <c r="RHH1590" s="528"/>
      <c r="RHI1590" s="528"/>
      <c r="RHJ1590" s="528"/>
      <c r="RHK1590" s="527"/>
      <c r="RHL1590" s="528"/>
      <c r="RHM1590" s="528"/>
      <c r="RHN1590" s="528"/>
      <c r="RHO1590" s="528"/>
      <c r="RHP1590" s="528"/>
      <c r="RHQ1590" s="528"/>
      <c r="RHR1590" s="528"/>
      <c r="RHS1590" s="528"/>
      <c r="RHT1590" s="528"/>
      <c r="RHU1590" s="528"/>
      <c r="RHV1590" s="527"/>
      <c r="RHW1590" s="528"/>
      <c r="RHX1590" s="528"/>
      <c r="RHY1590" s="528"/>
      <c r="RHZ1590" s="528"/>
      <c r="RIA1590" s="528"/>
      <c r="RIB1590" s="528"/>
      <c r="RIC1590" s="528"/>
      <c r="RID1590" s="528"/>
      <c r="RIE1590" s="528"/>
      <c r="RIF1590" s="528"/>
      <c r="RIG1590" s="527"/>
      <c r="RIH1590" s="528"/>
      <c r="RII1590" s="528"/>
      <c r="RIJ1590" s="528"/>
      <c r="RIK1590" s="528"/>
      <c r="RIL1590" s="528"/>
      <c r="RIM1590" s="528"/>
      <c r="RIN1590" s="528"/>
      <c r="RIO1590" s="528"/>
      <c r="RIP1590" s="528"/>
      <c r="RIQ1590" s="528"/>
      <c r="RIR1590" s="527"/>
      <c r="RIS1590" s="528"/>
      <c r="RIT1590" s="528"/>
      <c r="RIU1590" s="528"/>
      <c r="RIV1590" s="528"/>
      <c r="RIW1590" s="528"/>
      <c r="RIX1590" s="528"/>
      <c r="RIY1590" s="528"/>
      <c r="RIZ1590" s="528"/>
      <c r="RJA1590" s="528"/>
      <c r="RJB1590" s="528"/>
      <c r="RJC1590" s="527"/>
      <c r="RJD1590" s="528"/>
      <c r="RJE1590" s="528"/>
      <c r="RJF1590" s="528"/>
      <c r="RJG1590" s="528"/>
      <c r="RJH1590" s="528"/>
      <c r="RJI1590" s="528"/>
      <c r="RJJ1590" s="528"/>
      <c r="RJK1590" s="528"/>
      <c r="RJL1590" s="528"/>
      <c r="RJM1590" s="528"/>
      <c r="RJN1590" s="527"/>
      <c r="RJO1590" s="528"/>
      <c r="RJP1590" s="528"/>
      <c r="RJQ1590" s="528"/>
      <c r="RJR1590" s="528"/>
      <c r="RJS1590" s="528"/>
      <c r="RJT1590" s="528"/>
      <c r="RJU1590" s="528"/>
      <c r="RJV1590" s="528"/>
      <c r="RJW1590" s="528"/>
      <c r="RJX1590" s="528"/>
      <c r="RJY1590" s="527"/>
      <c r="RJZ1590" s="528"/>
      <c r="RKA1590" s="528"/>
      <c r="RKB1590" s="528"/>
      <c r="RKC1590" s="528"/>
      <c r="RKD1590" s="528"/>
      <c r="RKE1590" s="528"/>
      <c r="RKF1590" s="528"/>
      <c r="RKG1590" s="528"/>
      <c r="RKH1590" s="528"/>
      <c r="RKI1590" s="528"/>
      <c r="RKJ1590" s="527"/>
      <c r="RKK1590" s="528"/>
      <c r="RKL1590" s="528"/>
      <c r="RKM1590" s="528"/>
      <c r="RKN1590" s="528"/>
      <c r="RKO1590" s="528"/>
      <c r="RKP1590" s="528"/>
      <c r="RKQ1590" s="528"/>
      <c r="RKR1590" s="528"/>
      <c r="RKS1590" s="528"/>
      <c r="RKT1590" s="528"/>
      <c r="RKU1590" s="527"/>
      <c r="RKV1590" s="528"/>
      <c r="RKW1590" s="528"/>
      <c r="RKX1590" s="528"/>
      <c r="RKY1590" s="528"/>
      <c r="RKZ1590" s="528"/>
      <c r="RLA1590" s="528"/>
      <c r="RLB1590" s="528"/>
      <c r="RLC1590" s="528"/>
      <c r="RLD1590" s="528"/>
      <c r="RLE1590" s="528"/>
      <c r="RLF1590" s="527"/>
      <c r="RLG1590" s="528"/>
      <c r="RLH1590" s="528"/>
      <c r="RLI1590" s="528"/>
      <c r="RLJ1590" s="528"/>
      <c r="RLK1590" s="528"/>
      <c r="RLL1590" s="528"/>
      <c r="RLM1590" s="528"/>
      <c r="RLN1590" s="528"/>
      <c r="RLO1590" s="528"/>
      <c r="RLP1590" s="528"/>
      <c r="RLQ1590" s="527"/>
      <c r="RLR1590" s="528"/>
      <c r="RLS1590" s="528"/>
      <c r="RLT1590" s="528"/>
      <c r="RLU1590" s="528"/>
      <c r="RLV1590" s="528"/>
      <c r="RLW1590" s="528"/>
      <c r="RLX1590" s="528"/>
      <c r="RLY1590" s="528"/>
      <c r="RLZ1590" s="528"/>
      <c r="RMA1590" s="528"/>
      <c r="RMB1590" s="527"/>
      <c r="RMC1590" s="528"/>
      <c r="RMD1590" s="528"/>
      <c r="RME1590" s="528"/>
      <c r="RMF1590" s="528"/>
      <c r="RMG1590" s="528"/>
      <c r="RMH1590" s="528"/>
      <c r="RMI1590" s="528"/>
      <c r="RMJ1590" s="528"/>
      <c r="RMK1590" s="528"/>
      <c r="RML1590" s="528"/>
      <c r="RMM1590" s="527"/>
      <c r="RMN1590" s="528"/>
      <c r="RMO1590" s="528"/>
      <c r="RMP1590" s="528"/>
      <c r="RMQ1590" s="528"/>
      <c r="RMR1590" s="528"/>
      <c r="RMS1590" s="528"/>
      <c r="RMT1590" s="528"/>
      <c r="RMU1590" s="528"/>
      <c r="RMV1590" s="528"/>
      <c r="RMW1590" s="528"/>
      <c r="RMX1590" s="527"/>
      <c r="RMY1590" s="528"/>
      <c r="RMZ1590" s="528"/>
      <c r="RNA1590" s="528"/>
      <c r="RNB1590" s="528"/>
      <c r="RNC1590" s="528"/>
      <c r="RND1590" s="528"/>
      <c r="RNE1590" s="528"/>
      <c r="RNF1590" s="528"/>
      <c r="RNG1590" s="528"/>
      <c r="RNH1590" s="528"/>
      <c r="RNI1590" s="527"/>
      <c r="RNJ1590" s="528"/>
      <c r="RNK1590" s="528"/>
      <c r="RNL1590" s="528"/>
      <c r="RNM1590" s="528"/>
      <c r="RNN1590" s="528"/>
      <c r="RNO1590" s="528"/>
      <c r="RNP1590" s="528"/>
      <c r="RNQ1590" s="528"/>
      <c r="RNR1590" s="528"/>
      <c r="RNS1590" s="528"/>
      <c r="RNT1590" s="527"/>
      <c r="RNU1590" s="528"/>
      <c r="RNV1590" s="528"/>
      <c r="RNW1590" s="528"/>
      <c r="RNX1590" s="528"/>
      <c r="RNY1590" s="528"/>
      <c r="RNZ1590" s="528"/>
      <c r="ROA1590" s="528"/>
      <c r="ROB1590" s="528"/>
      <c r="ROC1590" s="528"/>
      <c r="ROD1590" s="528"/>
      <c r="ROE1590" s="527"/>
      <c r="ROF1590" s="528"/>
      <c r="ROG1590" s="528"/>
      <c r="ROH1590" s="528"/>
      <c r="ROI1590" s="528"/>
      <c r="ROJ1590" s="528"/>
      <c r="ROK1590" s="528"/>
      <c r="ROL1590" s="528"/>
      <c r="ROM1590" s="528"/>
      <c r="RON1590" s="528"/>
      <c r="ROO1590" s="528"/>
      <c r="ROP1590" s="527"/>
      <c r="ROQ1590" s="528"/>
      <c r="ROR1590" s="528"/>
      <c r="ROS1590" s="528"/>
      <c r="ROT1590" s="528"/>
      <c r="ROU1590" s="528"/>
      <c r="ROV1590" s="528"/>
      <c r="ROW1590" s="528"/>
      <c r="ROX1590" s="528"/>
      <c r="ROY1590" s="528"/>
      <c r="ROZ1590" s="528"/>
      <c r="RPA1590" s="527"/>
      <c r="RPB1590" s="528"/>
      <c r="RPC1590" s="528"/>
      <c r="RPD1590" s="528"/>
      <c r="RPE1590" s="528"/>
      <c r="RPF1590" s="528"/>
      <c r="RPG1590" s="528"/>
      <c r="RPH1590" s="528"/>
      <c r="RPI1590" s="528"/>
      <c r="RPJ1590" s="528"/>
      <c r="RPK1590" s="528"/>
      <c r="RPL1590" s="527"/>
      <c r="RPM1590" s="528"/>
      <c r="RPN1590" s="528"/>
      <c r="RPO1590" s="528"/>
      <c r="RPP1590" s="528"/>
      <c r="RPQ1590" s="528"/>
      <c r="RPR1590" s="528"/>
      <c r="RPS1590" s="528"/>
      <c r="RPT1590" s="528"/>
      <c r="RPU1590" s="528"/>
      <c r="RPV1590" s="528"/>
      <c r="RPW1590" s="527"/>
      <c r="RPX1590" s="528"/>
      <c r="RPY1590" s="528"/>
      <c r="RPZ1590" s="528"/>
      <c r="RQA1590" s="528"/>
      <c r="RQB1590" s="528"/>
      <c r="RQC1590" s="528"/>
      <c r="RQD1590" s="528"/>
      <c r="RQE1590" s="528"/>
      <c r="RQF1590" s="528"/>
      <c r="RQG1590" s="528"/>
      <c r="RQH1590" s="527"/>
      <c r="RQI1590" s="528"/>
      <c r="RQJ1590" s="528"/>
      <c r="RQK1590" s="528"/>
      <c r="RQL1590" s="528"/>
      <c r="RQM1590" s="528"/>
      <c r="RQN1590" s="528"/>
      <c r="RQO1590" s="528"/>
      <c r="RQP1590" s="528"/>
      <c r="RQQ1590" s="528"/>
      <c r="RQR1590" s="528"/>
      <c r="RQS1590" s="527"/>
      <c r="RQT1590" s="528"/>
      <c r="RQU1590" s="528"/>
      <c r="RQV1590" s="528"/>
      <c r="RQW1590" s="528"/>
      <c r="RQX1590" s="528"/>
      <c r="RQY1590" s="528"/>
      <c r="RQZ1590" s="528"/>
      <c r="RRA1590" s="528"/>
      <c r="RRB1590" s="528"/>
      <c r="RRC1590" s="528"/>
      <c r="RRD1590" s="527"/>
      <c r="RRE1590" s="528"/>
      <c r="RRF1590" s="528"/>
      <c r="RRG1590" s="528"/>
      <c r="RRH1590" s="528"/>
      <c r="RRI1590" s="528"/>
      <c r="RRJ1590" s="528"/>
      <c r="RRK1590" s="528"/>
      <c r="RRL1590" s="528"/>
      <c r="RRM1590" s="528"/>
      <c r="RRN1590" s="528"/>
      <c r="RRO1590" s="527"/>
      <c r="RRP1590" s="528"/>
      <c r="RRQ1590" s="528"/>
      <c r="RRR1590" s="528"/>
      <c r="RRS1590" s="528"/>
      <c r="RRT1590" s="528"/>
      <c r="RRU1590" s="528"/>
      <c r="RRV1590" s="528"/>
      <c r="RRW1590" s="528"/>
      <c r="RRX1590" s="528"/>
      <c r="RRY1590" s="528"/>
      <c r="RRZ1590" s="527"/>
      <c r="RSA1590" s="528"/>
      <c r="RSB1590" s="528"/>
      <c r="RSC1590" s="528"/>
      <c r="RSD1590" s="528"/>
      <c r="RSE1590" s="528"/>
      <c r="RSF1590" s="528"/>
      <c r="RSG1590" s="528"/>
      <c r="RSH1590" s="528"/>
      <c r="RSI1590" s="528"/>
      <c r="RSJ1590" s="528"/>
      <c r="RSK1590" s="527"/>
      <c r="RSL1590" s="528"/>
      <c r="RSM1590" s="528"/>
      <c r="RSN1590" s="528"/>
      <c r="RSO1590" s="528"/>
      <c r="RSP1590" s="528"/>
      <c r="RSQ1590" s="528"/>
      <c r="RSR1590" s="528"/>
      <c r="RSS1590" s="528"/>
      <c r="RST1590" s="528"/>
      <c r="RSU1590" s="528"/>
      <c r="RSV1590" s="527"/>
      <c r="RSW1590" s="528"/>
      <c r="RSX1590" s="528"/>
      <c r="RSY1590" s="528"/>
      <c r="RSZ1590" s="528"/>
      <c r="RTA1590" s="528"/>
      <c r="RTB1590" s="528"/>
      <c r="RTC1590" s="528"/>
      <c r="RTD1590" s="528"/>
      <c r="RTE1590" s="528"/>
      <c r="RTF1590" s="528"/>
      <c r="RTG1590" s="527"/>
      <c r="RTH1590" s="528"/>
      <c r="RTI1590" s="528"/>
      <c r="RTJ1590" s="528"/>
      <c r="RTK1590" s="528"/>
      <c r="RTL1590" s="528"/>
      <c r="RTM1590" s="528"/>
      <c r="RTN1590" s="528"/>
      <c r="RTO1590" s="528"/>
      <c r="RTP1590" s="528"/>
      <c r="RTQ1590" s="528"/>
      <c r="RTR1590" s="527"/>
      <c r="RTS1590" s="528"/>
      <c r="RTT1590" s="528"/>
      <c r="RTU1590" s="528"/>
      <c r="RTV1590" s="528"/>
      <c r="RTW1590" s="528"/>
      <c r="RTX1590" s="528"/>
      <c r="RTY1590" s="528"/>
      <c r="RTZ1590" s="528"/>
      <c r="RUA1590" s="528"/>
      <c r="RUB1590" s="528"/>
      <c r="RUC1590" s="527"/>
      <c r="RUD1590" s="528"/>
      <c r="RUE1590" s="528"/>
      <c r="RUF1590" s="528"/>
      <c r="RUG1590" s="528"/>
      <c r="RUH1590" s="528"/>
      <c r="RUI1590" s="528"/>
      <c r="RUJ1590" s="528"/>
      <c r="RUK1590" s="528"/>
      <c r="RUL1590" s="528"/>
      <c r="RUM1590" s="528"/>
      <c r="RUN1590" s="527"/>
      <c r="RUO1590" s="528"/>
      <c r="RUP1590" s="528"/>
      <c r="RUQ1590" s="528"/>
      <c r="RUR1590" s="528"/>
      <c r="RUS1590" s="528"/>
      <c r="RUT1590" s="528"/>
      <c r="RUU1590" s="528"/>
      <c r="RUV1590" s="528"/>
      <c r="RUW1590" s="528"/>
      <c r="RUX1590" s="528"/>
      <c r="RUY1590" s="527"/>
      <c r="RUZ1590" s="528"/>
      <c r="RVA1590" s="528"/>
      <c r="RVB1590" s="528"/>
      <c r="RVC1590" s="528"/>
      <c r="RVD1590" s="528"/>
      <c r="RVE1590" s="528"/>
      <c r="RVF1590" s="528"/>
      <c r="RVG1590" s="528"/>
      <c r="RVH1590" s="528"/>
      <c r="RVI1590" s="528"/>
      <c r="RVJ1590" s="527"/>
      <c r="RVK1590" s="528"/>
      <c r="RVL1590" s="528"/>
      <c r="RVM1590" s="528"/>
      <c r="RVN1590" s="528"/>
      <c r="RVO1590" s="528"/>
      <c r="RVP1590" s="528"/>
      <c r="RVQ1590" s="528"/>
      <c r="RVR1590" s="528"/>
      <c r="RVS1590" s="528"/>
      <c r="RVT1590" s="528"/>
      <c r="RVU1590" s="527"/>
      <c r="RVV1590" s="528"/>
      <c r="RVW1590" s="528"/>
      <c r="RVX1590" s="528"/>
      <c r="RVY1590" s="528"/>
      <c r="RVZ1590" s="528"/>
      <c r="RWA1590" s="528"/>
      <c r="RWB1590" s="528"/>
      <c r="RWC1590" s="528"/>
      <c r="RWD1590" s="528"/>
      <c r="RWE1590" s="528"/>
      <c r="RWF1590" s="527"/>
      <c r="RWG1590" s="528"/>
      <c r="RWH1590" s="528"/>
      <c r="RWI1590" s="528"/>
      <c r="RWJ1590" s="528"/>
      <c r="RWK1590" s="528"/>
      <c r="RWL1590" s="528"/>
      <c r="RWM1590" s="528"/>
      <c r="RWN1590" s="528"/>
      <c r="RWO1590" s="528"/>
      <c r="RWP1590" s="528"/>
      <c r="RWQ1590" s="527"/>
      <c r="RWR1590" s="528"/>
      <c r="RWS1590" s="528"/>
      <c r="RWT1590" s="528"/>
      <c r="RWU1590" s="528"/>
      <c r="RWV1590" s="528"/>
      <c r="RWW1590" s="528"/>
      <c r="RWX1590" s="528"/>
      <c r="RWY1590" s="528"/>
      <c r="RWZ1590" s="528"/>
      <c r="RXA1590" s="528"/>
      <c r="RXB1590" s="527"/>
      <c r="RXC1590" s="528"/>
      <c r="RXD1590" s="528"/>
      <c r="RXE1590" s="528"/>
      <c r="RXF1590" s="528"/>
      <c r="RXG1590" s="528"/>
      <c r="RXH1590" s="528"/>
      <c r="RXI1590" s="528"/>
      <c r="RXJ1590" s="528"/>
      <c r="RXK1590" s="528"/>
      <c r="RXL1590" s="528"/>
      <c r="RXM1590" s="527"/>
      <c r="RXN1590" s="528"/>
      <c r="RXO1590" s="528"/>
      <c r="RXP1590" s="528"/>
      <c r="RXQ1590" s="528"/>
      <c r="RXR1590" s="528"/>
      <c r="RXS1590" s="528"/>
      <c r="RXT1590" s="528"/>
      <c r="RXU1590" s="528"/>
      <c r="RXV1590" s="528"/>
      <c r="RXW1590" s="528"/>
      <c r="RXX1590" s="527"/>
      <c r="RXY1590" s="528"/>
      <c r="RXZ1590" s="528"/>
      <c r="RYA1590" s="528"/>
      <c r="RYB1590" s="528"/>
      <c r="RYC1590" s="528"/>
      <c r="RYD1590" s="528"/>
      <c r="RYE1590" s="528"/>
      <c r="RYF1590" s="528"/>
      <c r="RYG1590" s="528"/>
      <c r="RYH1590" s="528"/>
      <c r="RYI1590" s="527"/>
      <c r="RYJ1590" s="528"/>
      <c r="RYK1590" s="528"/>
      <c r="RYL1590" s="528"/>
      <c r="RYM1590" s="528"/>
      <c r="RYN1590" s="528"/>
      <c r="RYO1590" s="528"/>
      <c r="RYP1590" s="528"/>
      <c r="RYQ1590" s="528"/>
      <c r="RYR1590" s="528"/>
      <c r="RYS1590" s="528"/>
      <c r="RYT1590" s="527"/>
      <c r="RYU1590" s="528"/>
      <c r="RYV1590" s="528"/>
      <c r="RYW1590" s="528"/>
      <c r="RYX1590" s="528"/>
      <c r="RYY1590" s="528"/>
      <c r="RYZ1590" s="528"/>
      <c r="RZA1590" s="528"/>
      <c r="RZB1590" s="528"/>
      <c r="RZC1590" s="528"/>
      <c r="RZD1590" s="528"/>
      <c r="RZE1590" s="527"/>
      <c r="RZF1590" s="528"/>
      <c r="RZG1590" s="528"/>
      <c r="RZH1590" s="528"/>
      <c r="RZI1590" s="528"/>
      <c r="RZJ1590" s="528"/>
      <c r="RZK1590" s="528"/>
      <c r="RZL1590" s="528"/>
      <c r="RZM1590" s="528"/>
      <c r="RZN1590" s="528"/>
      <c r="RZO1590" s="528"/>
      <c r="RZP1590" s="527"/>
      <c r="RZQ1590" s="528"/>
      <c r="RZR1590" s="528"/>
      <c r="RZS1590" s="528"/>
      <c r="RZT1590" s="528"/>
      <c r="RZU1590" s="528"/>
      <c r="RZV1590" s="528"/>
      <c r="RZW1590" s="528"/>
      <c r="RZX1590" s="528"/>
      <c r="RZY1590" s="528"/>
      <c r="RZZ1590" s="528"/>
      <c r="SAA1590" s="527"/>
      <c r="SAB1590" s="528"/>
      <c r="SAC1590" s="528"/>
      <c r="SAD1590" s="528"/>
      <c r="SAE1590" s="528"/>
      <c r="SAF1590" s="528"/>
      <c r="SAG1590" s="528"/>
      <c r="SAH1590" s="528"/>
      <c r="SAI1590" s="528"/>
      <c r="SAJ1590" s="528"/>
      <c r="SAK1590" s="528"/>
      <c r="SAL1590" s="527"/>
      <c r="SAM1590" s="528"/>
      <c r="SAN1590" s="528"/>
      <c r="SAO1590" s="528"/>
      <c r="SAP1590" s="528"/>
      <c r="SAQ1590" s="528"/>
      <c r="SAR1590" s="528"/>
      <c r="SAS1590" s="528"/>
      <c r="SAT1590" s="528"/>
      <c r="SAU1590" s="528"/>
      <c r="SAV1590" s="528"/>
      <c r="SAW1590" s="527"/>
      <c r="SAX1590" s="528"/>
      <c r="SAY1590" s="528"/>
      <c r="SAZ1590" s="528"/>
      <c r="SBA1590" s="528"/>
      <c r="SBB1590" s="528"/>
      <c r="SBC1590" s="528"/>
      <c r="SBD1590" s="528"/>
      <c r="SBE1590" s="528"/>
      <c r="SBF1590" s="528"/>
      <c r="SBG1590" s="528"/>
      <c r="SBH1590" s="527"/>
      <c r="SBI1590" s="528"/>
      <c r="SBJ1590" s="528"/>
      <c r="SBK1590" s="528"/>
      <c r="SBL1590" s="528"/>
      <c r="SBM1590" s="528"/>
      <c r="SBN1590" s="528"/>
      <c r="SBO1590" s="528"/>
      <c r="SBP1590" s="528"/>
      <c r="SBQ1590" s="528"/>
      <c r="SBR1590" s="528"/>
      <c r="SBS1590" s="527"/>
      <c r="SBT1590" s="528"/>
      <c r="SBU1590" s="528"/>
      <c r="SBV1590" s="528"/>
      <c r="SBW1590" s="528"/>
      <c r="SBX1590" s="528"/>
      <c r="SBY1590" s="528"/>
      <c r="SBZ1590" s="528"/>
      <c r="SCA1590" s="528"/>
      <c r="SCB1590" s="528"/>
      <c r="SCC1590" s="528"/>
      <c r="SCD1590" s="527"/>
      <c r="SCE1590" s="528"/>
      <c r="SCF1590" s="528"/>
      <c r="SCG1590" s="528"/>
      <c r="SCH1590" s="528"/>
      <c r="SCI1590" s="528"/>
      <c r="SCJ1590" s="528"/>
      <c r="SCK1590" s="528"/>
      <c r="SCL1590" s="528"/>
      <c r="SCM1590" s="528"/>
      <c r="SCN1590" s="528"/>
      <c r="SCO1590" s="527"/>
      <c r="SCP1590" s="528"/>
      <c r="SCQ1590" s="528"/>
      <c r="SCR1590" s="528"/>
      <c r="SCS1590" s="528"/>
      <c r="SCT1590" s="528"/>
      <c r="SCU1590" s="528"/>
      <c r="SCV1590" s="528"/>
      <c r="SCW1590" s="528"/>
      <c r="SCX1590" s="528"/>
      <c r="SCY1590" s="528"/>
      <c r="SCZ1590" s="527"/>
      <c r="SDA1590" s="528"/>
      <c r="SDB1590" s="528"/>
      <c r="SDC1590" s="528"/>
      <c r="SDD1590" s="528"/>
      <c r="SDE1590" s="528"/>
      <c r="SDF1590" s="528"/>
      <c r="SDG1590" s="528"/>
      <c r="SDH1590" s="528"/>
      <c r="SDI1590" s="528"/>
      <c r="SDJ1590" s="528"/>
      <c r="SDK1590" s="527"/>
      <c r="SDL1590" s="528"/>
      <c r="SDM1590" s="528"/>
      <c r="SDN1590" s="528"/>
      <c r="SDO1590" s="528"/>
      <c r="SDP1590" s="528"/>
      <c r="SDQ1590" s="528"/>
      <c r="SDR1590" s="528"/>
      <c r="SDS1590" s="528"/>
      <c r="SDT1590" s="528"/>
      <c r="SDU1590" s="528"/>
      <c r="SDV1590" s="527"/>
      <c r="SDW1590" s="528"/>
      <c r="SDX1590" s="528"/>
      <c r="SDY1590" s="528"/>
      <c r="SDZ1590" s="528"/>
      <c r="SEA1590" s="528"/>
      <c r="SEB1590" s="528"/>
      <c r="SEC1590" s="528"/>
      <c r="SED1590" s="528"/>
      <c r="SEE1590" s="528"/>
      <c r="SEF1590" s="528"/>
      <c r="SEG1590" s="527"/>
      <c r="SEH1590" s="528"/>
      <c r="SEI1590" s="528"/>
      <c r="SEJ1590" s="528"/>
      <c r="SEK1590" s="528"/>
      <c r="SEL1590" s="528"/>
      <c r="SEM1590" s="528"/>
      <c r="SEN1590" s="528"/>
      <c r="SEO1590" s="528"/>
      <c r="SEP1590" s="528"/>
      <c r="SEQ1590" s="528"/>
      <c r="SER1590" s="527"/>
      <c r="SES1590" s="528"/>
      <c r="SET1590" s="528"/>
      <c r="SEU1590" s="528"/>
      <c r="SEV1590" s="528"/>
      <c r="SEW1590" s="528"/>
      <c r="SEX1590" s="528"/>
      <c r="SEY1590" s="528"/>
      <c r="SEZ1590" s="528"/>
      <c r="SFA1590" s="528"/>
      <c r="SFB1590" s="528"/>
      <c r="SFC1590" s="527"/>
      <c r="SFD1590" s="528"/>
      <c r="SFE1590" s="528"/>
      <c r="SFF1590" s="528"/>
      <c r="SFG1590" s="528"/>
      <c r="SFH1590" s="528"/>
      <c r="SFI1590" s="528"/>
      <c r="SFJ1590" s="528"/>
      <c r="SFK1590" s="528"/>
      <c r="SFL1590" s="528"/>
      <c r="SFM1590" s="528"/>
      <c r="SFN1590" s="527"/>
      <c r="SFO1590" s="528"/>
      <c r="SFP1590" s="528"/>
      <c r="SFQ1590" s="528"/>
      <c r="SFR1590" s="528"/>
      <c r="SFS1590" s="528"/>
      <c r="SFT1590" s="528"/>
      <c r="SFU1590" s="528"/>
      <c r="SFV1590" s="528"/>
      <c r="SFW1590" s="528"/>
      <c r="SFX1590" s="528"/>
      <c r="SFY1590" s="527"/>
      <c r="SFZ1590" s="528"/>
      <c r="SGA1590" s="528"/>
      <c r="SGB1590" s="528"/>
      <c r="SGC1590" s="528"/>
      <c r="SGD1590" s="528"/>
      <c r="SGE1590" s="528"/>
      <c r="SGF1590" s="528"/>
      <c r="SGG1590" s="528"/>
      <c r="SGH1590" s="528"/>
      <c r="SGI1590" s="528"/>
      <c r="SGJ1590" s="527"/>
      <c r="SGK1590" s="528"/>
      <c r="SGL1590" s="528"/>
      <c r="SGM1590" s="528"/>
      <c r="SGN1590" s="528"/>
      <c r="SGO1590" s="528"/>
      <c r="SGP1590" s="528"/>
      <c r="SGQ1590" s="528"/>
      <c r="SGR1590" s="528"/>
      <c r="SGS1590" s="528"/>
      <c r="SGT1590" s="528"/>
      <c r="SGU1590" s="527"/>
      <c r="SGV1590" s="528"/>
      <c r="SGW1590" s="528"/>
      <c r="SGX1590" s="528"/>
      <c r="SGY1590" s="528"/>
      <c r="SGZ1590" s="528"/>
      <c r="SHA1590" s="528"/>
      <c r="SHB1590" s="528"/>
      <c r="SHC1590" s="528"/>
      <c r="SHD1590" s="528"/>
      <c r="SHE1590" s="528"/>
      <c r="SHF1590" s="527"/>
      <c r="SHG1590" s="528"/>
      <c r="SHH1590" s="528"/>
      <c r="SHI1590" s="528"/>
      <c r="SHJ1590" s="528"/>
      <c r="SHK1590" s="528"/>
      <c r="SHL1590" s="528"/>
      <c r="SHM1590" s="528"/>
      <c r="SHN1590" s="528"/>
      <c r="SHO1590" s="528"/>
      <c r="SHP1590" s="528"/>
      <c r="SHQ1590" s="527"/>
      <c r="SHR1590" s="528"/>
      <c r="SHS1590" s="528"/>
      <c r="SHT1590" s="528"/>
      <c r="SHU1590" s="528"/>
      <c r="SHV1590" s="528"/>
      <c r="SHW1590" s="528"/>
      <c r="SHX1590" s="528"/>
      <c r="SHY1590" s="528"/>
      <c r="SHZ1590" s="528"/>
      <c r="SIA1590" s="528"/>
      <c r="SIB1590" s="527"/>
      <c r="SIC1590" s="528"/>
      <c r="SID1590" s="528"/>
      <c r="SIE1590" s="528"/>
      <c r="SIF1590" s="528"/>
      <c r="SIG1590" s="528"/>
      <c r="SIH1590" s="528"/>
      <c r="SII1590" s="528"/>
      <c r="SIJ1590" s="528"/>
      <c r="SIK1590" s="528"/>
      <c r="SIL1590" s="528"/>
      <c r="SIM1590" s="527"/>
      <c r="SIN1590" s="528"/>
      <c r="SIO1590" s="528"/>
      <c r="SIP1590" s="528"/>
      <c r="SIQ1590" s="528"/>
      <c r="SIR1590" s="528"/>
      <c r="SIS1590" s="528"/>
      <c r="SIT1590" s="528"/>
      <c r="SIU1590" s="528"/>
      <c r="SIV1590" s="528"/>
      <c r="SIW1590" s="528"/>
      <c r="SIX1590" s="527"/>
      <c r="SIY1590" s="528"/>
      <c r="SIZ1590" s="528"/>
      <c r="SJA1590" s="528"/>
      <c r="SJB1590" s="528"/>
      <c r="SJC1590" s="528"/>
      <c r="SJD1590" s="528"/>
      <c r="SJE1590" s="528"/>
      <c r="SJF1590" s="528"/>
      <c r="SJG1590" s="528"/>
      <c r="SJH1590" s="528"/>
      <c r="SJI1590" s="527"/>
      <c r="SJJ1590" s="528"/>
      <c r="SJK1590" s="528"/>
      <c r="SJL1590" s="528"/>
      <c r="SJM1590" s="528"/>
      <c r="SJN1590" s="528"/>
      <c r="SJO1590" s="528"/>
      <c r="SJP1590" s="528"/>
      <c r="SJQ1590" s="528"/>
      <c r="SJR1590" s="528"/>
      <c r="SJS1590" s="528"/>
      <c r="SJT1590" s="527"/>
      <c r="SJU1590" s="528"/>
      <c r="SJV1590" s="528"/>
      <c r="SJW1590" s="528"/>
      <c r="SJX1590" s="528"/>
      <c r="SJY1590" s="528"/>
      <c r="SJZ1590" s="528"/>
      <c r="SKA1590" s="528"/>
      <c r="SKB1590" s="528"/>
      <c r="SKC1590" s="528"/>
      <c r="SKD1590" s="528"/>
      <c r="SKE1590" s="527"/>
      <c r="SKF1590" s="528"/>
      <c r="SKG1590" s="528"/>
      <c r="SKH1590" s="528"/>
      <c r="SKI1590" s="528"/>
      <c r="SKJ1590" s="528"/>
      <c r="SKK1590" s="528"/>
      <c r="SKL1590" s="528"/>
      <c r="SKM1590" s="528"/>
      <c r="SKN1590" s="528"/>
      <c r="SKO1590" s="528"/>
      <c r="SKP1590" s="527"/>
      <c r="SKQ1590" s="528"/>
      <c r="SKR1590" s="528"/>
      <c r="SKS1590" s="528"/>
      <c r="SKT1590" s="528"/>
      <c r="SKU1590" s="528"/>
      <c r="SKV1590" s="528"/>
      <c r="SKW1590" s="528"/>
      <c r="SKX1590" s="528"/>
      <c r="SKY1590" s="528"/>
      <c r="SKZ1590" s="528"/>
      <c r="SLA1590" s="527"/>
      <c r="SLB1590" s="528"/>
      <c r="SLC1590" s="528"/>
      <c r="SLD1590" s="528"/>
      <c r="SLE1590" s="528"/>
      <c r="SLF1590" s="528"/>
      <c r="SLG1590" s="528"/>
      <c r="SLH1590" s="528"/>
      <c r="SLI1590" s="528"/>
      <c r="SLJ1590" s="528"/>
      <c r="SLK1590" s="528"/>
      <c r="SLL1590" s="527"/>
      <c r="SLM1590" s="528"/>
      <c r="SLN1590" s="528"/>
      <c r="SLO1590" s="528"/>
      <c r="SLP1590" s="528"/>
      <c r="SLQ1590" s="528"/>
      <c r="SLR1590" s="528"/>
      <c r="SLS1590" s="528"/>
      <c r="SLT1590" s="528"/>
      <c r="SLU1590" s="528"/>
      <c r="SLV1590" s="528"/>
      <c r="SLW1590" s="527"/>
      <c r="SLX1590" s="528"/>
      <c r="SLY1590" s="528"/>
      <c r="SLZ1590" s="528"/>
      <c r="SMA1590" s="528"/>
      <c r="SMB1590" s="528"/>
      <c r="SMC1590" s="528"/>
      <c r="SMD1590" s="528"/>
      <c r="SME1590" s="528"/>
      <c r="SMF1590" s="528"/>
      <c r="SMG1590" s="528"/>
      <c r="SMH1590" s="527"/>
      <c r="SMI1590" s="528"/>
      <c r="SMJ1590" s="528"/>
      <c r="SMK1590" s="528"/>
      <c r="SML1590" s="528"/>
      <c r="SMM1590" s="528"/>
      <c r="SMN1590" s="528"/>
      <c r="SMO1590" s="528"/>
      <c r="SMP1590" s="528"/>
      <c r="SMQ1590" s="528"/>
      <c r="SMR1590" s="528"/>
      <c r="SMS1590" s="527"/>
      <c r="SMT1590" s="528"/>
      <c r="SMU1590" s="528"/>
      <c r="SMV1590" s="528"/>
      <c r="SMW1590" s="528"/>
      <c r="SMX1590" s="528"/>
      <c r="SMY1590" s="528"/>
      <c r="SMZ1590" s="528"/>
      <c r="SNA1590" s="528"/>
      <c r="SNB1590" s="528"/>
      <c r="SNC1590" s="528"/>
      <c r="SND1590" s="527"/>
      <c r="SNE1590" s="528"/>
      <c r="SNF1590" s="528"/>
      <c r="SNG1590" s="528"/>
      <c r="SNH1590" s="528"/>
      <c r="SNI1590" s="528"/>
      <c r="SNJ1590" s="528"/>
      <c r="SNK1590" s="528"/>
      <c r="SNL1590" s="528"/>
      <c r="SNM1590" s="528"/>
      <c r="SNN1590" s="528"/>
      <c r="SNO1590" s="527"/>
      <c r="SNP1590" s="528"/>
      <c r="SNQ1590" s="528"/>
      <c r="SNR1590" s="528"/>
      <c r="SNS1590" s="528"/>
      <c r="SNT1590" s="528"/>
      <c r="SNU1590" s="528"/>
      <c r="SNV1590" s="528"/>
      <c r="SNW1590" s="528"/>
      <c r="SNX1590" s="528"/>
      <c r="SNY1590" s="528"/>
      <c r="SNZ1590" s="527"/>
      <c r="SOA1590" s="528"/>
      <c r="SOB1590" s="528"/>
      <c r="SOC1590" s="528"/>
      <c r="SOD1590" s="528"/>
      <c r="SOE1590" s="528"/>
      <c r="SOF1590" s="528"/>
      <c r="SOG1590" s="528"/>
      <c r="SOH1590" s="528"/>
      <c r="SOI1590" s="528"/>
      <c r="SOJ1590" s="528"/>
      <c r="SOK1590" s="527"/>
      <c r="SOL1590" s="528"/>
      <c r="SOM1590" s="528"/>
      <c r="SON1590" s="528"/>
      <c r="SOO1590" s="528"/>
      <c r="SOP1590" s="528"/>
      <c r="SOQ1590" s="528"/>
      <c r="SOR1590" s="528"/>
      <c r="SOS1590" s="528"/>
      <c r="SOT1590" s="528"/>
      <c r="SOU1590" s="528"/>
      <c r="SOV1590" s="527"/>
      <c r="SOW1590" s="528"/>
      <c r="SOX1590" s="528"/>
      <c r="SOY1590" s="528"/>
      <c r="SOZ1590" s="528"/>
      <c r="SPA1590" s="528"/>
      <c r="SPB1590" s="528"/>
      <c r="SPC1590" s="528"/>
      <c r="SPD1590" s="528"/>
      <c r="SPE1590" s="528"/>
      <c r="SPF1590" s="528"/>
      <c r="SPG1590" s="527"/>
      <c r="SPH1590" s="528"/>
      <c r="SPI1590" s="528"/>
      <c r="SPJ1590" s="528"/>
      <c r="SPK1590" s="528"/>
      <c r="SPL1590" s="528"/>
      <c r="SPM1590" s="528"/>
      <c r="SPN1590" s="528"/>
      <c r="SPO1590" s="528"/>
      <c r="SPP1590" s="528"/>
      <c r="SPQ1590" s="528"/>
      <c r="SPR1590" s="527"/>
      <c r="SPS1590" s="528"/>
      <c r="SPT1590" s="528"/>
      <c r="SPU1590" s="528"/>
      <c r="SPV1590" s="528"/>
      <c r="SPW1590" s="528"/>
      <c r="SPX1590" s="528"/>
      <c r="SPY1590" s="528"/>
      <c r="SPZ1590" s="528"/>
      <c r="SQA1590" s="528"/>
      <c r="SQB1590" s="528"/>
      <c r="SQC1590" s="527"/>
      <c r="SQD1590" s="528"/>
      <c r="SQE1590" s="528"/>
      <c r="SQF1590" s="528"/>
      <c r="SQG1590" s="528"/>
      <c r="SQH1590" s="528"/>
      <c r="SQI1590" s="528"/>
      <c r="SQJ1590" s="528"/>
      <c r="SQK1590" s="528"/>
      <c r="SQL1590" s="528"/>
      <c r="SQM1590" s="528"/>
      <c r="SQN1590" s="527"/>
      <c r="SQO1590" s="528"/>
      <c r="SQP1590" s="528"/>
      <c r="SQQ1590" s="528"/>
      <c r="SQR1590" s="528"/>
      <c r="SQS1590" s="528"/>
      <c r="SQT1590" s="528"/>
      <c r="SQU1590" s="528"/>
      <c r="SQV1590" s="528"/>
      <c r="SQW1590" s="528"/>
      <c r="SQX1590" s="528"/>
      <c r="SQY1590" s="527"/>
      <c r="SQZ1590" s="528"/>
      <c r="SRA1590" s="528"/>
      <c r="SRB1590" s="528"/>
      <c r="SRC1590" s="528"/>
      <c r="SRD1590" s="528"/>
      <c r="SRE1590" s="528"/>
      <c r="SRF1590" s="528"/>
      <c r="SRG1590" s="528"/>
      <c r="SRH1590" s="528"/>
      <c r="SRI1590" s="528"/>
      <c r="SRJ1590" s="527"/>
      <c r="SRK1590" s="528"/>
      <c r="SRL1590" s="528"/>
      <c r="SRM1590" s="528"/>
      <c r="SRN1590" s="528"/>
      <c r="SRO1590" s="528"/>
      <c r="SRP1590" s="528"/>
      <c r="SRQ1590" s="528"/>
      <c r="SRR1590" s="528"/>
      <c r="SRS1590" s="528"/>
      <c r="SRT1590" s="528"/>
      <c r="SRU1590" s="527"/>
      <c r="SRV1590" s="528"/>
      <c r="SRW1590" s="528"/>
      <c r="SRX1590" s="528"/>
      <c r="SRY1590" s="528"/>
      <c r="SRZ1590" s="528"/>
      <c r="SSA1590" s="528"/>
      <c r="SSB1590" s="528"/>
      <c r="SSC1590" s="528"/>
      <c r="SSD1590" s="528"/>
      <c r="SSE1590" s="528"/>
      <c r="SSF1590" s="527"/>
      <c r="SSG1590" s="528"/>
      <c r="SSH1590" s="528"/>
      <c r="SSI1590" s="528"/>
      <c r="SSJ1590" s="528"/>
      <c r="SSK1590" s="528"/>
      <c r="SSL1590" s="528"/>
      <c r="SSM1590" s="528"/>
      <c r="SSN1590" s="528"/>
      <c r="SSO1590" s="528"/>
      <c r="SSP1590" s="528"/>
      <c r="SSQ1590" s="527"/>
      <c r="SSR1590" s="528"/>
      <c r="SSS1590" s="528"/>
      <c r="SST1590" s="528"/>
      <c r="SSU1590" s="528"/>
      <c r="SSV1590" s="528"/>
      <c r="SSW1590" s="528"/>
      <c r="SSX1590" s="528"/>
      <c r="SSY1590" s="528"/>
      <c r="SSZ1590" s="528"/>
      <c r="STA1590" s="528"/>
      <c r="STB1590" s="527"/>
      <c r="STC1590" s="528"/>
      <c r="STD1590" s="528"/>
      <c r="STE1590" s="528"/>
      <c r="STF1590" s="528"/>
      <c r="STG1590" s="528"/>
      <c r="STH1590" s="528"/>
      <c r="STI1590" s="528"/>
      <c r="STJ1590" s="528"/>
      <c r="STK1590" s="528"/>
      <c r="STL1590" s="528"/>
      <c r="STM1590" s="527"/>
      <c r="STN1590" s="528"/>
      <c r="STO1590" s="528"/>
      <c r="STP1590" s="528"/>
      <c r="STQ1590" s="528"/>
      <c r="STR1590" s="528"/>
      <c r="STS1590" s="528"/>
      <c r="STT1590" s="528"/>
      <c r="STU1590" s="528"/>
      <c r="STV1590" s="528"/>
      <c r="STW1590" s="528"/>
      <c r="STX1590" s="527"/>
      <c r="STY1590" s="528"/>
      <c r="STZ1590" s="528"/>
      <c r="SUA1590" s="528"/>
      <c r="SUB1590" s="528"/>
      <c r="SUC1590" s="528"/>
      <c r="SUD1590" s="528"/>
      <c r="SUE1590" s="528"/>
      <c r="SUF1590" s="528"/>
      <c r="SUG1590" s="528"/>
      <c r="SUH1590" s="528"/>
      <c r="SUI1590" s="527"/>
      <c r="SUJ1590" s="528"/>
      <c r="SUK1590" s="528"/>
      <c r="SUL1590" s="528"/>
      <c r="SUM1590" s="528"/>
      <c r="SUN1590" s="528"/>
      <c r="SUO1590" s="528"/>
      <c r="SUP1590" s="528"/>
      <c r="SUQ1590" s="528"/>
      <c r="SUR1590" s="528"/>
      <c r="SUS1590" s="528"/>
      <c r="SUT1590" s="527"/>
      <c r="SUU1590" s="528"/>
      <c r="SUV1590" s="528"/>
      <c r="SUW1590" s="528"/>
      <c r="SUX1590" s="528"/>
      <c r="SUY1590" s="528"/>
      <c r="SUZ1590" s="528"/>
      <c r="SVA1590" s="528"/>
      <c r="SVB1590" s="528"/>
      <c r="SVC1590" s="528"/>
      <c r="SVD1590" s="528"/>
      <c r="SVE1590" s="527"/>
      <c r="SVF1590" s="528"/>
      <c r="SVG1590" s="528"/>
      <c r="SVH1590" s="528"/>
      <c r="SVI1590" s="528"/>
      <c r="SVJ1590" s="528"/>
      <c r="SVK1590" s="528"/>
      <c r="SVL1590" s="528"/>
      <c r="SVM1590" s="528"/>
      <c r="SVN1590" s="528"/>
      <c r="SVO1590" s="528"/>
      <c r="SVP1590" s="527"/>
      <c r="SVQ1590" s="528"/>
      <c r="SVR1590" s="528"/>
      <c r="SVS1590" s="528"/>
      <c r="SVT1590" s="528"/>
      <c r="SVU1590" s="528"/>
      <c r="SVV1590" s="528"/>
      <c r="SVW1590" s="528"/>
      <c r="SVX1590" s="528"/>
      <c r="SVY1590" s="528"/>
      <c r="SVZ1590" s="528"/>
      <c r="SWA1590" s="527"/>
      <c r="SWB1590" s="528"/>
      <c r="SWC1590" s="528"/>
      <c r="SWD1590" s="528"/>
      <c r="SWE1590" s="528"/>
      <c r="SWF1590" s="528"/>
      <c r="SWG1590" s="528"/>
      <c r="SWH1590" s="528"/>
      <c r="SWI1590" s="528"/>
      <c r="SWJ1590" s="528"/>
      <c r="SWK1590" s="528"/>
      <c r="SWL1590" s="527"/>
      <c r="SWM1590" s="528"/>
      <c r="SWN1590" s="528"/>
      <c r="SWO1590" s="528"/>
      <c r="SWP1590" s="528"/>
      <c r="SWQ1590" s="528"/>
      <c r="SWR1590" s="528"/>
      <c r="SWS1590" s="528"/>
      <c r="SWT1590" s="528"/>
      <c r="SWU1590" s="528"/>
      <c r="SWV1590" s="528"/>
      <c r="SWW1590" s="527"/>
      <c r="SWX1590" s="528"/>
      <c r="SWY1590" s="528"/>
      <c r="SWZ1590" s="528"/>
      <c r="SXA1590" s="528"/>
      <c r="SXB1590" s="528"/>
      <c r="SXC1590" s="528"/>
      <c r="SXD1590" s="528"/>
      <c r="SXE1590" s="528"/>
      <c r="SXF1590" s="528"/>
      <c r="SXG1590" s="528"/>
      <c r="SXH1590" s="527"/>
      <c r="SXI1590" s="528"/>
      <c r="SXJ1590" s="528"/>
      <c r="SXK1590" s="528"/>
      <c r="SXL1590" s="528"/>
      <c r="SXM1590" s="528"/>
      <c r="SXN1590" s="528"/>
      <c r="SXO1590" s="528"/>
      <c r="SXP1590" s="528"/>
      <c r="SXQ1590" s="528"/>
      <c r="SXR1590" s="528"/>
      <c r="SXS1590" s="527"/>
      <c r="SXT1590" s="528"/>
      <c r="SXU1590" s="528"/>
      <c r="SXV1590" s="528"/>
      <c r="SXW1590" s="528"/>
      <c r="SXX1590" s="528"/>
      <c r="SXY1590" s="528"/>
      <c r="SXZ1590" s="528"/>
      <c r="SYA1590" s="528"/>
      <c r="SYB1590" s="528"/>
      <c r="SYC1590" s="528"/>
      <c r="SYD1590" s="527"/>
      <c r="SYE1590" s="528"/>
      <c r="SYF1590" s="528"/>
      <c r="SYG1590" s="528"/>
      <c r="SYH1590" s="528"/>
      <c r="SYI1590" s="528"/>
      <c r="SYJ1590" s="528"/>
      <c r="SYK1590" s="528"/>
      <c r="SYL1590" s="528"/>
      <c r="SYM1590" s="528"/>
      <c r="SYN1590" s="528"/>
      <c r="SYO1590" s="527"/>
      <c r="SYP1590" s="528"/>
      <c r="SYQ1590" s="528"/>
      <c r="SYR1590" s="528"/>
      <c r="SYS1590" s="528"/>
      <c r="SYT1590" s="528"/>
      <c r="SYU1590" s="528"/>
      <c r="SYV1590" s="528"/>
      <c r="SYW1590" s="528"/>
      <c r="SYX1590" s="528"/>
      <c r="SYY1590" s="528"/>
      <c r="SYZ1590" s="527"/>
      <c r="SZA1590" s="528"/>
      <c r="SZB1590" s="528"/>
      <c r="SZC1590" s="528"/>
      <c r="SZD1590" s="528"/>
      <c r="SZE1590" s="528"/>
      <c r="SZF1590" s="528"/>
      <c r="SZG1590" s="528"/>
      <c r="SZH1590" s="528"/>
      <c r="SZI1590" s="528"/>
      <c r="SZJ1590" s="528"/>
      <c r="SZK1590" s="527"/>
      <c r="SZL1590" s="528"/>
      <c r="SZM1590" s="528"/>
      <c r="SZN1590" s="528"/>
      <c r="SZO1590" s="528"/>
      <c r="SZP1590" s="528"/>
      <c r="SZQ1590" s="528"/>
      <c r="SZR1590" s="528"/>
      <c r="SZS1590" s="528"/>
      <c r="SZT1590" s="528"/>
      <c r="SZU1590" s="528"/>
      <c r="SZV1590" s="527"/>
      <c r="SZW1590" s="528"/>
      <c r="SZX1590" s="528"/>
      <c r="SZY1590" s="528"/>
      <c r="SZZ1590" s="528"/>
      <c r="TAA1590" s="528"/>
      <c r="TAB1590" s="528"/>
      <c r="TAC1590" s="528"/>
      <c r="TAD1590" s="528"/>
      <c r="TAE1590" s="528"/>
      <c r="TAF1590" s="528"/>
      <c r="TAG1590" s="527"/>
      <c r="TAH1590" s="528"/>
      <c r="TAI1590" s="528"/>
      <c r="TAJ1590" s="528"/>
      <c r="TAK1590" s="528"/>
      <c r="TAL1590" s="528"/>
      <c r="TAM1590" s="528"/>
      <c r="TAN1590" s="528"/>
      <c r="TAO1590" s="528"/>
      <c r="TAP1590" s="528"/>
      <c r="TAQ1590" s="528"/>
      <c r="TAR1590" s="527"/>
      <c r="TAS1590" s="528"/>
      <c r="TAT1590" s="528"/>
      <c r="TAU1590" s="528"/>
      <c r="TAV1590" s="528"/>
      <c r="TAW1590" s="528"/>
      <c r="TAX1590" s="528"/>
      <c r="TAY1590" s="528"/>
      <c r="TAZ1590" s="528"/>
      <c r="TBA1590" s="528"/>
      <c r="TBB1590" s="528"/>
      <c r="TBC1590" s="527"/>
      <c r="TBD1590" s="528"/>
      <c r="TBE1590" s="528"/>
      <c r="TBF1590" s="528"/>
      <c r="TBG1590" s="528"/>
      <c r="TBH1590" s="528"/>
      <c r="TBI1590" s="528"/>
      <c r="TBJ1590" s="528"/>
      <c r="TBK1590" s="528"/>
      <c r="TBL1590" s="528"/>
      <c r="TBM1590" s="528"/>
      <c r="TBN1590" s="527"/>
      <c r="TBO1590" s="528"/>
      <c r="TBP1590" s="528"/>
      <c r="TBQ1590" s="528"/>
      <c r="TBR1590" s="528"/>
      <c r="TBS1590" s="528"/>
      <c r="TBT1590" s="528"/>
      <c r="TBU1590" s="528"/>
      <c r="TBV1590" s="528"/>
      <c r="TBW1590" s="528"/>
      <c r="TBX1590" s="528"/>
      <c r="TBY1590" s="527"/>
      <c r="TBZ1590" s="528"/>
      <c r="TCA1590" s="528"/>
      <c r="TCB1590" s="528"/>
      <c r="TCC1590" s="528"/>
      <c r="TCD1590" s="528"/>
      <c r="TCE1590" s="528"/>
      <c r="TCF1590" s="528"/>
      <c r="TCG1590" s="528"/>
      <c r="TCH1590" s="528"/>
      <c r="TCI1590" s="528"/>
      <c r="TCJ1590" s="527"/>
      <c r="TCK1590" s="528"/>
      <c r="TCL1590" s="528"/>
      <c r="TCM1590" s="528"/>
      <c r="TCN1590" s="528"/>
      <c r="TCO1590" s="528"/>
      <c r="TCP1590" s="528"/>
      <c r="TCQ1590" s="528"/>
      <c r="TCR1590" s="528"/>
      <c r="TCS1590" s="528"/>
      <c r="TCT1590" s="528"/>
      <c r="TCU1590" s="527"/>
      <c r="TCV1590" s="528"/>
      <c r="TCW1590" s="528"/>
      <c r="TCX1590" s="528"/>
      <c r="TCY1590" s="528"/>
      <c r="TCZ1590" s="528"/>
      <c r="TDA1590" s="528"/>
      <c r="TDB1590" s="528"/>
      <c r="TDC1590" s="528"/>
      <c r="TDD1590" s="528"/>
      <c r="TDE1590" s="528"/>
      <c r="TDF1590" s="527"/>
      <c r="TDG1590" s="528"/>
      <c r="TDH1590" s="528"/>
      <c r="TDI1590" s="528"/>
      <c r="TDJ1590" s="528"/>
      <c r="TDK1590" s="528"/>
      <c r="TDL1590" s="528"/>
      <c r="TDM1590" s="528"/>
      <c r="TDN1590" s="528"/>
      <c r="TDO1590" s="528"/>
      <c r="TDP1590" s="528"/>
      <c r="TDQ1590" s="527"/>
      <c r="TDR1590" s="528"/>
      <c r="TDS1590" s="528"/>
      <c r="TDT1590" s="528"/>
      <c r="TDU1590" s="528"/>
      <c r="TDV1590" s="528"/>
      <c r="TDW1590" s="528"/>
      <c r="TDX1590" s="528"/>
      <c r="TDY1590" s="528"/>
      <c r="TDZ1590" s="528"/>
      <c r="TEA1590" s="528"/>
      <c r="TEB1590" s="527"/>
      <c r="TEC1590" s="528"/>
      <c r="TED1590" s="528"/>
      <c r="TEE1590" s="528"/>
      <c r="TEF1590" s="528"/>
      <c r="TEG1590" s="528"/>
      <c r="TEH1590" s="528"/>
      <c r="TEI1590" s="528"/>
      <c r="TEJ1590" s="528"/>
      <c r="TEK1590" s="528"/>
      <c r="TEL1590" s="528"/>
      <c r="TEM1590" s="527"/>
      <c r="TEN1590" s="528"/>
      <c r="TEO1590" s="528"/>
      <c r="TEP1590" s="528"/>
      <c r="TEQ1590" s="528"/>
      <c r="TER1590" s="528"/>
      <c r="TES1590" s="528"/>
      <c r="TET1590" s="528"/>
      <c r="TEU1590" s="528"/>
      <c r="TEV1590" s="528"/>
      <c r="TEW1590" s="528"/>
      <c r="TEX1590" s="527"/>
      <c r="TEY1590" s="528"/>
      <c r="TEZ1590" s="528"/>
      <c r="TFA1590" s="528"/>
      <c r="TFB1590" s="528"/>
      <c r="TFC1590" s="528"/>
      <c r="TFD1590" s="528"/>
      <c r="TFE1590" s="528"/>
      <c r="TFF1590" s="528"/>
      <c r="TFG1590" s="528"/>
      <c r="TFH1590" s="528"/>
      <c r="TFI1590" s="527"/>
      <c r="TFJ1590" s="528"/>
      <c r="TFK1590" s="528"/>
      <c r="TFL1590" s="528"/>
      <c r="TFM1590" s="528"/>
      <c r="TFN1590" s="528"/>
      <c r="TFO1590" s="528"/>
      <c r="TFP1590" s="528"/>
      <c r="TFQ1590" s="528"/>
      <c r="TFR1590" s="528"/>
      <c r="TFS1590" s="528"/>
      <c r="TFT1590" s="527"/>
      <c r="TFU1590" s="528"/>
      <c r="TFV1590" s="528"/>
      <c r="TFW1590" s="528"/>
      <c r="TFX1590" s="528"/>
      <c r="TFY1590" s="528"/>
      <c r="TFZ1590" s="528"/>
      <c r="TGA1590" s="528"/>
      <c r="TGB1590" s="528"/>
      <c r="TGC1590" s="528"/>
      <c r="TGD1590" s="528"/>
      <c r="TGE1590" s="527"/>
      <c r="TGF1590" s="528"/>
      <c r="TGG1590" s="528"/>
      <c r="TGH1590" s="528"/>
      <c r="TGI1590" s="528"/>
      <c r="TGJ1590" s="528"/>
      <c r="TGK1590" s="528"/>
      <c r="TGL1590" s="528"/>
      <c r="TGM1590" s="528"/>
      <c r="TGN1590" s="528"/>
      <c r="TGO1590" s="528"/>
      <c r="TGP1590" s="527"/>
      <c r="TGQ1590" s="528"/>
      <c r="TGR1590" s="528"/>
      <c r="TGS1590" s="528"/>
      <c r="TGT1590" s="528"/>
      <c r="TGU1590" s="528"/>
      <c r="TGV1590" s="528"/>
      <c r="TGW1590" s="528"/>
      <c r="TGX1590" s="528"/>
      <c r="TGY1590" s="528"/>
      <c r="TGZ1590" s="528"/>
      <c r="THA1590" s="527"/>
      <c r="THB1590" s="528"/>
      <c r="THC1590" s="528"/>
      <c r="THD1590" s="528"/>
      <c r="THE1590" s="528"/>
      <c r="THF1590" s="528"/>
      <c r="THG1590" s="528"/>
      <c r="THH1590" s="528"/>
      <c r="THI1590" s="528"/>
      <c r="THJ1590" s="528"/>
      <c r="THK1590" s="528"/>
      <c r="THL1590" s="527"/>
      <c r="THM1590" s="528"/>
      <c r="THN1590" s="528"/>
      <c r="THO1590" s="528"/>
      <c r="THP1590" s="528"/>
      <c r="THQ1590" s="528"/>
      <c r="THR1590" s="528"/>
      <c r="THS1590" s="528"/>
      <c r="THT1590" s="528"/>
      <c r="THU1590" s="528"/>
      <c r="THV1590" s="528"/>
      <c r="THW1590" s="527"/>
      <c r="THX1590" s="528"/>
      <c r="THY1590" s="528"/>
      <c r="THZ1590" s="528"/>
      <c r="TIA1590" s="528"/>
      <c r="TIB1590" s="528"/>
      <c r="TIC1590" s="528"/>
      <c r="TID1590" s="528"/>
      <c r="TIE1590" s="528"/>
      <c r="TIF1590" s="528"/>
      <c r="TIG1590" s="528"/>
      <c r="TIH1590" s="527"/>
      <c r="TII1590" s="528"/>
      <c r="TIJ1590" s="528"/>
      <c r="TIK1590" s="528"/>
      <c r="TIL1590" s="528"/>
      <c r="TIM1590" s="528"/>
      <c r="TIN1590" s="528"/>
      <c r="TIO1590" s="528"/>
      <c r="TIP1590" s="528"/>
      <c r="TIQ1590" s="528"/>
      <c r="TIR1590" s="528"/>
      <c r="TIS1590" s="527"/>
      <c r="TIT1590" s="528"/>
      <c r="TIU1590" s="528"/>
      <c r="TIV1590" s="528"/>
      <c r="TIW1590" s="528"/>
      <c r="TIX1590" s="528"/>
      <c r="TIY1590" s="528"/>
      <c r="TIZ1590" s="528"/>
      <c r="TJA1590" s="528"/>
      <c r="TJB1590" s="528"/>
      <c r="TJC1590" s="528"/>
      <c r="TJD1590" s="527"/>
      <c r="TJE1590" s="528"/>
      <c r="TJF1590" s="528"/>
      <c r="TJG1590" s="528"/>
      <c r="TJH1590" s="528"/>
      <c r="TJI1590" s="528"/>
      <c r="TJJ1590" s="528"/>
      <c r="TJK1590" s="528"/>
      <c r="TJL1590" s="528"/>
      <c r="TJM1590" s="528"/>
      <c r="TJN1590" s="528"/>
      <c r="TJO1590" s="527"/>
      <c r="TJP1590" s="528"/>
      <c r="TJQ1590" s="528"/>
      <c r="TJR1590" s="528"/>
      <c r="TJS1590" s="528"/>
      <c r="TJT1590" s="528"/>
      <c r="TJU1590" s="528"/>
      <c r="TJV1590" s="528"/>
      <c r="TJW1590" s="528"/>
      <c r="TJX1590" s="528"/>
      <c r="TJY1590" s="528"/>
      <c r="TJZ1590" s="527"/>
      <c r="TKA1590" s="528"/>
      <c r="TKB1590" s="528"/>
      <c r="TKC1590" s="528"/>
      <c r="TKD1590" s="528"/>
      <c r="TKE1590" s="528"/>
      <c r="TKF1590" s="528"/>
      <c r="TKG1590" s="528"/>
      <c r="TKH1590" s="528"/>
      <c r="TKI1590" s="528"/>
      <c r="TKJ1590" s="528"/>
      <c r="TKK1590" s="527"/>
      <c r="TKL1590" s="528"/>
      <c r="TKM1590" s="528"/>
      <c r="TKN1590" s="528"/>
      <c r="TKO1590" s="528"/>
      <c r="TKP1590" s="528"/>
      <c r="TKQ1590" s="528"/>
      <c r="TKR1590" s="528"/>
      <c r="TKS1590" s="528"/>
      <c r="TKT1590" s="528"/>
      <c r="TKU1590" s="528"/>
      <c r="TKV1590" s="527"/>
      <c r="TKW1590" s="528"/>
      <c r="TKX1590" s="528"/>
      <c r="TKY1590" s="528"/>
      <c r="TKZ1590" s="528"/>
      <c r="TLA1590" s="528"/>
      <c r="TLB1590" s="528"/>
      <c r="TLC1590" s="528"/>
      <c r="TLD1590" s="528"/>
      <c r="TLE1590" s="528"/>
      <c r="TLF1590" s="528"/>
      <c r="TLG1590" s="527"/>
      <c r="TLH1590" s="528"/>
      <c r="TLI1590" s="528"/>
      <c r="TLJ1590" s="528"/>
      <c r="TLK1590" s="528"/>
      <c r="TLL1590" s="528"/>
      <c r="TLM1590" s="528"/>
      <c r="TLN1590" s="528"/>
      <c r="TLO1590" s="528"/>
      <c r="TLP1590" s="528"/>
      <c r="TLQ1590" s="528"/>
      <c r="TLR1590" s="527"/>
      <c r="TLS1590" s="528"/>
      <c r="TLT1590" s="528"/>
      <c r="TLU1590" s="528"/>
      <c r="TLV1590" s="528"/>
      <c r="TLW1590" s="528"/>
      <c r="TLX1590" s="528"/>
      <c r="TLY1590" s="528"/>
      <c r="TLZ1590" s="528"/>
      <c r="TMA1590" s="528"/>
      <c r="TMB1590" s="528"/>
      <c r="TMC1590" s="527"/>
      <c r="TMD1590" s="528"/>
      <c r="TME1590" s="528"/>
      <c r="TMF1590" s="528"/>
      <c r="TMG1590" s="528"/>
      <c r="TMH1590" s="528"/>
      <c r="TMI1590" s="528"/>
      <c r="TMJ1590" s="528"/>
      <c r="TMK1590" s="528"/>
      <c r="TML1590" s="528"/>
      <c r="TMM1590" s="528"/>
      <c r="TMN1590" s="527"/>
      <c r="TMO1590" s="528"/>
      <c r="TMP1590" s="528"/>
      <c r="TMQ1590" s="528"/>
      <c r="TMR1590" s="528"/>
      <c r="TMS1590" s="528"/>
      <c r="TMT1590" s="528"/>
      <c r="TMU1590" s="528"/>
      <c r="TMV1590" s="528"/>
      <c r="TMW1590" s="528"/>
      <c r="TMX1590" s="528"/>
      <c r="TMY1590" s="527"/>
      <c r="TMZ1590" s="528"/>
      <c r="TNA1590" s="528"/>
      <c r="TNB1590" s="528"/>
      <c r="TNC1590" s="528"/>
      <c r="TND1590" s="528"/>
      <c r="TNE1590" s="528"/>
      <c r="TNF1590" s="528"/>
      <c r="TNG1590" s="528"/>
      <c r="TNH1590" s="528"/>
      <c r="TNI1590" s="528"/>
      <c r="TNJ1590" s="527"/>
      <c r="TNK1590" s="528"/>
      <c r="TNL1590" s="528"/>
      <c r="TNM1590" s="528"/>
      <c r="TNN1590" s="528"/>
      <c r="TNO1590" s="528"/>
      <c r="TNP1590" s="528"/>
      <c r="TNQ1590" s="528"/>
      <c r="TNR1590" s="528"/>
      <c r="TNS1590" s="528"/>
      <c r="TNT1590" s="528"/>
      <c r="TNU1590" s="527"/>
      <c r="TNV1590" s="528"/>
      <c r="TNW1590" s="528"/>
      <c r="TNX1590" s="528"/>
      <c r="TNY1590" s="528"/>
      <c r="TNZ1590" s="528"/>
      <c r="TOA1590" s="528"/>
      <c r="TOB1590" s="528"/>
      <c r="TOC1590" s="528"/>
      <c r="TOD1590" s="528"/>
      <c r="TOE1590" s="528"/>
      <c r="TOF1590" s="527"/>
      <c r="TOG1590" s="528"/>
      <c r="TOH1590" s="528"/>
      <c r="TOI1590" s="528"/>
      <c r="TOJ1590" s="528"/>
      <c r="TOK1590" s="528"/>
      <c r="TOL1590" s="528"/>
      <c r="TOM1590" s="528"/>
      <c r="TON1590" s="528"/>
      <c r="TOO1590" s="528"/>
      <c r="TOP1590" s="528"/>
      <c r="TOQ1590" s="527"/>
      <c r="TOR1590" s="528"/>
      <c r="TOS1590" s="528"/>
      <c r="TOT1590" s="528"/>
      <c r="TOU1590" s="528"/>
      <c r="TOV1590" s="528"/>
      <c r="TOW1590" s="528"/>
      <c r="TOX1590" s="528"/>
      <c r="TOY1590" s="528"/>
      <c r="TOZ1590" s="528"/>
      <c r="TPA1590" s="528"/>
      <c r="TPB1590" s="527"/>
      <c r="TPC1590" s="528"/>
      <c r="TPD1590" s="528"/>
      <c r="TPE1590" s="528"/>
      <c r="TPF1590" s="528"/>
      <c r="TPG1590" s="528"/>
      <c r="TPH1590" s="528"/>
      <c r="TPI1590" s="528"/>
      <c r="TPJ1590" s="528"/>
      <c r="TPK1590" s="528"/>
      <c r="TPL1590" s="528"/>
      <c r="TPM1590" s="527"/>
      <c r="TPN1590" s="528"/>
      <c r="TPO1590" s="528"/>
      <c r="TPP1590" s="528"/>
      <c r="TPQ1590" s="528"/>
      <c r="TPR1590" s="528"/>
      <c r="TPS1590" s="528"/>
      <c r="TPT1590" s="528"/>
      <c r="TPU1590" s="528"/>
      <c r="TPV1590" s="528"/>
      <c r="TPW1590" s="528"/>
      <c r="TPX1590" s="527"/>
      <c r="TPY1590" s="528"/>
      <c r="TPZ1590" s="528"/>
      <c r="TQA1590" s="528"/>
      <c r="TQB1590" s="528"/>
      <c r="TQC1590" s="528"/>
      <c r="TQD1590" s="528"/>
      <c r="TQE1590" s="528"/>
      <c r="TQF1590" s="528"/>
      <c r="TQG1590" s="528"/>
      <c r="TQH1590" s="528"/>
      <c r="TQI1590" s="527"/>
      <c r="TQJ1590" s="528"/>
      <c r="TQK1590" s="528"/>
      <c r="TQL1590" s="528"/>
      <c r="TQM1590" s="528"/>
      <c r="TQN1590" s="528"/>
      <c r="TQO1590" s="528"/>
      <c r="TQP1590" s="528"/>
      <c r="TQQ1590" s="528"/>
      <c r="TQR1590" s="528"/>
      <c r="TQS1590" s="528"/>
      <c r="TQT1590" s="527"/>
      <c r="TQU1590" s="528"/>
      <c r="TQV1590" s="528"/>
      <c r="TQW1590" s="528"/>
      <c r="TQX1590" s="528"/>
      <c r="TQY1590" s="528"/>
      <c r="TQZ1590" s="528"/>
      <c r="TRA1590" s="528"/>
      <c r="TRB1590" s="528"/>
      <c r="TRC1590" s="528"/>
      <c r="TRD1590" s="528"/>
      <c r="TRE1590" s="527"/>
      <c r="TRF1590" s="528"/>
      <c r="TRG1590" s="528"/>
      <c r="TRH1590" s="528"/>
      <c r="TRI1590" s="528"/>
      <c r="TRJ1590" s="528"/>
      <c r="TRK1590" s="528"/>
      <c r="TRL1590" s="528"/>
      <c r="TRM1590" s="528"/>
      <c r="TRN1590" s="528"/>
      <c r="TRO1590" s="528"/>
      <c r="TRP1590" s="527"/>
      <c r="TRQ1590" s="528"/>
      <c r="TRR1590" s="528"/>
      <c r="TRS1590" s="528"/>
      <c r="TRT1590" s="528"/>
      <c r="TRU1590" s="528"/>
      <c r="TRV1590" s="528"/>
      <c r="TRW1590" s="528"/>
      <c r="TRX1590" s="528"/>
      <c r="TRY1590" s="528"/>
      <c r="TRZ1590" s="528"/>
      <c r="TSA1590" s="527"/>
      <c r="TSB1590" s="528"/>
      <c r="TSC1590" s="528"/>
      <c r="TSD1590" s="528"/>
      <c r="TSE1590" s="528"/>
      <c r="TSF1590" s="528"/>
      <c r="TSG1590" s="528"/>
      <c r="TSH1590" s="528"/>
      <c r="TSI1590" s="528"/>
      <c r="TSJ1590" s="528"/>
      <c r="TSK1590" s="528"/>
      <c r="TSL1590" s="527"/>
      <c r="TSM1590" s="528"/>
      <c r="TSN1590" s="528"/>
      <c r="TSO1590" s="528"/>
      <c r="TSP1590" s="528"/>
      <c r="TSQ1590" s="528"/>
      <c r="TSR1590" s="528"/>
      <c r="TSS1590" s="528"/>
      <c r="TST1590" s="528"/>
      <c r="TSU1590" s="528"/>
      <c r="TSV1590" s="528"/>
      <c r="TSW1590" s="527"/>
      <c r="TSX1590" s="528"/>
      <c r="TSY1590" s="528"/>
      <c r="TSZ1590" s="528"/>
      <c r="TTA1590" s="528"/>
      <c r="TTB1590" s="528"/>
      <c r="TTC1590" s="528"/>
      <c r="TTD1590" s="528"/>
      <c r="TTE1590" s="528"/>
      <c r="TTF1590" s="528"/>
      <c r="TTG1590" s="528"/>
      <c r="TTH1590" s="527"/>
      <c r="TTI1590" s="528"/>
      <c r="TTJ1590" s="528"/>
      <c r="TTK1590" s="528"/>
      <c r="TTL1590" s="528"/>
      <c r="TTM1590" s="528"/>
      <c r="TTN1590" s="528"/>
      <c r="TTO1590" s="528"/>
      <c r="TTP1590" s="528"/>
      <c r="TTQ1590" s="528"/>
      <c r="TTR1590" s="528"/>
      <c r="TTS1590" s="527"/>
      <c r="TTT1590" s="528"/>
      <c r="TTU1590" s="528"/>
      <c r="TTV1590" s="528"/>
      <c r="TTW1590" s="528"/>
      <c r="TTX1590" s="528"/>
      <c r="TTY1590" s="528"/>
      <c r="TTZ1590" s="528"/>
      <c r="TUA1590" s="528"/>
      <c r="TUB1590" s="528"/>
      <c r="TUC1590" s="528"/>
      <c r="TUD1590" s="527"/>
      <c r="TUE1590" s="528"/>
      <c r="TUF1590" s="528"/>
      <c r="TUG1590" s="528"/>
      <c r="TUH1590" s="528"/>
      <c r="TUI1590" s="528"/>
      <c r="TUJ1590" s="528"/>
      <c r="TUK1590" s="528"/>
      <c r="TUL1590" s="528"/>
      <c r="TUM1590" s="528"/>
      <c r="TUN1590" s="528"/>
      <c r="TUO1590" s="527"/>
      <c r="TUP1590" s="528"/>
      <c r="TUQ1590" s="528"/>
      <c r="TUR1590" s="528"/>
      <c r="TUS1590" s="528"/>
      <c r="TUT1590" s="528"/>
      <c r="TUU1590" s="528"/>
      <c r="TUV1590" s="528"/>
      <c r="TUW1590" s="528"/>
      <c r="TUX1590" s="528"/>
      <c r="TUY1590" s="528"/>
      <c r="TUZ1590" s="527"/>
      <c r="TVA1590" s="528"/>
      <c r="TVB1590" s="528"/>
      <c r="TVC1590" s="528"/>
      <c r="TVD1590" s="528"/>
      <c r="TVE1590" s="528"/>
      <c r="TVF1590" s="528"/>
      <c r="TVG1590" s="528"/>
      <c r="TVH1590" s="528"/>
      <c r="TVI1590" s="528"/>
      <c r="TVJ1590" s="528"/>
      <c r="TVK1590" s="527"/>
      <c r="TVL1590" s="528"/>
      <c r="TVM1590" s="528"/>
      <c r="TVN1590" s="528"/>
      <c r="TVO1590" s="528"/>
      <c r="TVP1590" s="528"/>
      <c r="TVQ1590" s="528"/>
      <c r="TVR1590" s="528"/>
      <c r="TVS1590" s="528"/>
      <c r="TVT1590" s="528"/>
      <c r="TVU1590" s="528"/>
      <c r="TVV1590" s="527"/>
      <c r="TVW1590" s="528"/>
      <c r="TVX1590" s="528"/>
      <c r="TVY1590" s="528"/>
      <c r="TVZ1590" s="528"/>
      <c r="TWA1590" s="528"/>
      <c r="TWB1590" s="528"/>
      <c r="TWC1590" s="528"/>
      <c r="TWD1590" s="528"/>
      <c r="TWE1590" s="528"/>
      <c r="TWF1590" s="528"/>
      <c r="TWG1590" s="527"/>
      <c r="TWH1590" s="528"/>
      <c r="TWI1590" s="528"/>
      <c r="TWJ1590" s="528"/>
      <c r="TWK1590" s="528"/>
      <c r="TWL1590" s="528"/>
      <c r="TWM1590" s="528"/>
      <c r="TWN1590" s="528"/>
      <c r="TWO1590" s="528"/>
      <c r="TWP1590" s="528"/>
      <c r="TWQ1590" s="528"/>
      <c r="TWR1590" s="527"/>
      <c r="TWS1590" s="528"/>
      <c r="TWT1590" s="528"/>
      <c r="TWU1590" s="528"/>
      <c r="TWV1590" s="528"/>
      <c r="TWW1590" s="528"/>
      <c r="TWX1590" s="528"/>
      <c r="TWY1590" s="528"/>
      <c r="TWZ1590" s="528"/>
      <c r="TXA1590" s="528"/>
      <c r="TXB1590" s="528"/>
      <c r="TXC1590" s="527"/>
      <c r="TXD1590" s="528"/>
      <c r="TXE1590" s="528"/>
      <c r="TXF1590" s="528"/>
      <c r="TXG1590" s="528"/>
      <c r="TXH1590" s="528"/>
      <c r="TXI1590" s="528"/>
      <c r="TXJ1590" s="528"/>
      <c r="TXK1590" s="528"/>
      <c r="TXL1590" s="528"/>
      <c r="TXM1590" s="528"/>
      <c r="TXN1590" s="527"/>
      <c r="TXO1590" s="528"/>
      <c r="TXP1590" s="528"/>
      <c r="TXQ1590" s="528"/>
      <c r="TXR1590" s="528"/>
      <c r="TXS1590" s="528"/>
      <c r="TXT1590" s="528"/>
      <c r="TXU1590" s="528"/>
      <c r="TXV1590" s="528"/>
      <c r="TXW1590" s="528"/>
      <c r="TXX1590" s="528"/>
      <c r="TXY1590" s="527"/>
      <c r="TXZ1590" s="528"/>
      <c r="TYA1590" s="528"/>
      <c r="TYB1590" s="528"/>
      <c r="TYC1590" s="528"/>
      <c r="TYD1590" s="528"/>
      <c r="TYE1590" s="528"/>
      <c r="TYF1590" s="528"/>
      <c r="TYG1590" s="528"/>
      <c r="TYH1590" s="528"/>
      <c r="TYI1590" s="528"/>
      <c r="TYJ1590" s="527"/>
      <c r="TYK1590" s="528"/>
      <c r="TYL1590" s="528"/>
      <c r="TYM1590" s="528"/>
      <c r="TYN1590" s="528"/>
      <c r="TYO1590" s="528"/>
      <c r="TYP1590" s="528"/>
      <c r="TYQ1590" s="528"/>
      <c r="TYR1590" s="528"/>
      <c r="TYS1590" s="528"/>
      <c r="TYT1590" s="528"/>
      <c r="TYU1590" s="527"/>
      <c r="TYV1590" s="528"/>
      <c r="TYW1590" s="528"/>
      <c r="TYX1590" s="528"/>
      <c r="TYY1590" s="528"/>
      <c r="TYZ1590" s="528"/>
      <c r="TZA1590" s="528"/>
      <c r="TZB1590" s="528"/>
      <c r="TZC1590" s="528"/>
      <c r="TZD1590" s="528"/>
      <c r="TZE1590" s="528"/>
      <c r="TZF1590" s="527"/>
      <c r="TZG1590" s="528"/>
      <c r="TZH1590" s="528"/>
      <c r="TZI1590" s="528"/>
      <c r="TZJ1590" s="528"/>
      <c r="TZK1590" s="528"/>
      <c r="TZL1590" s="528"/>
      <c r="TZM1590" s="528"/>
      <c r="TZN1590" s="528"/>
      <c r="TZO1590" s="528"/>
      <c r="TZP1590" s="528"/>
      <c r="TZQ1590" s="527"/>
      <c r="TZR1590" s="528"/>
      <c r="TZS1590" s="528"/>
      <c r="TZT1590" s="528"/>
      <c r="TZU1590" s="528"/>
      <c r="TZV1590" s="528"/>
      <c r="TZW1590" s="528"/>
      <c r="TZX1590" s="528"/>
      <c r="TZY1590" s="528"/>
      <c r="TZZ1590" s="528"/>
      <c r="UAA1590" s="528"/>
      <c r="UAB1590" s="527"/>
      <c r="UAC1590" s="528"/>
      <c r="UAD1590" s="528"/>
      <c r="UAE1590" s="528"/>
      <c r="UAF1590" s="528"/>
      <c r="UAG1590" s="528"/>
      <c r="UAH1590" s="528"/>
      <c r="UAI1590" s="528"/>
      <c r="UAJ1590" s="528"/>
      <c r="UAK1590" s="528"/>
      <c r="UAL1590" s="528"/>
      <c r="UAM1590" s="527"/>
      <c r="UAN1590" s="528"/>
      <c r="UAO1590" s="528"/>
      <c r="UAP1590" s="528"/>
      <c r="UAQ1590" s="528"/>
      <c r="UAR1590" s="528"/>
      <c r="UAS1590" s="528"/>
      <c r="UAT1590" s="528"/>
      <c r="UAU1590" s="528"/>
      <c r="UAV1590" s="528"/>
      <c r="UAW1590" s="528"/>
      <c r="UAX1590" s="527"/>
      <c r="UAY1590" s="528"/>
      <c r="UAZ1590" s="528"/>
      <c r="UBA1590" s="528"/>
      <c r="UBB1590" s="528"/>
      <c r="UBC1590" s="528"/>
      <c r="UBD1590" s="528"/>
      <c r="UBE1590" s="528"/>
      <c r="UBF1590" s="528"/>
      <c r="UBG1590" s="528"/>
      <c r="UBH1590" s="528"/>
      <c r="UBI1590" s="527"/>
      <c r="UBJ1590" s="528"/>
      <c r="UBK1590" s="528"/>
      <c r="UBL1590" s="528"/>
      <c r="UBM1590" s="528"/>
      <c r="UBN1590" s="528"/>
      <c r="UBO1590" s="528"/>
      <c r="UBP1590" s="528"/>
      <c r="UBQ1590" s="528"/>
      <c r="UBR1590" s="528"/>
      <c r="UBS1590" s="528"/>
      <c r="UBT1590" s="527"/>
      <c r="UBU1590" s="528"/>
      <c r="UBV1590" s="528"/>
      <c r="UBW1590" s="528"/>
      <c r="UBX1590" s="528"/>
      <c r="UBY1590" s="528"/>
      <c r="UBZ1590" s="528"/>
      <c r="UCA1590" s="528"/>
      <c r="UCB1590" s="528"/>
      <c r="UCC1590" s="528"/>
      <c r="UCD1590" s="528"/>
      <c r="UCE1590" s="527"/>
      <c r="UCF1590" s="528"/>
      <c r="UCG1590" s="528"/>
      <c r="UCH1590" s="528"/>
      <c r="UCI1590" s="528"/>
      <c r="UCJ1590" s="528"/>
      <c r="UCK1590" s="528"/>
      <c r="UCL1590" s="528"/>
      <c r="UCM1590" s="528"/>
      <c r="UCN1590" s="528"/>
      <c r="UCO1590" s="528"/>
      <c r="UCP1590" s="527"/>
      <c r="UCQ1590" s="528"/>
      <c r="UCR1590" s="528"/>
      <c r="UCS1590" s="528"/>
      <c r="UCT1590" s="528"/>
      <c r="UCU1590" s="528"/>
      <c r="UCV1590" s="528"/>
      <c r="UCW1590" s="528"/>
      <c r="UCX1590" s="528"/>
      <c r="UCY1590" s="528"/>
      <c r="UCZ1590" s="528"/>
      <c r="UDA1590" s="527"/>
      <c r="UDB1590" s="528"/>
      <c r="UDC1590" s="528"/>
      <c r="UDD1590" s="528"/>
      <c r="UDE1590" s="528"/>
      <c r="UDF1590" s="528"/>
      <c r="UDG1590" s="528"/>
      <c r="UDH1590" s="528"/>
      <c r="UDI1590" s="528"/>
      <c r="UDJ1590" s="528"/>
      <c r="UDK1590" s="528"/>
      <c r="UDL1590" s="527"/>
      <c r="UDM1590" s="528"/>
      <c r="UDN1590" s="528"/>
      <c r="UDO1590" s="528"/>
      <c r="UDP1590" s="528"/>
      <c r="UDQ1590" s="528"/>
      <c r="UDR1590" s="528"/>
      <c r="UDS1590" s="528"/>
      <c r="UDT1590" s="528"/>
      <c r="UDU1590" s="528"/>
      <c r="UDV1590" s="528"/>
      <c r="UDW1590" s="527"/>
      <c r="UDX1590" s="528"/>
      <c r="UDY1590" s="528"/>
      <c r="UDZ1590" s="528"/>
      <c r="UEA1590" s="528"/>
      <c r="UEB1590" s="528"/>
      <c r="UEC1590" s="528"/>
      <c r="UED1590" s="528"/>
      <c r="UEE1590" s="528"/>
      <c r="UEF1590" s="528"/>
      <c r="UEG1590" s="528"/>
      <c r="UEH1590" s="527"/>
      <c r="UEI1590" s="528"/>
      <c r="UEJ1590" s="528"/>
      <c r="UEK1590" s="528"/>
      <c r="UEL1590" s="528"/>
      <c r="UEM1590" s="528"/>
      <c r="UEN1590" s="528"/>
      <c r="UEO1590" s="528"/>
      <c r="UEP1590" s="528"/>
      <c r="UEQ1590" s="528"/>
      <c r="UER1590" s="528"/>
      <c r="UES1590" s="527"/>
      <c r="UET1590" s="528"/>
      <c r="UEU1590" s="528"/>
      <c r="UEV1590" s="528"/>
      <c r="UEW1590" s="528"/>
      <c r="UEX1590" s="528"/>
      <c r="UEY1590" s="528"/>
      <c r="UEZ1590" s="528"/>
      <c r="UFA1590" s="528"/>
      <c r="UFB1590" s="528"/>
      <c r="UFC1590" s="528"/>
      <c r="UFD1590" s="527"/>
      <c r="UFE1590" s="528"/>
      <c r="UFF1590" s="528"/>
      <c r="UFG1590" s="528"/>
      <c r="UFH1590" s="528"/>
      <c r="UFI1590" s="528"/>
      <c r="UFJ1590" s="528"/>
      <c r="UFK1590" s="528"/>
      <c r="UFL1590" s="528"/>
      <c r="UFM1590" s="528"/>
      <c r="UFN1590" s="528"/>
      <c r="UFO1590" s="527"/>
      <c r="UFP1590" s="528"/>
      <c r="UFQ1590" s="528"/>
      <c r="UFR1590" s="528"/>
      <c r="UFS1590" s="528"/>
      <c r="UFT1590" s="528"/>
      <c r="UFU1590" s="528"/>
      <c r="UFV1590" s="528"/>
      <c r="UFW1590" s="528"/>
      <c r="UFX1590" s="528"/>
      <c r="UFY1590" s="528"/>
      <c r="UFZ1590" s="527"/>
      <c r="UGA1590" s="528"/>
      <c r="UGB1590" s="528"/>
      <c r="UGC1590" s="528"/>
      <c r="UGD1590" s="528"/>
      <c r="UGE1590" s="528"/>
      <c r="UGF1590" s="528"/>
      <c r="UGG1590" s="528"/>
      <c r="UGH1590" s="528"/>
      <c r="UGI1590" s="528"/>
      <c r="UGJ1590" s="528"/>
      <c r="UGK1590" s="527"/>
      <c r="UGL1590" s="528"/>
      <c r="UGM1590" s="528"/>
      <c r="UGN1590" s="528"/>
      <c r="UGO1590" s="528"/>
      <c r="UGP1590" s="528"/>
      <c r="UGQ1590" s="528"/>
      <c r="UGR1590" s="528"/>
      <c r="UGS1590" s="528"/>
      <c r="UGT1590" s="528"/>
      <c r="UGU1590" s="528"/>
      <c r="UGV1590" s="527"/>
      <c r="UGW1590" s="528"/>
      <c r="UGX1590" s="528"/>
      <c r="UGY1590" s="528"/>
      <c r="UGZ1590" s="528"/>
      <c r="UHA1590" s="528"/>
      <c r="UHB1590" s="528"/>
      <c r="UHC1590" s="528"/>
      <c r="UHD1590" s="528"/>
      <c r="UHE1590" s="528"/>
      <c r="UHF1590" s="528"/>
      <c r="UHG1590" s="527"/>
      <c r="UHH1590" s="528"/>
      <c r="UHI1590" s="528"/>
      <c r="UHJ1590" s="528"/>
      <c r="UHK1590" s="528"/>
      <c r="UHL1590" s="528"/>
      <c r="UHM1590" s="528"/>
      <c r="UHN1590" s="528"/>
      <c r="UHO1590" s="528"/>
      <c r="UHP1590" s="528"/>
      <c r="UHQ1590" s="528"/>
      <c r="UHR1590" s="527"/>
      <c r="UHS1590" s="528"/>
      <c r="UHT1590" s="528"/>
      <c r="UHU1590" s="528"/>
      <c r="UHV1590" s="528"/>
      <c r="UHW1590" s="528"/>
      <c r="UHX1590" s="528"/>
      <c r="UHY1590" s="528"/>
      <c r="UHZ1590" s="528"/>
      <c r="UIA1590" s="528"/>
      <c r="UIB1590" s="528"/>
      <c r="UIC1590" s="527"/>
      <c r="UID1590" s="528"/>
      <c r="UIE1590" s="528"/>
      <c r="UIF1590" s="528"/>
      <c r="UIG1590" s="528"/>
      <c r="UIH1590" s="528"/>
      <c r="UII1590" s="528"/>
      <c r="UIJ1590" s="528"/>
      <c r="UIK1590" s="528"/>
      <c r="UIL1590" s="528"/>
      <c r="UIM1590" s="528"/>
      <c r="UIN1590" s="527"/>
      <c r="UIO1590" s="528"/>
      <c r="UIP1590" s="528"/>
      <c r="UIQ1590" s="528"/>
      <c r="UIR1590" s="528"/>
      <c r="UIS1590" s="528"/>
      <c r="UIT1590" s="528"/>
      <c r="UIU1590" s="528"/>
      <c r="UIV1590" s="528"/>
      <c r="UIW1590" s="528"/>
      <c r="UIX1590" s="528"/>
      <c r="UIY1590" s="527"/>
      <c r="UIZ1590" s="528"/>
      <c r="UJA1590" s="528"/>
      <c r="UJB1590" s="528"/>
      <c r="UJC1590" s="528"/>
      <c r="UJD1590" s="528"/>
      <c r="UJE1590" s="528"/>
      <c r="UJF1590" s="528"/>
      <c r="UJG1590" s="528"/>
      <c r="UJH1590" s="528"/>
      <c r="UJI1590" s="528"/>
      <c r="UJJ1590" s="527"/>
      <c r="UJK1590" s="528"/>
      <c r="UJL1590" s="528"/>
      <c r="UJM1590" s="528"/>
      <c r="UJN1590" s="528"/>
      <c r="UJO1590" s="528"/>
      <c r="UJP1590" s="528"/>
      <c r="UJQ1590" s="528"/>
      <c r="UJR1590" s="528"/>
      <c r="UJS1590" s="528"/>
      <c r="UJT1590" s="528"/>
      <c r="UJU1590" s="527"/>
      <c r="UJV1590" s="528"/>
      <c r="UJW1590" s="528"/>
      <c r="UJX1590" s="528"/>
      <c r="UJY1590" s="528"/>
      <c r="UJZ1590" s="528"/>
      <c r="UKA1590" s="528"/>
      <c r="UKB1590" s="528"/>
      <c r="UKC1590" s="528"/>
      <c r="UKD1590" s="528"/>
      <c r="UKE1590" s="528"/>
      <c r="UKF1590" s="527"/>
      <c r="UKG1590" s="528"/>
      <c r="UKH1590" s="528"/>
      <c r="UKI1590" s="528"/>
      <c r="UKJ1590" s="528"/>
      <c r="UKK1590" s="528"/>
      <c r="UKL1590" s="528"/>
      <c r="UKM1590" s="528"/>
      <c r="UKN1590" s="528"/>
      <c r="UKO1590" s="528"/>
      <c r="UKP1590" s="528"/>
      <c r="UKQ1590" s="527"/>
      <c r="UKR1590" s="528"/>
      <c r="UKS1590" s="528"/>
      <c r="UKT1590" s="528"/>
      <c r="UKU1590" s="528"/>
      <c r="UKV1590" s="528"/>
      <c r="UKW1590" s="528"/>
      <c r="UKX1590" s="528"/>
      <c r="UKY1590" s="528"/>
      <c r="UKZ1590" s="528"/>
      <c r="ULA1590" s="528"/>
      <c r="ULB1590" s="527"/>
      <c r="ULC1590" s="528"/>
      <c r="ULD1590" s="528"/>
      <c r="ULE1590" s="528"/>
      <c r="ULF1590" s="528"/>
      <c r="ULG1590" s="528"/>
      <c r="ULH1590" s="528"/>
      <c r="ULI1590" s="528"/>
      <c r="ULJ1590" s="528"/>
      <c r="ULK1590" s="528"/>
      <c r="ULL1590" s="528"/>
      <c r="ULM1590" s="527"/>
      <c r="ULN1590" s="528"/>
      <c r="ULO1590" s="528"/>
      <c r="ULP1590" s="528"/>
      <c r="ULQ1590" s="528"/>
      <c r="ULR1590" s="528"/>
      <c r="ULS1590" s="528"/>
      <c r="ULT1590" s="528"/>
      <c r="ULU1590" s="528"/>
      <c r="ULV1590" s="528"/>
      <c r="ULW1590" s="528"/>
      <c r="ULX1590" s="527"/>
      <c r="ULY1590" s="528"/>
      <c r="ULZ1590" s="528"/>
      <c r="UMA1590" s="528"/>
      <c r="UMB1590" s="528"/>
      <c r="UMC1590" s="528"/>
      <c r="UMD1590" s="528"/>
      <c r="UME1590" s="528"/>
      <c r="UMF1590" s="528"/>
      <c r="UMG1590" s="528"/>
      <c r="UMH1590" s="528"/>
      <c r="UMI1590" s="527"/>
      <c r="UMJ1590" s="528"/>
      <c r="UMK1590" s="528"/>
      <c r="UML1590" s="528"/>
      <c r="UMM1590" s="528"/>
      <c r="UMN1590" s="528"/>
      <c r="UMO1590" s="528"/>
      <c r="UMP1590" s="528"/>
      <c r="UMQ1590" s="528"/>
      <c r="UMR1590" s="528"/>
      <c r="UMS1590" s="528"/>
      <c r="UMT1590" s="527"/>
      <c r="UMU1590" s="528"/>
      <c r="UMV1590" s="528"/>
      <c r="UMW1590" s="528"/>
      <c r="UMX1590" s="528"/>
      <c r="UMY1590" s="528"/>
      <c r="UMZ1590" s="528"/>
      <c r="UNA1590" s="528"/>
      <c r="UNB1590" s="528"/>
      <c r="UNC1590" s="528"/>
      <c r="UND1590" s="528"/>
      <c r="UNE1590" s="527"/>
      <c r="UNF1590" s="528"/>
      <c r="UNG1590" s="528"/>
      <c r="UNH1590" s="528"/>
      <c r="UNI1590" s="528"/>
      <c r="UNJ1590" s="528"/>
      <c r="UNK1590" s="528"/>
      <c r="UNL1590" s="528"/>
      <c r="UNM1590" s="528"/>
      <c r="UNN1590" s="528"/>
      <c r="UNO1590" s="528"/>
      <c r="UNP1590" s="527"/>
      <c r="UNQ1590" s="528"/>
      <c r="UNR1590" s="528"/>
      <c r="UNS1590" s="528"/>
      <c r="UNT1590" s="528"/>
      <c r="UNU1590" s="528"/>
      <c r="UNV1590" s="528"/>
      <c r="UNW1590" s="528"/>
      <c r="UNX1590" s="528"/>
      <c r="UNY1590" s="528"/>
      <c r="UNZ1590" s="528"/>
      <c r="UOA1590" s="527"/>
      <c r="UOB1590" s="528"/>
      <c r="UOC1590" s="528"/>
      <c r="UOD1590" s="528"/>
      <c r="UOE1590" s="528"/>
      <c r="UOF1590" s="528"/>
      <c r="UOG1590" s="528"/>
      <c r="UOH1590" s="528"/>
      <c r="UOI1590" s="528"/>
      <c r="UOJ1590" s="528"/>
      <c r="UOK1590" s="528"/>
      <c r="UOL1590" s="527"/>
      <c r="UOM1590" s="528"/>
      <c r="UON1590" s="528"/>
      <c r="UOO1590" s="528"/>
      <c r="UOP1590" s="528"/>
      <c r="UOQ1590" s="528"/>
      <c r="UOR1590" s="528"/>
      <c r="UOS1590" s="528"/>
      <c r="UOT1590" s="528"/>
      <c r="UOU1590" s="528"/>
      <c r="UOV1590" s="528"/>
      <c r="UOW1590" s="527"/>
      <c r="UOX1590" s="528"/>
      <c r="UOY1590" s="528"/>
      <c r="UOZ1590" s="528"/>
      <c r="UPA1590" s="528"/>
      <c r="UPB1590" s="528"/>
      <c r="UPC1590" s="528"/>
      <c r="UPD1590" s="528"/>
      <c r="UPE1590" s="528"/>
      <c r="UPF1590" s="528"/>
      <c r="UPG1590" s="528"/>
      <c r="UPH1590" s="527"/>
      <c r="UPI1590" s="528"/>
      <c r="UPJ1590" s="528"/>
      <c r="UPK1590" s="528"/>
      <c r="UPL1590" s="528"/>
      <c r="UPM1590" s="528"/>
      <c r="UPN1590" s="528"/>
      <c r="UPO1590" s="528"/>
      <c r="UPP1590" s="528"/>
      <c r="UPQ1590" s="528"/>
      <c r="UPR1590" s="528"/>
      <c r="UPS1590" s="527"/>
      <c r="UPT1590" s="528"/>
      <c r="UPU1590" s="528"/>
      <c r="UPV1590" s="528"/>
      <c r="UPW1590" s="528"/>
      <c r="UPX1590" s="528"/>
      <c r="UPY1590" s="528"/>
      <c r="UPZ1590" s="528"/>
      <c r="UQA1590" s="528"/>
      <c r="UQB1590" s="528"/>
      <c r="UQC1590" s="528"/>
      <c r="UQD1590" s="527"/>
      <c r="UQE1590" s="528"/>
      <c r="UQF1590" s="528"/>
      <c r="UQG1590" s="528"/>
      <c r="UQH1590" s="528"/>
      <c r="UQI1590" s="528"/>
      <c r="UQJ1590" s="528"/>
      <c r="UQK1590" s="528"/>
      <c r="UQL1590" s="528"/>
      <c r="UQM1590" s="528"/>
      <c r="UQN1590" s="528"/>
      <c r="UQO1590" s="527"/>
      <c r="UQP1590" s="528"/>
      <c r="UQQ1590" s="528"/>
      <c r="UQR1590" s="528"/>
      <c r="UQS1590" s="528"/>
      <c r="UQT1590" s="528"/>
      <c r="UQU1590" s="528"/>
      <c r="UQV1590" s="528"/>
      <c r="UQW1590" s="528"/>
      <c r="UQX1590" s="528"/>
      <c r="UQY1590" s="528"/>
      <c r="UQZ1590" s="527"/>
      <c r="URA1590" s="528"/>
      <c r="URB1590" s="528"/>
      <c r="URC1590" s="528"/>
      <c r="URD1590" s="528"/>
      <c r="URE1590" s="528"/>
      <c r="URF1590" s="528"/>
      <c r="URG1590" s="528"/>
      <c r="URH1590" s="528"/>
      <c r="URI1590" s="528"/>
      <c r="URJ1590" s="528"/>
      <c r="URK1590" s="527"/>
      <c r="URL1590" s="528"/>
      <c r="URM1590" s="528"/>
      <c r="URN1590" s="528"/>
      <c r="URO1590" s="528"/>
      <c r="URP1590" s="528"/>
      <c r="URQ1590" s="528"/>
      <c r="URR1590" s="528"/>
      <c r="URS1590" s="528"/>
      <c r="URT1590" s="528"/>
      <c r="URU1590" s="528"/>
      <c r="URV1590" s="527"/>
      <c r="URW1590" s="528"/>
      <c r="URX1590" s="528"/>
      <c r="URY1590" s="528"/>
      <c r="URZ1590" s="528"/>
      <c r="USA1590" s="528"/>
      <c r="USB1590" s="528"/>
      <c r="USC1590" s="528"/>
      <c r="USD1590" s="528"/>
      <c r="USE1590" s="528"/>
      <c r="USF1590" s="528"/>
      <c r="USG1590" s="527"/>
      <c r="USH1590" s="528"/>
      <c r="USI1590" s="528"/>
      <c r="USJ1590" s="528"/>
      <c r="USK1590" s="528"/>
      <c r="USL1590" s="528"/>
      <c r="USM1590" s="528"/>
      <c r="USN1590" s="528"/>
      <c r="USO1590" s="528"/>
      <c r="USP1590" s="528"/>
      <c r="USQ1590" s="528"/>
      <c r="USR1590" s="527"/>
      <c r="USS1590" s="528"/>
      <c r="UST1590" s="528"/>
      <c r="USU1590" s="528"/>
      <c r="USV1590" s="528"/>
      <c r="USW1590" s="528"/>
      <c r="USX1590" s="528"/>
      <c r="USY1590" s="528"/>
      <c r="USZ1590" s="528"/>
      <c r="UTA1590" s="528"/>
      <c r="UTB1590" s="528"/>
      <c r="UTC1590" s="527"/>
      <c r="UTD1590" s="528"/>
      <c r="UTE1590" s="528"/>
      <c r="UTF1590" s="528"/>
      <c r="UTG1590" s="528"/>
      <c r="UTH1590" s="528"/>
      <c r="UTI1590" s="528"/>
      <c r="UTJ1590" s="528"/>
      <c r="UTK1590" s="528"/>
      <c r="UTL1590" s="528"/>
      <c r="UTM1590" s="528"/>
      <c r="UTN1590" s="527"/>
      <c r="UTO1590" s="528"/>
      <c r="UTP1590" s="528"/>
      <c r="UTQ1590" s="528"/>
      <c r="UTR1590" s="528"/>
      <c r="UTS1590" s="528"/>
      <c r="UTT1590" s="528"/>
      <c r="UTU1590" s="528"/>
      <c r="UTV1590" s="528"/>
      <c r="UTW1590" s="528"/>
      <c r="UTX1590" s="528"/>
      <c r="UTY1590" s="527"/>
      <c r="UTZ1590" s="528"/>
      <c r="UUA1590" s="528"/>
      <c r="UUB1590" s="528"/>
      <c r="UUC1590" s="528"/>
      <c r="UUD1590" s="528"/>
      <c r="UUE1590" s="528"/>
      <c r="UUF1590" s="528"/>
      <c r="UUG1590" s="528"/>
      <c r="UUH1590" s="528"/>
      <c r="UUI1590" s="528"/>
      <c r="UUJ1590" s="527"/>
      <c r="UUK1590" s="528"/>
      <c r="UUL1590" s="528"/>
      <c r="UUM1590" s="528"/>
      <c r="UUN1590" s="528"/>
      <c r="UUO1590" s="528"/>
      <c r="UUP1590" s="528"/>
      <c r="UUQ1590" s="528"/>
      <c r="UUR1590" s="528"/>
      <c r="UUS1590" s="528"/>
      <c r="UUT1590" s="528"/>
      <c r="UUU1590" s="527"/>
      <c r="UUV1590" s="528"/>
      <c r="UUW1590" s="528"/>
      <c r="UUX1590" s="528"/>
      <c r="UUY1590" s="528"/>
      <c r="UUZ1590" s="528"/>
      <c r="UVA1590" s="528"/>
      <c r="UVB1590" s="528"/>
      <c r="UVC1590" s="528"/>
      <c r="UVD1590" s="528"/>
      <c r="UVE1590" s="528"/>
      <c r="UVF1590" s="527"/>
      <c r="UVG1590" s="528"/>
      <c r="UVH1590" s="528"/>
      <c r="UVI1590" s="528"/>
      <c r="UVJ1590" s="528"/>
      <c r="UVK1590" s="528"/>
      <c r="UVL1590" s="528"/>
      <c r="UVM1590" s="528"/>
      <c r="UVN1590" s="528"/>
      <c r="UVO1590" s="528"/>
      <c r="UVP1590" s="528"/>
      <c r="UVQ1590" s="527"/>
      <c r="UVR1590" s="528"/>
      <c r="UVS1590" s="528"/>
      <c r="UVT1590" s="528"/>
      <c r="UVU1590" s="528"/>
      <c r="UVV1590" s="528"/>
      <c r="UVW1590" s="528"/>
      <c r="UVX1590" s="528"/>
      <c r="UVY1590" s="528"/>
      <c r="UVZ1590" s="528"/>
      <c r="UWA1590" s="528"/>
      <c r="UWB1590" s="527"/>
      <c r="UWC1590" s="528"/>
      <c r="UWD1590" s="528"/>
      <c r="UWE1590" s="528"/>
      <c r="UWF1590" s="528"/>
      <c r="UWG1590" s="528"/>
      <c r="UWH1590" s="528"/>
      <c r="UWI1590" s="528"/>
      <c r="UWJ1590" s="528"/>
      <c r="UWK1590" s="528"/>
      <c r="UWL1590" s="528"/>
      <c r="UWM1590" s="527"/>
      <c r="UWN1590" s="528"/>
      <c r="UWO1590" s="528"/>
      <c r="UWP1590" s="528"/>
      <c r="UWQ1590" s="528"/>
      <c r="UWR1590" s="528"/>
      <c r="UWS1590" s="528"/>
      <c r="UWT1590" s="528"/>
      <c r="UWU1590" s="528"/>
      <c r="UWV1590" s="528"/>
      <c r="UWW1590" s="528"/>
      <c r="UWX1590" s="527"/>
      <c r="UWY1590" s="528"/>
      <c r="UWZ1590" s="528"/>
      <c r="UXA1590" s="528"/>
      <c r="UXB1590" s="528"/>
      <c r="UXC1590" s="528"/>
      <c r="UXD1590" s="528"/>
      <c r="UXE1590" s="528"/>
      <c r="UXF1590" s="528"/>
      <c r="UXG1590" s="528"/>
      <c r="UXH1590" s="528"/>
      <c r="UXI1590" s="527"/>
      <c r="UXJ1590" s="528"/>
      <c r="UXK1590" s="528"/>
      <c r="UXL1590" s="528"/>
      <c r="UXM1590" s="528"/>
      <c r="UXN1590" s="528"/>
      <c r="UXO1590" s="528"/>
      <c r="UXP1590" s="528"/>
      <c r="UXQ1590" s="528"/>
      <c r="UXR1590" s="528"/>
      <c r="UXS1590" s="528"/>
      <c r="UXT1590" s="527"/>
      <c r="UXU1590" s="528"/>
      <c r="UXV1590" s="528"/>
      <c r="UXW1590" s="528"/>
      <c r="UXX1590" s="528"/>
      <c r="UXY1590" s="528"/>
      <c r="UXZ1590" s="528"/>
      <c r="UYA1590" s="528"/>
      <c r="UYB1590" s="528"/>
      <c r="UYC1590" s="528"/>
      <c r="UYD1590" s="528"/>
      <c r="UYE1590" s="527"/>
      <c r="UYF1590" s="528"/>
      <c r="UYG1590" s="528"/>
      <c r="UYH1590" s="528"/>
      <c r="UYI1590" s="528"/>
      <c r="UYJ1590" s="528"/>
      <c r="UYK1590" s="528"/>
      <c r="UYL1590" s="528"/>
      <c r="UYM1590" s="528"/>
      <c r="UYN1590" s="528"/>
      <c r="UYO1590" s="528"/>
      <c r="UYP1590" s="527"/>
      <c r="UYQ1590" s="528"/>
      <c r="UYR1590" s="528"/>
      <c r="UYS1590" s="528"/>
      <c r="UYT1590" s="528"/>
      <c r="UYU1590" s="528"/>
      <c r="UYV1590" s="528"/>
      <c r="UYW1590" s="528"/>
      <c r="UYX1590" s="528"/>
      <c r="UYY1590" s="528"/>
      <c r="UYZ1590" s="528"/>
      <c r="UZA1590" s="527"/>
      <c r="UZB1590" s="528"/>
      <c r="UZC1590" s="528"/>
      <c r="UZD1590" s="528"/>
      <c r="UZE1590" s="528"/>
      <c r="UZF1590" s="528"/>
      <c r="UZG1590" s="528"/>
      <c r="UZH1590" s="528"/>
      <c r="UZI1590" s="528"/>
      <c r="UZJ1590" s="528"/>
      <c r="UZK1590" s="528"/>
      <c r="UZL1590" s="527"/>
      <c r="UZM1590" s="528"/>
      <c r="UZN1590" s="528"/>
      <c r="UZO1590" s="528"/>
      <c r="UZP1590" s="528"/>
      <c r="UZQ1590" s="528"/>
      <c r="UZR1590" s="528"/>
      <c r="UZS1590" s="528"/>
      <c r="UZT1590" s="528"/>
      <c r="UZU1590" s="528"/>
      <c r="UZV1590" s="528"/>
      <c r="UZW1590" s="527"/>
      <c r="UZX1590" s="528"/>
      <c r="UZY1590" s="528"/>
      <c r="UZZ1590" s="528"/>
      <c r="VAA1590" s="528"/>
      <c r="VAB1590" s="528"/>
      <c r="VAC1590" s="528"/>
      <c r="VAD1590" s="528"/>
      <c r="VAE1590" s="528"/>
      <c r="VAF1590" s="528"/>
      <c r="VAG1590" s="528"/>
      <c r="VAH1590" s="527"/>
      <c r="VAI1590" s="528"/>
      <c r="VAJ1590" s="528"/>
      <c r="VAK1590" s="528"/>
      <c r="VAL1590" s="528"/>
      <c r="VAM1590" s="528"/>
      <c r="VAN1590" s="528"/>
      <c r="VAO1590" s="528"/>
      <c r="VAP1590" s="528"/>
      <c r="VAQ1590" s="528"/>
      <c r="VAR1590" s="528"/>
      <c r="VAS1590" s="527"/>
      <c r="VAT1590" s="528"/>
      <c r="VAU1590" s="528"/>
      <c r="VAV1590" s="528"/>
      <c r="VAW1590" s="528"/>
      <c r="VAX1590" s="528"/>
      <c r="VAY1590" s="528"/>
      <c r="VAZ1590" s="528"/>
      <c r="VBA1590" s="528"/>
      <c r="VBB1590" s="528"/>
      <c r="VBC1590" s="528"/>
      <c r="VBD1590" s="527"/>
      <c r="VBE1590" s="528"/>
      <c r="VBF1590" s="528"/>
      <c r="VBG1590" s="528"/>
      <c r="VBH1590" s="528"/>
      <c r="VBI1590" s="528"/>
      <c r="VBJ1590" s="528"/>
      <c r="VBK1590" s="528"/>
      <c r="VBL1590" s="528"/>
      <c r="VBM1590" s="528"/>
      <c r="VBN1590" s="528"/>
      <c r="VBO1590" s="527"/>
      <c r="VBP1590" s="528"/>
      <c r="VBQ1590" s="528"/>
      <c r="VBR1590" s="528"/>
      <c r="VBS1590" s="528"/>
      <c r="VBT1590" s="528"/>
      <c r="VBU1590" s="528"/>
      <c r="VBV1590" s="528"/>
      <c r="VBW1590" s="528"/>
      <c r="VBX1590" s="528"/>
      <c r="VBY1590" s="528"/>
      <c r="VBZ1590" s="527"/>
      <c r="VCA1590" s="528"/>
      <c r="VCB1590" s="528"/>
      <c r="VCC1590" s="528"/>
      <c r="VCD1590" s="528"/>
      <c r="VCE1590" s="528"/>
      <c r="VCF1590" s="528"/>
      <c r="VCG1590" s="528"/>
      <c r="VCH1590" s="528"/>
      <c r="VCI1590" s="528"/>
      <c r="VCJ1590" s="528"/>
      <c r="VCK1590" s="527"/>
      <c r="VCL1590" s="528"/>
      <c r="VCM1590" s="528"/>
      <c r="VCN1590" s="528"/>
      <c r="VCO1590" s="528"/>
      <c r="VCP1590" s="528"/>
      <c r="VCQ1590" s="528"/>
      <c r="VCR1590" s="528"/>
      <c r="VCS1590" s="528"/>
      <c r="VCT1590" s="528"/>
      <c r="VCU1590" s="528"/>
      <c r="VCV1590" s="527"/>
      <c r="VCW1590" s="528"/>
      <c r="VCX1590" s="528"/>
      <c r="VCY1590" s="528"/>
      <c r="VCZ1590" s="528"/>
      <c r="VDA1590" s="528"/>
      <c r="VDB1590" s="528"/>
      <c r="VDC1590" s="528"/>
      <c r="VDD1590" s="528"/>
      <c r="VDE1590" s="528"/>
      <c r="VDF1590" s="528"/>
      <c r="VDG1590" s="527"/>
      <c r="VDH1590" s="528"/>
      <c r="VDI1590" s="528"/>
      <c r="VDJ1590" s="528"/>
      <c r="VDK1590" s="528"/>
      <c r="VDL1590" s="528"/>
      <c r="VDM1590" s="528"/>
      <c r="VDN1590" s="528"/>
      <c r="VDO1590" s="528"/>
      <c r="VDP1590" s="528"/>
      <c r="VDQ1590" s="528"/>
      <c r="VDR1590" s="527"/>
      <c r="VDS1590" s="528"/>
      <c r="VDT1590" s="528"/>
      <c r="VDU1590" s="528"/>
      <c r="VDV1590" s="528"/>
      <c r="VDW1590" s="528"/>
      <c r="VDX1590" s="528"/>
      <c r="VDY1590" s="528"/>
      <c r="VDZ1590" s="528"/>
      <c r="VEA1590" s="528"/>
      <c r="VEB1590" s="528"/>
      <c r="VEC1590" s="527"/>
      <c r="VED1590" s="528"/>
      <c r="VEE1590" s="528"/>
      <c r="VEF1590" s="528"/>
      <c r="VEG1590" s="528"/>
      <c r="VEH1590" s="528"/>
      <c r="VEI1590" s="528"/>
      <c r="VEJ1590" s="528"/>
      <c r="VEK1590" s="528"/>
      <c r="VEL1590" s="528"/>
      <c r="VEM1590" s="528"/>
      <c r="VEN1590" s="527"/>
      <c r="VEO1590" s="528"/>
      <c r="VEP1590" s="528"/>
      <c r="VEQ1590" s="528"/>
      <c r="VER1590" s="528"/>
      <c r="VES1590" s="528"/>
      <c r="VET1590" s="528"/>
      <c r="VEU1590" s="528"/>
      <c r="VEV1590" s="528"/>
      <c r="VEW1590" s="528"/>
      <c r="VEX1590" s="528"/>
      <c r="VEY1590" s="527"/>
      <c r="VEZ1590" s="528"/>
      <c r="VFA1590" s="528"/>
      <c r="VFB1590" s="528"/>
      <c r="VFC1590" s="528"/>
      <c r="VFD1590" s="528"/>
      <c r="VFE1590" s="528"/>
      <c r="VFF1590" s="528"/>
      <c r="VFG1590" s="528"/>
      <c r="VFH1590" s="528"/>
      <c r="VFI1590" s="528"/>
      <c r="VFJ1590" s="527"/>
      <c r="VFK1590" s="528"/>
      <c r="VFL1590" s="528"/>
      <c r="VFM1590" s="528"/>
      <c r="VFN1590" s="528"/>
      <c r="VFO1590" s="528"/>
      <c r="VFP1590" s="528"/>
      <c r="VFQ1590" s="528"/>
      <c r="VFR1590" s="528"/>
      <c r="VFS1590" s="528"/>
      <c r="VFT1590" s="528"/>
      <c r="VFU1590" s="527"/>
      <c r="VFV1590" s="528"/>
      <c r="VFW1590" s="528"/>
      <c r="VFX1590" s="528"/>
      <c r="VFY1590" s="528"/>
      <c r="VFZ1590" s="528"/>
      <c r="VGA1590" s="528"/>
      <c r="VGB1590" s="528"/>
      <c r="VGC1590" s="528"/>
      <c r="VGD1590" s="528"/>
      <c r="VGE1590" s="528"/>
      <c r="VGF1590" s="527"/>
      <c r="VGG1590" s="528"/>
      <c r="VGH1590" s="528"/>
      <c r="VGI1590" s="528"/>
      <c r="VGJ1590" s="528"/>
      <c r="VGK1590" s="528"/>
      <c r="VGL1590" s="528"/>
      <c r="VGM1590" s="528"/>
      <c r="VGN1590" s="528"/>
      <c r="VGO1590" s="528"/>
      <c r="VGP1590" s="528"/>
      <c r="VGQ1590" s="527"/>
      <c r="VGR1590" s="528"/>
      <c r="VGS1590" s="528"/>
      <c r="VGT1590" s="528"/>
      <c r="VGU1590" s="528"/>
      <c r="VGV1590" s="528"/>
      <c r="VGW1590" s="528"/>
      <c r="VGX1590" s="528"/>
      <c r="VGY1590" s="528"/>
      <c r="VGZ1590" s="528"/>
      <c r="VHA1590" s="528"/>
      <c r="VHB1590" s="527"/>
      <c r="VHC1590" s="528"/>
      <c r="VHD1590" s="528"/>
      <c r="VHE1590" s="528"/>
      <c r="VHF1590" s="528"/>
      <c r="VHG1590" s="528"/>
      <c r="VHH1590" s="528"/>
      <c r="VHI1590" s="528"/>
      <c r="VHJ1590" s="528"/>
      <c r="VHK1590" s="528"/>
      <c r="VHL1590" s="528"/>
      <c r="VHM1590" s="527"/>
      <c r="VHN1590" s="528"/>
      <c r="VHO1590" s="528"/>
      <c r="VHP1590" s="528"/>
      <c r="VHQ1590" s="528"/>
      <c r="VHR1590" s="528"/>
      <c r="VHS1590" s="528"/>
      <c r="VHT1590" s="528"/>
      <c r="VHU1590" s="528"/>
      <c r="VHV1590" s="528"/>
      <c r="VHW1590" s="528"/>
      <c r="VHX1590" s="527"/>
      <c r="VHY1590" s="528"/>
      <c r="VHZ1590" s="528"/>
      <c r="VIA1590" s="528"/>
      <c r="VIB1590" s="528"/>
      <c r="VIC1590" s="528"/>
      <c r="VID1590" s="528"/>
      <c r="VIE1590" s="528"/>
      <c r="VIF1590" s="528"/>
      <c r="VIG1590" s="528"/>
      <c r="VIH1590" s="528"/>
      <c r="VII1590" s="527"/>
      <c r="VIJ1590" s="528"/>
      <c r="VIK1590" s="528"/>
      <c r="VIL1590" s="528"/>
      <c r="VIM1590" s="528"/>
      <c r="VIN1590" s="528"/>
      <c r="VIO1590" s="528"/>
      <c r="VIP1590" s="528"/>
      <c r="VIQ1590" s="528"/>
      <c r="VIR1590" s="528"/>
      <c r="VIS1590" s="528"/>
      <c r="VIT1590" s="527"/>
      <c r="VIU1590" s="528"/>
      <c r="VIV1590" s="528"/>
      <c r="VIW1590" s="528"/>
      <c r="VIX1590" s="528"/>
      <c r="VIY1590" s="528"/>
      <c r="VIZ1590" s="528"/>
      <c r="VJA1590" s="528"/>
      <c r="VJB1590" s="528"/>
      <c r="VJC1590" s="528"/>
      <c r="VJD1590" s="528"/>
      <c r="VJE1590" s="527"/>
      <c r="VJF1590" s="528"/>
      <c r="VJG1590" s="528"/>
      <c r="VJH1590" s="528"/>
      <c r="VJI1590" s="528"/>
      <c r="VJJ1590" s="528"/>
      <c r="VJK1590" s="528"/>
      <c r="VJL1590" s="528"/>
      <c r="VJM1590" s="528"/>
      <c r="VJN1590" s="528"/>
      <c r="VJO1590" s="528"/>
      <c r="VJP1590" s="527"/>
      <c r="VJQ1590" s="528"/>
      <c r="VJR1590" s="528"/>
      <c r="VJS1590" s="528"/>
      <c r="VJT1590" s="528"/>
      <c r="VJU1590" s="528"/>
      <c r="VJV1590" s="528"/>
      <c r="VJW1590" s="528"/>
      <c r="VJX1590" s="528"/>
      <c r="VJY1590" s="528"/>
      <c r="VJZ1590" s="528"/>
      <c r="VKA1590" s="527"/>
      <c r="VKB1590" s="528"/>
      <c r="VKC1590" s="528"/>
      <c r="VKD1590" s="528"/>
      <c r="VKE1590" s="528"/>
      <c r="VKF1590" s="528"/>
      <c r="VKG1590" s="528"/>
      <c r="VKH1590" s="528"/>
      <c r="VKI1590" s="528"/>
      <c r="VKJ1590" s="528"/>
      <c r="VKK1590" s="528"/>
      <c r="VKL1590" s="527"/>
      <c r="VKM1590" s="528"/>
      <c r="VKN1590" s="528"/>
      <c r="VKO1590" s="528"/>
      <c r="VKP1590" s="528"/>
      <c r="VKQ1590" s="528"/>
      <c r="VKR1590" s="528"/>
      <c r="VKS1590" s="528"/>
      <c r="VKT1590" s="528"/>
      <c r="VKU1590" s="528"/>
      <c r="VKV1590" s="528"/>
      <c r="VKW1590" s="527"/>
      <c r="VKX1590" s="528"/>
      <c r="VKY1590" s="528"/>
      <c r="VKZ1590" s="528"/>
      <c r="VLA1590" s="528"/>
      <c r="VLB1590" s="528"/>
      <c r="VLC1590" s="528"/>
      <c r="VLD1590" s="528"/>
      <c r="VLE1590" s="528"/>
      <c r="VLF1590" s="528"/>
      <c r="VLG1590" s="528"/>
      <c r="VLH1590" s="527"/>
      <c r="VLI1590" s="528"/>
      <c r="VLJ1590" s="528"/>
      <c r="VLK1590" s="528"/>
      <c r="VLL1590" s="528"/>
      <c r="VLM1590" s="528"/>
      <c r="VLN1590" s="528"/>
      <c r="VLO1590" s="528"/>
      <c r="VLP1590" s="528"/>
      <c r="VLQ1590" s="528"/>
      <c r="VLR1590" s="528"/>
      <c r="VLS1590" s="527"/>
      <c r="VLT1590" s="528"/>
      <c r="VLU1590" s="528"/>
      <c r="VLV1590" s="528"/>
      <c r="VLW1590" s="528"/>
      <c r="VLX1590" s="528"/>
      <c r="VLY1590" s="528"/>
      <c r="VLZ1590" s="528"/>
      <c r="VMA1590" s="528"/>
      <c r="VMB1590" s="528"/>
      <c r="VMC1590" s="528"/>
      <c r="VMD1590" s="527"/>
      <c r="VME1590" s="528"/>
      <c r="VMF1590" s="528"/>
      <c r="VMG1590" s="528"/>
      <c r="VMH1590" s="528"/>
      <c r="VMI1590" s="528"/>
      <c r="VMJ1590" s="528"/>
      <c r="VMK1590" s="528"/>
      <c r="VML1590" s="528"/>
      <c r="VMM1590" s="528"/>
      <c r="VMN1590" s="528"/>
      <c r="VMO1590" s="527"/>
      <c r="VMP1590" s="528"/>
      <c r="VMQ1590" s="528"/>
      <c r="VMR1590" s="528"/>
      <c r="VMS1590" s="528"/>
      <c r="VMT1590" s="528"/>
      <c r="VMU1590" s="528"/>
      <c r="VMV1590" s="528"/>
      <c r="VMW1590" s="528"/>
      <c r="VMX1590" s="528"/>
      <c r="VMY1590" s="528"/>
      <c r="VMZ1590" s="527"/>
      <c r="VNA1590" s="528"/>
      <c r="VNB1590" s="528"/>
      <c r="VNC1590" s="528"/>
      <c r="VND1590" s="528"/>
      <c r="VNE1590" s="528"/>
      <c r="VNF1590" s="528"/>
      <c r="VNG1590" s="528"/>
      <c r="VNH1590" s="528"/>
      <c r="VNI1590" s="528"/>
      <c r="VNJ1590" s="528"/>
      <c r="VNK1590" s="527"/>
      <c r="VNL1590" s="528"/>
      <c r="VNM1590" s="528"/>
      <c r="VNN1590" s="528"/>
      <c r="VNO1590" s="528"/>
      <c r="VNP1590" s="528"/>
      <c r="VNQ1590" s="528"/>
      <c r="VNR1590" s="528"/>
      <c r="VNS1590" s="528"/>
      <c r="VNT1590" s="528"/>
      <c r="VNU1590" s="528"/>
      <c r="VNV1590" s="527"/>
      <c r="VNW1590" s="528"/>
      <c r="VNX1590" s="528"/>
      <c r="VNY1590" s="528"/>
      <c r="VNZ1590" s="528"/>
      <c r="VOA1590" s="528"/>
      <c r="VOB1590" s="528"/>
      <c r="VOC1590" s="528"/>
      <c r="VOD1590" s="528"/>
      <c r="VOE1590" s="528"/>
      <c r="VOF1590" s="528"/>
      <c r="VOG1590" s="527"/>
      <c r="VOH1590" s="528"/>
      <c r="VOI1590" s="528"/>
      <c r="VOJ1590" s="528"/>
      <c r="VOK1590" s="528"/>
      <c r="VOL1590" s="528"/>
      <c r="VOM1590" s="528"/>
      <c r="VON1590" s="528"/>
      <c r="VOO1590" s="528"/>
      <c r="VOP1590" s="528"/>
      <c r="VOQ1590" s="528"/>
      <c r="VOR1590" s="527"/>
      <c r="VOS1590" s="528"/>
      <c r="VOT1590" s="528"/>
      <c r="VOU1590" s="528"/>
      <c r="VOV1590" s="528"/>
      <c r="VOW1590" s="528"/>
      <c r="VOX1590" s="528"/>
      <c r="VOY1590" s="528"/>
      <c r="VOZ1590" s="528"/>
      <c r="VPA1590" s="528"/>
      <c r="VPB1590" s="528"/>
      <c r="VPC1590" s="527"/>
      <c r="VPD1590" s="528"/>
      <c r="VPE1590" s="528"/>
      <c r="VPF1590" s="528"/>
      <c r="VPG1590" s="528"/>
      <c r="VPH1590" s="528"/>
      <c r="VPI1590" s="528"/>
      <c r="VPJ1590" s="528"/>
      <c r="VPK1590" s="528"/>
      <c r="VPL1590" s="528"/>
      <c r="VPM1590" s="528"/>
      <c r="VPN1590" s="527"/>
      <c r="VPO1590" s="528"/>
      <c r="VPP1590" s="528"/>
      <c r="VPQ1590" s="528"/>
      <c r="VPR1590" s="528"/>
      <c r="VPS1590" s="528"/>
      <c r="VPT1590" s="528"/>
      <c r="VPU1590" s="528"/>
      <c r="VPV1590" s="528"/>
      <c r="VPW1590" s="528"/>
      <c r="VPX1590" s="528"/>
      <c r="VPY1590" s="527"/>
      <c r="VPZ1590" s="528"/>
      <c r="VQA1590" s="528"/>
      <c r="VQB1590" s="528"/>
      <c r="VQC1590" s="528"/>
      <c r="VQD1590" s="528"/>
      <c r="VQE1590" s="528"/>
      <c r="VQF1590" s="528"/>
      <c r="VQG1590" s="528"/>
      <c r="VQH1590" s="528"/>
      <c r="VQI1590" s="528"/>
      <c r="VQJ1590" s="527"/>
      <c r="VQK1590" s="528"/>
      <c r="VQL1590" s="528"/>
      <c r="VQM1590" s="528"/>
      <c r="VQN1590" s="528"/>
      <c r="VQO1590" s="528"/>
      <c r="VQP1590" s="528"/>
      <c r="VQQ1590" s="528"/>
      <c r="VQR1590" s="528"/>
      <c r="VQS1590" s="528"/>
      <c r="VQT1590" s="528"/>
      <c r="VQU1590" s="527"/>
      <c r="VQV1590" s="528"/>
      <c r="VQW1590" s="528"/>
      <c r="VQX1590" s="528"/>
      <c r="VQY1590" s="528"/>
      <c r="VQZ1590" s="528"/>
      <c r="VRA1590" s="528"/>
      <c r="VRB1590" s="528"/>
      <c r="VRC1590" s="528"/>
      <c r="VRD1590" s="528"/>
      <c r="VRE1590" s="528"/>
      <c r="VRF1590" s="527"/>
      <c r="VRG1590" s="528"/>
      <c r="VRH1590" s="528"/>
      <c r="VRI1590" s="528"/>
      <c r="VRJ1590" s="528"/>
      <c r="VRK1590" s="528"/>
      <c r="VRL1590" s="528"/>
      <c r="VRM1590" s="528"/>
      <c r="VRN1590" s="528"/>
      <c r="VRO1590" s="528"/>
      <c r="VRP1590" s="528"/>
      <c r="VRQ1590" s="527"/>
      <c r="VRR1590" s="528"/>
      <c r="VRS1590" s="528"/>
      <c r="VRT1590" s="528"/>
      <c r="VRU1590" s="528"/>
      <c r="VRV1590" s="528"/>
      <c r="VRW1590" s="528"/>
      <c r="VRX1590" s="528"/>
      <c r="VRY1590" s="528"/>
      <c r="VRZ1590" s="528"/>
      <c r="VSA1590" s="528"/>
      <c r="VSB1590" s="527"/>
      <c r="VSC1590" s="528"/>
      <c r="VSD1590" s="528"/>
      <c r="VSE1590" s="528"/>
      <c r="VSF1590" s="528"/>
      <c r="VSG1590" s="528"/>
      <c r="VSH1590" s="528"/>
      <c r="VSI1590" s="528"/>
      <c r="VSJ1590" s="528"/>
      <c r="VSK1590" s="528"/>
      <c r="VSL1590" s="528"/>
      <c r="VSM1590" s="527"/>
      <c r="VSN1590" s="528"/>
      <c r="VSO1590" s="528"/>
      <c r="VSP1590" s="528"/>
      <c r="VSQ1590" s="528"/>
      <c r="VSR1590" s="528"/>
      <c r="VSS1590" s="528"/>
      <c r="VST1590" s="528"/>
      <c r="VSU1590" s="528"/>
      <c r="VSV1590" s="528"/>
      <c r="VSW1590" s="528"/>
      <c r="VSX1590" s="527"/>
      <c r="VSY1590" s="528"/>
      <c r="VSZ1590" s="528"/>
      <c r="VTA1590" s="528"/>
      <c r="VTB1590" s="528"/>
      <c r="VTC1590" s="528"/>
      <c r="VTD1590" s="528"/>
      <c r="VTE1590" s="528"/>
      <c r="VTF1590" s="528"/>
      <c r="VTG1590" s="528"/>
      <c r="VTH1590" s="528"/>
      <c r="VTI1590" s="527"/>
      <c r="VTJ1590" s="528"/>
      <c r="VTK1590" s="528"/>
      <c r="VTL1590" s="528"/>
      <c r="VTM1590" s="528"/>
      <c r="VTN1590" s="528"/>
      <c r="VTO1590" s="528"/>
      <c r="VTP1590" s="528"/>
      <c r="VTQ1590" s="528"/>
      <c r="VTR1590" s="528"/>
      <c r="VTS1590" s="528"/>
      <c r="VTT1590" s="527"/>
      <c r="VTU1590" s="528"/>
      <c r="VTV1590" s="528"/>
      <c r="VTW1590" s="528"/>
      <c r="VTX1590" s="528"/>
      <c r="VTY1590" s="528"/>
      <c r="VTZ1590" s="528"/>
      <c r="VUA1590" s="528"/>
      <c r="VUB1590" s="528"/>
      <c r="VUC1590" s="528"/>
      <c r="VUD1590" s="528"/>
      <c r="VUE1590" s="527"/>
      <c r="VUF1590" s="528"/>
      <c r="VUG1590" s="528"/>
      <c r="VUH1590" s="528"/>
      <c r="VUI1590" s="528"/>
      <c r="VUJ1590" s="528"/>
      <c r="VUK1590" s="528"/>
      <c r="VUL1590" s="528"/>
      <c r="VUM1590" s="528"/>
      <c r="VUN1590" s="528"/>
      <c r="VUO1590" s="528"/>
      <c r="VUP1590" s="527"/>
      <c r="VUQ1590" s="528"/>
      <c r="VUR1590" s="528"/>
      <c r="VUS1590" s="528"/>
      <c r="VUT1590" s="528"/>
      <c r="VUU1590" s="528"/>
      <c r="VUV1590" s="528"/>
      <c r="VUW1590" s="528"/>
      <c r="VUX1590" s="528"/>
      <c r="VUY1590" s="528"/>
      <c r="VUZ1590" s="528"/>
      <c r="VVA1590" s="527"/>
      <c r="VVB1590" s="528"/>
      <c r="VVC1590" s="528"/>
      <c r="VVD1590" s="528"/>
      <c r="VVE1590" s="528"/>
      <c r="VVF1590" s="528"/>
      <c r="VVG1590" s="528"/>
      <c r="VVH1590" s="528"/>
      <c r="VVI1590" s="528"/>
      <c r="VVJ1590" s="528"/>
      <c r="VVK1590" s="528"/>
      <c r="VVL1590" s="527"/>
      <c r="VVM1590" s="528"/>
      <c r="VVN1590" s="528"/>
      <c r="VVO1590" s="528"/>
      <c r="VVP1590" s="528"/>
      <c r="VVQ1590" s="528"/>
      <c r="VVR1590" s="528"/>
      <c r="VVS1590" s="528"/>
      <c r="VVT1590" s="528"/>
      <c r="VVU1590" s="528"/>
      <c r="VVV1590" s="528"/>
      <c r="VVW1590" s="527"/>
      <c r="VVX1590" s="528"/>
      <c r="VVY1590" s="528"/>
      <c r="VVZ1590" s="528"/>
      <c r="VWA1590" s="528"/>
      <c r="VWB1590" s="528"/>
      <c r="VWC1590" s="528"/>
      <c r="VWD1590" s="528"/>
      <c r="VWE1590" s="528"/>
      <c r="VWF1590" s="528"/>
      <c r="VWG1590" s="528"/>
      <c r="VWH1590" s="527"/>
      <c r="VWI1590" s="528"/>
      <c r="VWJ1590" s="528"/>
      <c r="VWK1590" s="528"/>
      <c r="VWL1590" s="528"/>
      <c r="VWM1590" s="528"/>
      <c r="VWN1590" s="528"/>
      <c r="VWO1590" s="528"/>
      <c r="VWP1590" s="528"/>
      <c r="VWQ1590" s="528"/>
      <c r="VWR1590" s="528"/>
      <c r="VWS1590" s="527"/>
      <c r="VWT1590" s="528"/>
      <c r="VWU1590" s="528"/>
      <c r="VWV1590" s="528"/>
      <c r="VWW1590" s="528"/>
      <c r="VWX1590" s="528"/>
      <c r="VWY1590" s="528"/>
      <c r="VWZ1590" s="528"/>
      <c r="VXA1590" s="528"/>
      <c r="VXB1590" s="528"/>
      <c r="VXC1590" s="528"/>
      <c r="VXD1590" s="527"/>
      <c r="VXE1590" s="528"/>
      <c r="VXF1590" s="528"/>
      <c r="VXG1590" s="528"/>
      <c r="VXH1590" s="528"/>
      <c r="VXI1590" s="528"/>
      <c r="VXJ1590" s="528"/>
      <c r="VXK1590" s="528"/>
      <c r="VXL1590" s="528"/>
      <c r="VXM1590" s="528"/>
      <c r="VXN1590" s="528"/>
      <c r="VXO1590" s="527"/>
      <c r="VXP1590" s="528"/>
      <c r="VXQ1590" s="528"/>
      <c r="VXR1590" s="528"/>
      <c r="VXS1590" s="528"/>
      <c r="VXT1590" s="528"/>
      <c r="VXU1590" s="528"/>
      <c r="VXV1590" s="528"/>
      <c r="VXW1590" s="528"/>
      <c r="VXX1590" s="528"/>
      <c r="VXY1590" s="528"/>
      <c r="VXZ1590" s="527"/>
      <c r="VYA1590" s="528"/>
      <c r="VYB1590" s="528"/>
      <c r="VYC1590" s="528"/>
      <c r="VYD1590" s="528"/>
      <c r="VYE1590" s="528"/>
      <c r="VYF1590" s="528"/>
      <c r="VYG1590" s="528"/>
      <c r="VYH1590" s="528"/>
      <c r="VYI1590" s="528"/>
      <c r="VYJ1590" s="528"/>
      <c r="VYK1590" s="527"/>
      <c r="VYL1590" s="528"/>
      <c r="VYM1590" s="528"/>
      <c r="VYN1590" s="528"/>
      <c r="VYO1590" s="528"/>
      <c r="VYP1590" s="528"/>
      <c r="VYQ1590" s="528"/>
      <c r="VYR1590" s="528"/>
      <c r="VYS1590" s="528"/>
      <c r="VYT1590" s="528"/>
      <c r="VYU1590" s="528"/>
      <c r="VYV1590" s="527"/>
      <c r="VYW1590" s="528"/>
      <c r="VYX1590" s="528"/>
      <c r="VYY1590" s="528"/>
      <c r="VYZ1590" s="528"/>
      <c r="VZA1590" s="528"/>
      <c r="VZB1590" s="528"/>
      <c r="VZC1590" s="528"/>
      <c r="VZD1590" s="528"/>
      <c r="VZE1590" s="528"/>
      <c r="VZF1590" s="528"/>
      <c r="VZG1590" s="527"/>
      <c r="VZH1590" s="528"/>
      <c r="VZI1590" s="528"/>
      <c r="VZJ1590" s="528"/>
      <c r="VZK1590" s="528"/>
      <c r="VZL1590" s="528"/>
      <c r="VZM1590" s="528"/>
      <c r="VZN1590" s="528"/>
      <c r="VZO1590" s="528"/>
      <c r="VZP1590" s="528"/>
      <c r="VZQ1590" s="528"/>
      <c r="VZR1590" s="527"/>
      <c r="VZS1590" s="528"/>
      <c r="VZT1590" s="528"/>
      <c r="VZU1590" s="528"/>
      <c r="VZV1590" s="528"/>
      <c r="VZW1590" s="528"/>
      <c r="VZX1590" s="528"/>
      <c r="VZY1590" s="528"/>
      <c r="VZZ1590" s="528"/>
      <c r="WAA1590" s="528"/>
      <c r="WAB1590" s="528"/>
      <c r="WAC1590" s="527"/>
      <c r="WAD1590" s="528"/>
      <c r="WAE1590" s="528"/>
      <c r="WAF1590" s="528"/>
      <c r="WAG1590" s="528"/>
      <c r="WAH1590" s="528"/>
      <c r="WAI1590" s="528"/>
      <c r="WAJ1590" s="528"/>
      <c r="WAK1590" s="528"/>
      <c r="WAL1590" s="528"/>
      <c r="WAM1590" s="528"/>
      <c r="WAN1590" s="527"/>
      <c r="WAO1590" s="528"/>
      <c r="WAP1590" s="528"/>
      <c r="WAQ1590" s="528"/>
      <c r="WAR1590" s="528"/>
      <c r="WAS1590" s="528"/>
      <c r="WAT1590" s="528"/>
      <c r="WAU1590" s="528"/>
      <c r="WAV1590" s="528"/>
      <c r="WAW1590" s="528"/>
      <c r="WAX1590" s="528"/>
      <c r="WAY1590" s="527"/>
      <c r="WAZ1590" s="528"/>
      <c r="WBA1590" s="528"/>
      <c r="WBB1590" s="528"/>
      <c r="WBC1590" s="528"/>
      <c r="WBD1590" s="528"/>
      <c r="WBE1590" s="528"/>
      <c r="WBF1590" s="528"/>
      <c r="WBG1590" s="528"/>
      <c r="WBH1590" s="528"/>
      <c r="WBI1590" s="528"/>
      <c r="WBJ1590" s="527"/>
      <c r="WBK1590" s="528"/>
      <c r="WBL1590" s="528"/>
      <c r="WBM1590" s="528"/>
      <c r="WBN1590" s="528"/>
      <c r="WBO1590" s="528"/>
      <c r="WBP1590" s="528"/>
      <c r="WBQ1590" s="528"/>
      <c r="WBR1590" s="528"/>
      <c r="WBS1590" s="528"/>
      <c r="WBT1590" s="528"/>
      <c r="WBU1590" s="527"/>
      <c r="WBV1590" s="528"/>
      <c r="WBW1590" s="528"/>
      <c r="WBX1590" s="528"/>
      <c r="WBY1590" s="528"/>
      <c r="WBZ1590" s="528"/>
      <c r="WCA1590" s="528"/>
      <c r="WCB1590" s="528"/>
      <c r="WCC1590" s="528"/>
      <c r="WCD1590" s="528"/>
      <c r="WCE1590" s="528"/>
      <c r="WCF1590" s="527"/>
      <c r="WCG1590" s="528"/>
      <c r="WCH1590" s="528"/>
      <c r="WCI1590" s="528"/>
      <c r="WCJ1590" s="528"/>
      <c r="WCK1590" s="528"/>
      <c r="WCL1590" s="528"/>
      <c r="WCM1590" s="528"/>
      <c r="WCN1590" s="528"/>
      <c r="WCO1590" s="528"/>
      <c r="WCP1590" s="528"/>
      <c r="WCQ1590" s="527"/>
      <c r="WCR1590" s="528"/>
      <c r="WCS1590" s="528"/>
      <c r="WCT1590" s="528"/>
      <c r="WCU1590" s="528"/>
      <c r="WCV1590" s="528"/>
      <c r="WCW1590" s="528"/>
      <c r="WCX1590" s="528"/>
      <c r="WCY1590" s="528"/>
      <c r="WCZ1590" s="528"/>
      <c r="WDA1590" s="528"/>
      <c r="WDB1590" s="527"/>
      <c r="WDC1590" s="528"/>
      <c r="WDD1590" s="528"/>
      <c r="WDE1590" s="528"/>
      <c r="WDF1590" s="528"/>
      <c r="WDG1590" s="528"/>
      <c r="WDH1590" s="528"/>
      <c r="WDI1590" s="528"/>
      <c r="WDJ1590" s="528"/>
      <c r="WDK1590" s="528"/>
      <c r="WDL1590" s="528"/>
      <c r="WDM1590" s="527"/>
      <c r="WDN1590" s="528"/>
      <c r="WDO1590" s="528"/>
      <c r="WDP1590" s="528"/>
      <c r="WDQ1590" s="528"/>
      <c r="WDR1590" s="528"/>
      <c r="WDS1590" s="528"/>
      <c r="WDT1590" s="528"/>
      <c r="WDU1590" s="528"/>
      <c r="WDV1590" s="528"/>
      <c r="WDW1590" s="528"/>
      <c r="WDX1590" s="527"/>
      <c r="WDY1590" s="528"/>
      <c r="WDZ1590" s="528"/>
      <c r="WEA1590" s="528"/>
      <c r="WEB1590" s="528"/>
      <c r="WEC1590" s="528"/>
      <c r="WED1590" s="528"/>
      <c r="WEE1590" s="528"/>
      <c r="WEF1590" s="528"/>
      <c r="WEG1590" s="528"/>
      <c r="WEH1590" s="528"/>
      <c r="WEI1590" s="527"/>
      <c r="WEJ1590" s="528"/>
      <c r="WEK1590" s="528"/>
      <c r="WEL1590" s="528"/>
      <c r="WEM1590" s="528"/>
      <c r="WEN1590" s="528"/>
      <c r="WEO1590" s="528"/>
      <c r="WEP1590" s="528"/>
      <c r="WEQ1590" s="528"/>
      <c r="WER1590" s="528"/>
      <c r="WES1590" s="528"/>
      <c r="WET1590" s="527"/>
      <c r="WEU1590" s="528"/>
      <c r="WEV1590" s="528"/>
      <c r="WEW1590" s="528"/>
      <c r="WEX1590" s="528"/>
      <c r="WEY1590" s="528"/>
      <c r="WEZ1590" s="528"/>
      <c r="WFA1590" s="528"/>
      <c r="WFB1590" s="528"/>
      <c r="WFC1590" s="528"/>
      <c r="WFD1590" s="528"/>
      <c r="WFE1590" s="527"/>
      <c r="WFF1590" s="528"/>
      <c r="WFG1590" s="528"/>
      <c r="WFH1590" s="528"/>
      <c r="WFI1590" s="528"/>
      <c r="WFJ1590" s="528"/>
      <c r="WFK1590" s="528"/>
      <c r="WFL1590" s="528"/>
      <c r="WFM1590" s="528"/>
      <c r="WFN1590" s="528"/>
      <c r="WFO1590" s="528"/>
      <c r="WFP1590" s="527"/>
      <c r="WFQ1590" s="528"/>
      <c r="WFR1590" s="528"/>
      <c r="WFS1590" s="528"/>
      <c r="WFT1590" s="528"/>
      <c r="WFU1590" s="528"/>
      <c r="WFV1590" s="528"/>
      <c r="WFW1590" s="528"/>
      <c r="WFX1590" s="528"/>
      <c r="WFY1590" s="528"/>
      <c r="WFZ1590" s="528"/>
      <c r="WGA1590" s="527"/>
      <c r="WGB1590" s="528"/>
      <c r="WGC1590" s="528"/>
      <c r="WGD1590" s="528"/>
      <c r="WGE1590" s="528"/>
      <c r="WGF1590" s="528"/>
      <c r="WGG1590" s="528"/>
      <c r="WGH1590" s="528"/>
      <c r="WGI1590" s="528"/>
      <c r="WGJ1590" s="528"/>
      <c r="WGK1590" s="528"/>
      <c r="WGL1590" s="527"/>
      <c r="WGM1590" s="528"/>
      <c r="WGN1590" s="528"/>
      <c r="WGO1590" s="528"/>
      <c r="WGP1590" s="528"/>
      <c r="WGQ1590" s="528"/>
      <c r="WGR1590" s="528"/>
      <c r="WGS1590" s="528"/>
      <c r="WGT1590" s="528"/>
      <c r="WGU1590" s="528"/>
      <c r="WGV1590" s="528"/>
      <c r="WGW1590" s="527"/>
      <c r="WGX1590" s="528"/>
      <c r="WGY1590" s="528"/>
      <c r="WGZ1590" s="528"/>
      <c r="WHA1590" s="528"/>
      <c r="WHB1590" s="528"/>
      <c r="WHC1590" s="528"/>
      <c r="WHD1590" s="528"/>
      <c r="WHE1590" s="528"/>
      <c r="WHF1590" s="528"/>
      <c r="WHG1590" s="528"/>
      <c r="WHH1590" s="527"/>
      <c r="WHI1590" s="528"/>
      <c r="WHJ1590" s="528"/>
      <c r="WHK1590" s="528"/>
      <c r="WHL1590" s="528"/>
      <c r="WHM1590" s="528"/>
      <c r="WHN1590" s="528"/>
      <c r="WHO1590" s="528"/>
      <c r="WHP1590" s="528"/>
      <c r="WHQ1590" s="528"/>
      <c r="WHR1590" s="528"/>
      <c r="WHS1590" s="527"/>
      <c r="WHT1590" s="528"/>
      <c r="WHU1590" s="528"/>
      <c r="WHV1590" s="528"/>
      <c r="WHW1590" s="528"/>
      <c r="WHX1590" s="528"/>
      <c r="WHY1590" s="528"/>
      <c r="WHZ1590" s="528"/>
      <c r="WIA1590" s="528"/>
      <c r="WIB1590" s="528"/>
      <c r="WIC1590" s="528"/>
      <c r="WID1590" s="527"/>
      <c r="WIE1590" s="528"/>
      <c r="WIF1590" s="528"/>
      <c r="WIG1590" s="528"/>
      <c r="WIH1590" s="528"/>
      <c r="WII1590" s="528"/>
      <c r="WIJ1590" s="528"/>
      <c r="WIK1590" s="528"/>
      <c r="WIL1590" s="528"/>
      <c r="WIM1590" s="528"/>
      <c r="WIN1590" s="528"/>
      <c r="WIO1590" s="527"/>
      <c r="WIP1590" s="528"/>
      <c r="WIQ1590" s="528"/>
      <c r="WIR1590" s="528"/>
      <c r="WIS1590" s="528"/>
      <c r="WIT1590" s="528"/>
      <c r="WIU1590" s="528"/>
      <c r="WIV1590" s="528"/>
      <c r="WIW1590" s="528"/>
      <c r="WIX1590" s="528"/>
      <c r="WIY1590" s="528"/>
      <c r="WIZ1590" s="527"/>
      <c r="WJA1590" s="528"/>
      <c r="WJB1590" s="528"/>
      <c r="WJC1590" s="528"/>
      <c r="WJD1590" s="528"/>
      <c r="WJE1590" s="528"/>
      <c r="WJF1590" s="528"/>
      <c r="WJG1590" s="528"/>
      <c r="WJH1590" s="528"/>
      <c r="WJI1590" s="528"/>
      <c r="WJJ1590" s="528"/>
      <c r="WJK1590" s="527"/>
      <c r="WJL1590" s="528"/>
      <c r="WJM1590" s="528"/>
      <c r="WJN1590" s="528"/>
      <c r="WJO1590" s="528"/>
      <c r="WJP1590" s="528"/>
      <c r="WJQ1590" s="528"/>
      <c r="WJR1590" s="528"/>
      <c r="WJS1590" s="528"/>
      <c r="WJT1590" s="528"/>
      <c r="WJU1590" s="528"/>
      <c r="WJV1590" s="527"/>
      <c r="WJW1590" s="528"/>
      <c r="WJX1590" s="528"/>
      <c r="WJY1590" s="528"/>
      <c r="WJZ1590" s="528"/>
      <c r="WKA1590" s="528"/>
      <c r="WKB1590" s="528"/>
      <c r="WKC1590" s="528"/>
      <c r="WKD1590" s="528"/>
      <c r="WKE1590" s="528"/>
      <c r="WKF1590" s="528"/>
      <c r="WKG1590" s="527"/>
      <c r="WKH1590" s="528"/>
      <c r="WKI1590" s="528"/>
      <c r="WKJ1590" s="528"/>
      <c r="WKK1590" s="528"/>
      <c r="WKL1590" s="528"/>
      <c r="WKM1590" s="528"/>
      <c r="WKN1590" s="528"/>
      <c r="WKO1590" s="528"/>
      <c r="WKP1590" s="528"/>
      <c r="WKQ1590" s="528"/>
      <c r="WKR1590" s="527"/>
      <c r="WKS1590" s="528"/>
      <c r="WKT1590" s="528"/>
      <c r="WKU1590" s="528"/>
      <c r="WKV1590" s="528"/>
      <c r="WKW1590" s="528"/>
      <c r="WKX1590" s="528"/>
      <c r="WKY1590" s="528"/>
      <c r="WKZ1590" s="528"/>
      <c r="WLA1590" s="528"/>
      <c r="WLB1590" s="528"/>
      <c r="WLC1590" s="527"/>
      <c r="WLD1590" s="528"/>
      <c r="WLE1590" s="528"/>
      <c r="WLF1590" s="528"/>
      <c r="WLG1590" s="528"/>
      <c r="WLH1590" s="528"/>
      <c r="WLI1590" s="528"/>
      <c r="WLJ1590" s="528"/>
      <c r="WLK1590" s="528"/>
      <c r="WLL1590" s="528"/>
      <c r="WLM1590" s="528"/>
      <c r="WLN1590" s="527"/>
      <c r="WLO1590" s="528"/>
      <c r="WLP1590" s="528"/>
      <c r="WLQ1590" s="528"/>
      <c r="WLR1590" s="528"/>
      <c r="WLS1590" s="528"/>
      <c r="WLT1590" s="528"/>
      <c r="WLU1590" s="528"/>
      <c r="WLV1590" s="528"/>
      <c r="WLW1590" s="528"/>
      <c r="WLX1590" s="528"/>
      <c r="WLY1590" s="527"/>
      <c r="WLZ1590" s="528"/>
      <c r="WMA1590" s="528"/>
      <c r="WMB1590" s="528"/>
      <c r="WMC1590" s="528"/>
      <c r="WMD1590" s="528"/>
      <c r="WME1590" s="528"/>
      <c r="WMF1590" s="528"/>
      <c r="WMG1590" s="528"/>
      <c r="WMH1590" s="528"/>
      <c r="WMI1590" s="528"/>
      <c r="WMJ1590" s="527"/>
      <c r="WMK1590" s="528"/>
      <c r="WML1590" s="528"/>
      <c r="WMM1590" s="528"/>
      <c r="WMN1590" s="528"/>
      <c r="WMO1590" s="528"/>
      <c r="WMP1590" s="528"/>
      <c r="WMQ1590" s="528"/>
      <c r="WMR1590" s="528"/>
      <c r="WMS1590" s="528"/>
      <c r="WMT1590" s="528"/>
      <c r="WMU1590" s="527"/>
      <c r="WMV1590" s="528"/>
      <c r="WMW1590" s="528"/>
      <c r="WMX1590" s="528"/>
      <c r="WMY1590" s="528"/>
      <c r="WMZ1590" s="528"/>
      <c r="WNA1590" s="528"/>
      <c r="WNB1590" s="528"/>
      <c r="WNC1590" s="528"/>
      <c r="WND1590" s="528"/>
      <c r="WNE1590" s="528"/>
      <c r="WNF1590" s="527"/>
      <c r="WNG1590" s="528"/>
      <c r="WNH1590" s="528"/>
      <c r="WNI1590" s="528"/>
      <c r="WNJ1590" s="528"/>
      <c r="WNK1590" s="528"/>
      <c r="WNL1590" s="528"/>
      <c r="WNM1590" s="528"/>
      <c r="WNN1590" s="528"/>
      <c r="WNO1590" s="528"/>
      <c r="WNP1590" s="528"/>
      <c r="WNQ1590" s="527"/>
      <c r="WNR1590" s="528"/>
      <c r="WNS1590" s="528"/>
      <c r="WNT1590" s="528"/>
      <c r="WNU1590" s="528"/>
      <c r="WNV1590" s="528"/>
      <c r="WNW1590" s="528"/>
      <c r="WNX1590" s="528"/>
      <c r="WNY1590" s="528"/>
      <c r="WNZ1590" s="528"/>
      <c r="WOA1590" s="528"/>
      <c r="WOB1590" s="527"/>
      <c r="WOC1590" s="528"/>
      <c r="WOD1590" s="528"/>
      <c r="WOE1590" s="528"/>
      <c r="WOF1590" s="528"/>
      <c r="WOG1590" s="528"/>
      <c r="WOH1590" s="528"/>
      <c r="WOI1590" s="528"/>
      <c r="WOJ1590" s="528"/>
      <c r="WOK1590" s="528"/>
      <c r="WOL1590" s="528"/>
      <c r="WOM1590" s="527"/>
      <c r="WON1590" s="528"/>
      <c r="WOO1590" s="528"/>
      <c r="WOP1590" s="528"/>
      <c r="WOQ1590" s="528"/>
      <c r="WOR1590" s="528"/>
      <c r="WOS1590" s="528"/>
      <c r="WOT1590" s="528"/>
      <c r="WOU1590" s="528"/>
      <c r="WOV1590" s="528"/>
      <c r="WOW1590" s="528"/>
      <c r="WOX1590" s="527"/>
      <c r="WOY1590" s="528"/>
      <c r="WOZ1590" s="528"/>
      <c r="WPA1590" s="528"/>
      <c r="WPB1590" s="528"/>
      <c r="WPC1590" s="528"/>
      <c r="WPD1590" s="528"/>
      <c r="WPE1590" s="528"/>
      <c r="WPF1590" s="528"/>
      <c r="WPG1590" s="528"/>
      <c r="WPH1590" s="528"/>
      <c r="WPI1590" s="527"/>
      <c r="WPJ1590" s="528"/>
      <c r="WPK1590" s="528"/>
      <c r="WPL1590" s="528"/>
      <c r="WPM1590" s="528"/>
      <c r="WPN1590" s="528"/>
      <c r="WPO1590" s="528"/>
      <c r="WPP1590" s="528"/>
      <c r="WPQ1590" s="528"/>
      <c r="WPR1590" s="528"/>
      <c r="WPS1590" s="528"/>
      <c r="WPT1590" s="527"/>
      <c r="WPU1590" s="528"/>
      <c r="WPV1590" s="528"/>
      <c r="WPW1590" s="528"/>
      <c r="WPX1590" s="528"/>
      <c r="WPY1590" s="528"/>
      <c r="WPZ1590" s="528"/>
      <c r="WQA1590" s="528"/>
      <c r="WQB1590" s="528"/>
      <c r="WQC1590" s="528"/>
      <c r="WQD1590" s="528"/>
      <c r="WQE1590" s="527"/>
      <c r="WQF1590" s="528"/>
      <c r="WQG1590" s="528"/>
      <c r="WQH1590" s="528"/>
      <c r="WQI1590" s="528"/>
      <c r="WQJ1590" s="528"/>
      <c r="WQK1590" s="528"/>
      <c r="WQL1590" s="528"/>
      <c r="WQM1590" s="528"/>
      <c r="WQN1590" s="528"/>
      <c r="WQO1590" s="528"/>
      <c r="WQP1590" s="527"/>
      <c r="WQQ1590" s="528"/>
      <c r="WQR1590" s="528"/>
      <c r="WQS1590" s="528"/>
      <c r="WQT1590" s="528"/>
      <c r="WQU1590" s="528"/>
      <c r="WQV1590" s="528"/>
      <c r="WQW1590" s="528"/>
      <c r="WQX1590" s="528"/>
      <c r="WQY1590" s="528"/>
      <c r="WQZ1590" s="528"/>
      <c r="WRA1590" s="527"/>
      <c r="WRB1590" s="528"/>
      <c r="WRC1590" s="528"/>
      <c r="WRD1590" s="528"/>
      <c r="WRE1590" s="528"/>
      <c r="WRF1590" s="528"/>
      <c r="WRG1590" s="528"/>
      <c r="WRH1590" s="528"/>
      <c r="WRI1590" s="528"/>
      <c r="WRJ1590" s="528"/>
      <c r="WRK1590" s="528"/>
      <c r="WRL1590" s="527"/>
      <c r="WRM1590" s="528"/>
      <c r="WRN1590" s="528"/>
      <c r="WRO1590" s="528"/>
      <c r="WRP1590" s="528"/>
      <c r="WRQ1590" s="528"/>
      <c r="WRR1590" s="528"/>
      <c r="WRS1590" s="528"/>
      <c r="WRT1590" s="528"/>
      <c r="WRU1590" s="528"/>
      <c r="WRV1590" s="528"/>
      <c r="WRW1590" s="527"/>
      <c r="WRX1590" s="528"/>
      <c r="WRY1590" s="528"/>
      <c r="WRZ1590" s="528"/>
      <c r="WSA1590" s="528"/>
      <c r="WSB1590" s="528"/>
      <c r="WSC1590" s="528"/>
      <c r="WSD1590" s="528"/>
      <c r="WSE1590" s="528"/>
      <c r="WSF1590" s="528"/>
      <c r="WSG1590" s="528"/>
      <c r="WSH1590" s="527"/>
      <c r="WSI1590" s="528"/>
      <c r="WSJ1590" s="528"/>
      <c r="WSK1590" s="528"/>
      <c r="WSL1590" s="528"/>
      <c r="WSM1590" s="528"/>
      <c r="WSN1590" s="528"/>
      <c r="WSO1590" s="528"/>
      <c r="WSP1590" s="528"/>
      <c r="WSQ1590" s="528"/>
      <c r="WSR1590" s="528"/>
      <c r="WSS1590" s="527"/>
      <c r="WST1590" s="528"/>
      <c r="WSU1590" s="528"/>
      <c r="WSV1590" s="528"/>
      <c r="WSW1590" s="528"/>
      <c r="WSX1590" s="528"/>
      <c r="WSY1590" s="528"/>
      <c r="WSZ1590" s="528"/>
      <c r="WTA1590" s="528"/>
      <c r="WTB1590" s="528"/>
      <c r="WTC1590" s="528"/>
      <c r="WTD1590" s="527"/>
      <c r="WTE1590" s="528"/>
      <c r="WTF1590" s="528"/>
      <c r="WTG1590" s="528"/>
      <c r="WTH1590" s="528"/>
      <c r="WTI1590" s="528"/>
      <c r="WTJ1590" s="528"/>
      <c r="WTK1590" s="528"/>
      <c r="WTL1590" s="528"/>
      <c r="WTM1590" s="528"/>
      <c r="WTN1590" s="528"/>
      <c r="WTO1590" s="527"/>
      <c r="WTP1590" s="528"/>
      <c r="WTQ1590" s="528"/>
      <c r="WTR1590" s="528"/>
      <c r="WTS1590" s="528"/>
      <c r="WTT1590" s="528"/>
      <c r="WTU1590" s="528"/>
      <c r="WTV1590" s="528"/>
      <c r="WTW1590" s="528"/>
      <c r="WTX1590" s="528"/>
      <c r="WTY1590" s="528"/>
      <c r="WTZ1590" s="527"/>
      <c r="WUA1590" s="528"/>
      <c r="WUB1590" s="528"/>
      <c r="WUC1590" s="528"/>
      <c r="WUD1590" s="528"/>
      <c r="WUE1590" s="528"/>
      <c r="WUF1590" s="528"/>
      <c r="WUG1590" s="528"/>
      <c r="WUH1590" s="528"/>
      <c r="WUI1590" s="528"/>
      <c r="WUJ1590" s="528"/>
      <c r="WUK1590" s="527"/>
      <c r="WUL1590" s="528"/>
      <c r="WUM1590" s="528"/>
      <c r="WUN1590" s="528"/>
      <c r="WUO1590" s="528"/>
      <c r="WUP1590" s="528"/>
      <c r="WUQ1590" s="528"/>
      <c r="WUR1590" s="528"/>
      <c r="WUS1590" s="528"/>
      <c r="WUT1590" s="528"/>
      <c r="WUU1590" s="528"/>
      <c r="WUV1590" s="527"/>
      <c r="WUW1590" s="528"/>
      <c r="WUX1590" s="528"/>
      <c r="WUY1590" s="528"/>
      <c r="WUZ1590" s="528"/>
      <c r="WVA1590" s="528"/>
      <c r="WVB1590" s="528"/>
      <c r="WVC1590" s="528"/>
      <c r="WVD1590" s="528"/>
      <c r="WVE1590" s="528"/>
      <c r="WVF1590" s="528"/>
      <c r="WVG1590" s="527"/>
      <c r="WVH1590" s="528"/>
      <c r="WVI1590" s="528"/>
      <c r="WVJ1590" s="528"/>
      <c r="WVK1590" s="528"/>
      <c r="WVL1590" s="528"/>
      <c r="WVM1590" s="528"/>
      <c r="WVN1590" s="528"/>
      <c r="WVO1590" s="528"/>
      <c r="WVP1590" s="528"/>
      <c r="WVQ1590" s="528"/>
      <c r="WVR1590" s="527"/>
      <c r="WVS1590" s="528"/>
      <c r="WVT1590" s="528"/>
      <c r="WVU1590" s="528"/>
      <c r="WVV1590" s="528"/>
      <c r="WVW1590" s="528"/>
      <c r="WVX1590" s="528"/>
      <c r="WVY1590" s="528"/>
      <c r="WVZ1590" s="528"/>
      <c r="WWA1590" s="528"/>
      <c r="WWB1590" s="528"/>
      <c r="WWC1590" s="527"/>
      <c r="WWD1590" s="528"/>
      <c r="WWE1590" s="528"/>
      <c r="WWF1590" s="528"/>
      <c r="WWG1590" s="528"/>
      <c r="WWH1590" s="528"/>
      <c r="WWI1590" s="528"/>
      <c r="WWJ1590" s="528"/>
      <c r="WWK1590" s="528"/>
      <c r="WWL1590" s="528"/>
      <c r="WWM1590" s="528"/>
      <c r="WWN1590" s="527"/>
      <c r="WWO1590" s="528"/>
      <c r="WWP1590" s="528"/>
      <c r="WWQ1590" s="528"/>
      <c r="WWR1590" s="528"/>
      <c r="WWS1590" s="528"/>
      <c r="WWT1590" s="528"/>
      <c r="WWU1590" s="528"/>
      <c r="WWV1590" s="528"/>
      <c r="WWW1590" s="528"/>
      <c r="WWX1590" s="528"/>
      <c r="WWY1590" s="527"/>
      <c r="WWZ1590" s="528"/>
      <c r="WXA1590" s="528"/>
      <c r="WXB1590" s="528"/>
      <c r="WXC1590" s="528"/>
      <c r="WXD1590" s="528"/>
      <c r="WXE1590" s="528"/>
      <c r="WXF1590" s="528"/>
      <c r="WXG1590" s="528"/>
      <c r="WXH1590" s="528"/>
      <c r="WXI1590" s="528"/>
      <c r="WXJ1590" s="527"/>
      <c r="WXK1590" s="528"/>
      <c r="WXL1590" s="528"/>
      <c r="WXM1590" s="528"/>
      <c r="WXN1590" s="528"/>
      <c r="WXO1590" s="528"/>
      <c r="WXP1590" s="528"/>
      <c r="WXQ1590" s="528"/>
      <c r="WXR1590" s="528"/>
      <c r="WXS1590" s="528"/>
      <c r="WXT1590" s="528"/>
      <c r="WXU1590" s="527"/>
      <c r="WXV1590" s="528"/>
      <c r="WXW1590" s="528"/>
      <c r="WXX1590" s="528"/>
      <c r="WXY1590" s="528"/>
      <c r="WXZ1590" s="528"/>
      <c r="WYA1590" s="528"/>
      <c r="WYB1590" s="528"/>
      <c r="WYC1590" s="528"/>
      <c r="WYD1590" s="528"/>
      <c r="WYE1590" s="528"/>
      <c r="WYF1590" s="527"/>
      <c r="WYG1590" s="528"/>
      <c r="WYH1590" s="528"/>
      <c r="WYI1590" s="528"/>
      <c r="WYJ1590" s="528"/>
      <c r="WYK1590" s="528"/>
      <c r="WYL1590" s="528"/>
      <c r="WYM1590" s="528"/>
      <c r="WYN1590" s="528"/>
      <c r="WYO1590" s="528"/>
      <c r="WYP1590" s="528"/>
      <c r="WYQ1590" s="527"/>
      <c r="WYR1590" s="528"/>
      <c r="WYS1590" s="528"/>
      <c r="WYT1590" s="528"/>
      <c r="WYU1590" s="528"/>
      <c r="WYV1590" s="528"/>
      <c r="WYW1590" s="528"/>
      <c r="WYX1590" s="528"/>
      <c r="WYY1590" s="528"/>
      <c r="WYZ1590" s="528"/>
      <c r="WZA1590" s="528"/>
      <c r="WZB1590" s="527"/>
      <c r="WZC1590" s="528"/>
      <c r="WZD1590" s="528"/>
      <c r="WZE1590" s="528"/>
      <c r="WZF1590" s="528"/>
      <c r="WZG1590" s="528"/>
      <c r="WZH1590" s="528"/>
      <c r="WZI1590" s="528"/>
      <c r="WZJ1590" s="528"/>
      <c r="WZK1590" s="528"/>
      <c r="WZL1590" s="528"/>
      <c r="WZM1590" s="527"/>
      <c r="WZN1590" s="528"/>
      <c r="WZO1590" s="528"/>
      <c r="WZP1590" s="528"/>
      <c r="WZQ1590" s="528"/>
      <c r="WZR1590" s="528"/>
      <c r="WZS1590" s="528"/>
      <c r="WZT1590" s="528"/>
      <c r="WZU1590" s="528"/>
      <c r="WZV1590" s="528"/>
      <c r="WZW1590" s="528"/>
      <c r="WZX1590" s="527"/>
      <c r="WZY1590" s="528"/>
      <c r="WZZ1590" s="528"/>
      <c r="XAA1590" s="528"/>
      <c r="XAB1590" s="528"/>
      <c r="XAC1590" s="528"/>
      <c r="XAD1590" s="528"/>
      <c r="XAE1590" s="528"/>
      <c r="XAF1590" s="528"/>
      <c r="XAG1590" s="528"/>
      <c r="XAH1590" s="528"/>
      <c r="XAI1590" s="527"/>
      <c r="XAJ1590" s="528"/>
      <c r="XAK1590" s="528"/>
      <c r="XAL1590" s="528"/>
      <c r="XAM1590" s="528"/>
      <c r="XAN1590" s="528"/>
      <c r="XAO1590" s="528"/>
      <c r="XAP1590" s="528"/>
      <c r="XAQ1590" s="528"/>
      <c r="XAR1590" s="528"/>
      <c r="XAS1590" s="528"/>
      <c r="XAT1590" s="527"/>
      <c r="XAU1590" s="528"/>
      <c r="XAV1590" s="528"/>
      <c r="XAW1590" s="528"/>
      <c r="XAX1590" s="528"/>
      <c r="XAY1590" s="528"/>
      <c r="XAZ1590" s="528"/>
      <c r="XBA1590" s="528"/>
      <c r="XBB1590" s="528"/>
      <c r="XBC1590" s="528"/>
      <c r="XBD1590" s="528"/>
      <c r="XBE1590" s="527"/>
      <c r="XBF1590" s="528"/>
      <c r="XBG1590" s="528"/>
      <c r="XBH1590" s="528"/>
      <c r="XBI1590" s="528"/>
      <c r="XBJ1590" s="528"/>
      <c r="XBK1590" s="528"/>
      <c r="XBL1590" s="528"/>
      <c r="XBM1590" s="528"/>
      <c r="XBN1590" s="528"/>
      <c r="XBO1590" s="528"/>
      <c r="XBP1590" s="527"/>
      <c r="XBQ1590" s="528"/>
      <c r="XBR1590" s="528"/>
      <c r="XBS1590" s="528"/>
      <c r="XBT1590" s="528"/>
      <c r="XBU1590" s="528"/>
      <c r="XBV1590" s="528"/>
      <c r="XBW1590" s="528"/>
      <c r="XBX1590" s="528"/>
      <c r="XBY1590" s="528"/>
      <c r="XBZ1590" s="528"/>
      <c r="XCA1590" s="527"/>
      <c r="XCB1590" s="528"/>
      <c r="XCC1590" s="528"/>
      <c r="XCD1590" s="528"/>
      <c r="XCE1590" s="528"/>
      <c r="XCF1590" s="528"/>
      <c r="XCG1590" s="528"/>
      <c r="XCH1590" s="528"/>
      <c r="XCI1590" s="528"/>
      <c r="XCJ1590" s="528"/>
      <c r="XCK1590" s="528"/>
      <c r="XCL1590" s="527"/>
      <c r="XCM1590" s="528"/>
      <c r="XCN1590" s="528"/>
      <c r="XCO1590" s="528"/>
      <c r="XCP1590" s="528"/>
      <c r="XCQ1590" s="528"/>
      <c r="XCR1590" s="528"/>
      <c r="XCS1590" s="528"/>
      <c r="XCT1590" s="528"/>
      <c r="XCU1590" s="528"/>
      <c r="XCV1590" s="528"/>
      <c r="XCW1590" s="527"/>
      <c r="XCX1590" s="528"/>
      <c r="XCY1590" s="528"/>
      <c r="XCZ1590" s="528"/>
      <c r="XDA1590" s="528"/>
      <c r="XDB1590" s="528"/>
      <c r="XDC1590" s="528"/>
      <c r="XDD1590" s="528"/>
      <c r="XDE1590" s="528"/>
      <c r="XDF1590" s="528"/>
      <c r="XDG1590" s="528"/>
      <c r="XDH1590" s="527"/>
      <c r="XDI1590" s="528"/>
      <c r="XDJ1590" s="528"/>
      <c r="XDK1590" s="528"/>
      <c r="XDL1590" s="528"/>
      <c r="XDM1590" s="528"/>
      <c r="XDN1590" s="528"/>
      <c r="XDO1590" s="528"/>
      <c r="XDP1590" s="528"/>
      <c r="XDQ1590" s="528"/>
      <c r="XDR1590" s="528"/>
      <c r="XDS1590" s="527"/>
      <c r="XDT1590" s="528"/>
      <c r="XDU1590" s="528"/>
      <c r="XDV1590" s="528"/>
      <c r="XDW1590" s="528"/>
      <c r="XDX1590" s="528"/>
      <c r="XDY1590" s="528"/>
      <c r="XDZ1590" s="528"/>
      <c r="XEA1590" s="528"/>
      <c r="XEB1590" s="528"/>
      <c r="XEC1590" s="528"/>
      <c r="XED1590" s="527"/>
      <c r="XEE1590" s="528"/>
      <c r="XEF1590" s="528"/>
      <c r="XEG1590" s="528"/>
      <c r="XEH1590" s="528"/>
      <c r="XEI1590" s="528"/>
      <c r="XEJ1590" s="528"/>
      <c r="XEK1590" s="528"/>
      <c r="XEL1590" s="528"/>
      <c r="XEM1590" s="528"/>
      <c r="XEN1590" s="528"/>
      <c r="XEO1590" s="527"/>
      <c r="XEP1590" s="528"/>
      <c r="XEQ1590" s="528"/>
      <c r="XER1590" s="528"/>
      <c r="XES1590" s="528"/>
      <c r="XET1590" s="528"/>
      <c r="XEU1590" s="528"/>
      <c r="XEV1590" s="528"/>
      <c r="XEW1590" s="528"/>
      <c r="XEX1590" s="528"/>
      <c r="XEY1590" s="528"/>
      <c r="XEZ1590" s="527"/>
      <c r="XFA1590" s="527"/>
      <c r="XFB1590" s="527"/>
      <c r="XFC1590" s="527"/>
      <c r="XFD1590" s="527"/>
    </row>
    <row r="1591" spans="1:16384" s="253" customFormat="1" ht="409.5">
      <c r="A1591" s="292" t="s">
        <v>1843</v>
      </c>
      <c r="B1591" s="293"/>
      <c r="C1591" s="293"/>
      <c r="D1591" s="293"/>
      <c r="E1591" s="293"/>
      <c r="F1591" s="293"/>
      <c r="G1591" s="293"/>
      <c r="H1591" s="294"/>
      <c r="I1591" s="293"/>
      <c r="J1591" s="293"/>
      <c r="K1591" s="293"/>
      <c r="L1591" s="300"/>
    </row>
    <row r="1592" spans="1:16384" s="253" customFormat="1">
      <c r="A1592" s="292"/>
      <c r="B1592" s="293"/>
      <c r="C1592" s="293"/>
      <c r="D1592" s="293"/>
      <c r="E1592" s="293"/>
      <c r="F1592" s="293"/>
      <c r="G1592" s="293"/>
      <c r="H1592" s="294"/>
      <c r="I1592" s="293"/>
      <c r="J1592" s="293"/>
      <c r="K1592" s="293"/>
      <c r="L1592" s="293"/>
    </row>
    <row r="1593" spans="1:16384" s="253" customFormat="1" ht="13">
      <c r="A1593" s="183" t="s">
        <v>73</v>
      </c>
      <c r="B1593" s="186" t="s">
        <v>74</v>
      </c>
      <c r="C1593" s="185" t="s">
        <v>75</v>
      </c>
      <c r="D1593" s="185" t="s">
        <v>76</v>
      </c>
      <c r="E1593" s="153" t="s">
        <v>77</v>
      </c>
      <c r="F1593" s="186" t="s">
        <v>78</v>
      </c>
      <c r="G1593" s="186" t="s">
        <v>79</v>
      </c>
      <c r="H1593" s="186" t="s">
        <v>80</v>
      </c>
      <c r="I1593" s="186" t="s">
        <v>683</v>
      </c>
      <c r="J1593" s="186" t="s">
        <v>260</v>
      </c>
      <c r="K1593" s="162" t="s">
        <v>261</v>
      </c>
      <c r="L1593" s="162" t="s">
        <v>1407</v>
      </c>
    </row>
    <row r="1594" spans="1:16384" s="291" customFormat="1">
      <c r="A1594" s="274" t="s">
        <v>1844</v>
      </c>
      <c r="B1594" s="142" t="s">
        <v>87</v>
      </c>
      <c r="C1594" s="142" t="s">
        <v>351</v>
      </c>
      <c r="D1594" s="142" t="s">
        <v>686</v>
      </c>
      <c r="E1594" s="122"/>
      <c r="F1594" s="304" t="s">
        <v>1842</v>
      </c>
      <c r="G1594" s="142" t="s">
        <v>87</v>
      </c>
      <c r="H1594" s="142" t="s">
        <v>351</v>
      </c>
      <c r="I1594" s="142" t="s">
        <v>87</v>
      </c>
      <c r="J1594" s="141"/>
      <c r="K1594" s="305" t="s">
        <v>1410</v>
      </c>
      <c r="L1594" s="261" t="s">
        <v>1411</v>
      </c>
    </row>
    <row r="1595" spans="1:16384" s="291" customFormat="1">
      <c r="A1595" s="274" t="s">
        <v>1844</v>
      </c>
      <c r="B1595" s="142" t="s">
        <v>709</v>
      </c>
      <c r="C1595" s="142" t="s">
        <v>1292</v>
      </c>
      <c r="D1595" s="142" t="s">
        <v>686</v>
      </c>
      <c r="E1595" s="122"/>
      <c r="F1595" s="304" t="s">
        <v>1842</v>
      </c>
      <c r="G1595" s="142" t="s">
        <v>709</v>
      </c>
      <c r="H1595" s="142" t="s">
        <v>1292</v>
      </c>
      <c r="I1595" s="142" t="s">
        <v>709</v>
      </c>
      <c r="J1595" s="141"/>
      <c r="K1595" s="305" t="s">
        <v>1410</v>
      </c>
      <c r="L1595" s="261" t="s">
        <v>1411</v>
      </c>
    </row>
    <row r="1596" spans="1:16384" s="291" customFormat="1">
      <c r="A1596" s="274" t="s">
        <v>1844</v>
      </c>
      <c r="B1596" s="142" t="s">
        <v>1845</v>
      </c>
      <c r="C1596" s="142" t="s">
        <v>1327</v>
      </c>
      <c r="D1596" s="142" t="s">
        <v>686</v>
      </c>
      <c r="E1596" s="122"/>
      <c r="F1596" s="304" t="s">
        <v>1842</v>
      </c>
      <c r="G1596" s="142" t="s">
        <v>1845</v>
      </c>
      <c r="H1596" s="142" t="s">
        <v>1327</v>
      </c>
      <c r="I1596" s="142" t="s">
        <v>1845</v>
      </c>
      <c r="J1596" s="141"/>
      <c r="K1596" s="305" t="s">
        <v>1410</v>
      </c>
      <c r="L1596" s="261" t="s">
        <v>1411</v>
      </c>
    </row>
    <row r="1597" spans="1:16384" customFormat="1" ht="14.5"/>
    <row r="1598" spans="1:16384" customFormat="1" ht="14.5"/>
    <row r="1599" spans="1:16384" customFormat="1" ht="14.5">
      <c r="A1599" s="518" t="s">
        <v>1846</v>
      </c>
      <c r="B1599" s="523"/>
      <c r="C1599" s="523"/>
      <c r="D1599" s="523"/>
      <c r="E1599" s="523"/>
      <c r="F1599" s="523"/>
      <c r="G1599" s="523"/>
      <c r="H1599" s="523"/>
      <c r="I1599" s="523"/>
      <c r="J1599" s="523"/>
      <c r="K1599" s="523"/>
      <c r="L1599" s="523"/>
    </row>
    <row r="1600" spans="1:16384" customFormat="1" ht="14.5">
      <c r="A1600" s="293"/>
      <c r="B1600" s="293"/>
      <c r="C1600" s="293"/>
      <c r="D1600" s="293"/>
      <c r="E1600" s="293"/>
      <c r="F1600" s="293"/>
      <c r="G1600" s="293"/>
      <c r="H1600" s="294"/>
      <c r="I1600" s="293"/>
      <c r="J1600" s="293"/>
      <c r="K1600" s="293"/>
    </row>
    <row r="1601" spans="1:12" customFormat="1" ht="14.5">
      <c r="A1601" s="183" t="s">
        <v>73</v>
      </c>
      <c r="B1601" s="186" t="s">
        <v>74</v>
      </c>
      <c r="C1601" s="185" t="s">
        <v>75</v>
      </c>
      <c r="D1601" s="185" t="s">
        <v>76</v>
      </c>
      <c r="E1601" s="153" t="s">
        <v>77</v>
      </c>
      <c r="F1601" s="153" t="s">
        <v>78</v>
      </c>
      <c r="G1601" s="186" t="s">
        <v>79</v>
      </c>
      <c r="H1601" s="186" t="s">
        <v>80</v>
      </c>
      <c r="I1601" s="186" t="s">
        <v>683</v>
      </c>
      <c r="J1601" s="186" t="s">
        <v>260</v>
      </c>
      <c r="K1601" s="162" t="s">
        <v>261</v>
      </c>
      <c r="L1601" s="162" t="s">
        <v>1407</v>
      </c>
    </row>
    <row r="1602" spans="1:12" customFormat="1" ht="34.5">
      <c r="A1602" s="172" t="s">
        <v>1417</v>
      </c>
      <c r="B1602" s="141" t="s">
        <v>87</v>
      </c>
      <c r="C1602" s="172"/>
      <c r="D1602" s="141" t="s">
        <v>93</v>
      </c>
      <c r="E1602" s="141" t="s">
        <v>909</v>
      </c>
      <c r="F1602" s="141" t="s">
        <v>1846</v>
      </c>
      <c r="G1602" s="141" t="s">
        <v>911</v>
      </c>
      <c r="H1602" s="141" t="s">
        <v>379</v>
      </c>
      <c r="I1602" s="172"/>
      <c r="J1602" s="47" t="s">
        <v>1847</v>
      </c>
      <c r="K1602" s="305" t="s">
        <v>1848</v>
      </c>
      <c r="L1602" s="261" t="s">
        <v>1411</v>
      </c>
    </row>
    <row r="1603" spans="1:12" customFormat="1" ht="34.5">
      <c r="A1603" s="172" t="s">
        <v>1417</v>
      </c>
      <c r="B1603" s="142" t="s">
        <v>312</v>
      </c>
      <c r="C1603" s="172"/>
      <c r="D1603" s="141" t="s">
        <v>93</v>
      </c>
      <c r="E1603" s="172" t="str">
        <f>LOWER(F1603)</f>
        <v>stg_cpa_mobile_channel_store_profitability_q_usl</v>
      </c>
      <c r="F1603" s="141" t="s">
        <v>1846</v>
      </c>
      <c r="G1603" s="142" t="s">
        <v>312</v>
      </c>
      <c r="H1603" s="141" t="s">
        <v>1292</v>
      </c>
      <c r="I1603" s="172"/>
      <c r="J1603" s="47" t="s">
        <v>1847</v>
      </c>
      <c r="K1603" s="305" t="s">
        <v>1848</v>
      </c>
      <c r="L1603" s="261" t="s">
        <v>1411</v>
      </c>
    </row>
    <row r="1604" spans="1:12" customFormat="1" ht="34.5">
      <c r="A1604" s="172" t="s">
        <v>1417</v>
      </c>
      <c r="B1604" s="142" t="s">
        <v>310</v>
      </c>
      <c r="C1604" s="172"/>
      <c r="D1604" s="141" t="s">
        <v>93</v>
      </c>
      <c r="E1604" s="172"/>
      <c r="F1604" s="141" t="s">
        <v>1846</v>
      </c>
      <c r="G1604" s="142" t="s">
        <v>310</v>
      </c>
      <c r="H1604" s="141" t="s">
        <v>1292</v>
      </c>
      <c r="I1604" s="172"/>
      <c r="J1604" s="47" t="s">
        <v>1847</v>
      </c>
      <c r="K1604" s="305" t="s">
        <v>1848</v>
      </c>
      <c r="L1604" s="261" t="s">
        <v>1411</v>
      </c>
    </row>
    <row r="1605" spans="1:12" customFormat="1" ht="34.5">
      <c r="A1605" s="172" t="s">
        <v>1417</v>
      </c>
      <c r="B1605" s="142" t="s">
        <v>271</v>
      </c>
      <c r="C1605" s="172"/>
      <c r="D1605" s="141" t="s">
        <v>93</v>
      </c>
      <c r="E1605" s="172"/>
      <c r="F1605" s="141" t="s">
        <v>1846</v>
      </c>
      <c r="G1605" s="142" t="s">
        <v>271</v>
      </c>
      <c r="H1605" s="141" t="s">
        <v>1292</v>
      </c>
      <c r="I1605" s="172"/>
      <c r="J1605" s="47" t="s">
        <v>1847</v>
      </c>
      <c r="K1605" s="305" t="s">
        <v>1848</v>
      </c>
      <c r="L1605" s="261" t="s">
        <v>1411</v>
      </c>
    </row>
    <row r="1606" spans="1:12" customFormat="1" ht="36.65" customHeight="1">
      <c r="A1606" s="172" t="s">
        <v>1417</v>
      </c>
      <c r="B1606" t="s">
        <v>1419</v>
      </c>
      <c r="C1606" s="172"/>
      <c r="D1606" s="141" t="s">
        <v>93</v>
      </c>
      <c r="E1606" s="172"/>
      <c r="F1606" s="141" t="s">
        <v>1416</v>
      </c>
      <c r="G1606" t="s">
        <v>1419</v>
      </c>
      <c r="H1606" s="141" t="s">
        <v>1292</v>
      </c>
      <c r="I1606" s="142"/>
      <c r="J1606" s="172"/>
      <c r="K1606" s="305" t="s">
        <v>1848</v>
      </c>
      <c r="L1606" s="261" t="s">
        <v>1411</v>
      </c>
    </row>
    <row r="1607" spans="1:12" customFormat="1" ht="151">
      <c r="A1607" s="120" t="s">
        <v>1849</v>
      </c>
      <c r="B1607" s="294" t="s">
        <v>1850</v>
      </c>
      <c r="C1607" s="280"/>
      <c r="D1607" s="141" t="s">
        <v>263</v>
      </c>
      <c r="E1607" s="172" t="s">
        <v>1851</v>
      </c>
      <c r="F1607" s="141" t="s">
        <v>1846</v>
      </c>
      <c r="G1607" s="276" t="s">
        <v>1852</v>
      </c>
      <c r="H1607" s="141" t="s">
        <v>1327</v>
      </c>
      <c r="I1607" s="276"/>
      <c r="J1607" s="47" t="s">
        <v>1847</v>
      </c>
      <c r="K1607" s="305" t="s">
        <v>1848</v>
      </c>
      <c r="L1607" s="261" t="s">
        <v>1411</v>
      </c>
    </row>
    <row r="1608" spans="1:12" customFormat="1" ht="69">
      <c r="A1608" s="417" t="s">
        <v>1417</v>
      </c>
      <c r="B1608" s="418"/>
      <c r="C1608" s="418"/>
      <c r="D1608" s="141" t="s">
        <v>263</v>
      </c>
      <c r="E1608" s="419" t="s">
        <v>1853</v>
      </c>
      <c r="F1608" s="141" t="s">
        <v>1846</v>
      </c>
      <c r="G1608" s="420" t="s">
        <v>1854</v>
      </c>
      <c r="H1608" s="141" t="s">
        <v>1327</v>
      </c>
      <c r="I1608" s="420"/>
      <c r="J1608" s="47" t="s">
        <v>1847</v>
      </c>
      <c r="K1608" s="305" t="s">
        <v>1848</v>
      </c>
      <c r="L1608" s="261" t="s">
        <v>1411</v>
      </c>
    </row>
    <row r="1609" spans="1:12" customFormat="1" ht="46">
      <c r="A1609" s="417" t="s">
        <v>1417</v>
      </c>
      <c r="B1609" s="418"/>
      <c r="C1609" s="418"/>
      <c r="D1609" s="141" t="s">
        <v>263</v>
      </c>
      <c r="E1609" s="419" t="s">
        <v>1855</v>
      </c>
      <c r="F1609" s="141" t="s">
        <v>1846</v>
      </c>
      <c r="G1609" s="421" t="s">
        <v>1856</v>
      </c>
      <c r="H1609" s="141" t="s">
        <v>1327</v>
      </c>
      <c r="I1609" s="420"/>
      <c r="J1609" s="47"/>
      <c r="K1609" s="305" t="s">
        <v>1848</v>
      </c>
      <c r="L1609" s="261" t="s">
        <v>1411</v>
      </c>
    </row>
    <row r="1610" spans="1:12" customFormat="1" ht="96">
      <c r="A1610" s="422" t="s">
        <v>1482</v>
      </c>
      <c r="B1610" s="418"/>
      <c r="C1610" s="418"/>
      <c r="D1610" s="141" t="s">
        <v>263</v>
      </c>
      <c r="E1610" s="423" t="s">
        <v>1857</v>
      </c>
      <c r="F1610" s="141" t="s">
        <v>1846</v>
      </c>
      <c r="G1610" s="424" t="s">
        <v>1858</v>
      </c>
      <c r="H1610" s="141" t="s">
        <v>1327</v>
      </c>
      <c r="I1610" s="420"/>
      <c r="J1610" s="47" t="s">
        <v>1847</v>
      </c>
      <c r="K1610" s="305" t="s">
        <v>1848</v>
      </c>
      <c r="L1610" s="261" t="s">
        <v>1411</v>
      </c>
    </row>
    <row r="1611" spans="1:12" customFormat="1" ht="272.5" customHeight="1">
      <c r="A1611" s="417" t="s">
        <v>1859</v>
      </c>
      <c r="B1611" s="418"/>
      <c r="C1611" s="418"/>
      <c r="D1611" s="141" t="s">
        <v>263</v>
      </c>
      <c r="E1611" s="425" t="s">
        <v>1860</v>
      </c>
      <c r="F1611" s="141" t="s">
        <v>1846</v>
      </c>
      <c r="G1611" s="420" t="s">
        <v>1861</v>
      </c>
      <c r="H1611" s="141" t="s">
        <v>1327</v>
      </c>
      <c r="I1611" s="420"/>
      <c r="J1611" s="47" t="s">
        <v>1847</v>
      </c>
      <c r="K1611" s="305" t="s">
        <v>1848</v>
      </c>
      <c r="L1611" s="261" t="s">
        <v>1411</v>
      </c>
    </row>
    <row r="1612" spans="1:12" customFormat="1" ht="260.5" customHeight="1">
      <c r="A1612" s="417" t="s">
        <v>1417</v>
      </c>
      <c r="B1612" s="418"/>
      <c r="C1612" s="418"/>
      <c r="D1612" s="141" t="s">
        <v>263</v>
      </c>
      <c r="E1612" s="422" t="s">
        <v>1862</v>
      </c>
      <c r="F1612" s="141" t="s">
        <v>1846</v>
      </c>
      <c r="G1612" s="420" t="s">
        <v>1863</v>
      </c>
      <c r="H1612" s="141" t="s">
        <v>1327</v>
      </c>
      <c r="I1612" s="420"/>
      <c r="J1612" s="47" t="s">
        <v>1847</v>
      </c>
      <c r="K1612" s="305" t="s">
        <v>1848</v>
      </c>
      <c r="L1612" s="261" t="s">
        <v>1411</v>
      </c>
    </row>
    <row r="1613" spans="1:12" customFormat="1" ht="267.64999999999998" customHeight="1">
      <c r="A1613" s="417" t="s">
        <v>1417</v>
      </c>
      <c r="B1613" s="418"/>
      <c r="C1613" s="418"/>
      <c r="D1613" s="141" t="s">
        <v>263</v>
      </c>
      <c r="E1613" s="422" t="s">
        <v>1864</v>
      </c>
      <c r="F1613" s="141" t="s">
        <v>1846</v>
      </c>
      <c r="G1613" s="421" t="s">
        <v>1865</v>
      </c>
      <c r="H1613" s="141" t="s">
        <v>1327</v>
      </c>
      <c r="I1613" s="420"/>
      <c r="J1613" s="47"/>
      <c r="K1613" s="305" t="s">
        <v>1848</v>
      </c>
      <c r="L1613" s="261" t="s">
        <v>1411</v>
      </c>
    </row>
    <row r="1614" spans="1:12" customFormat="1" ht="34.5">
      <c r="A1614" s="417" t="s">
        <v>1866</v>
      </c>
      <c r="B1614" s="142" t="s">
        <v>1845</v>
      </c>
      <c r="C1614" s="418"/>
      <c r="D1614" s="141" t="s">
        <v>93</v>
      </c>
      <c r="E1614" s="426"/>
      <c r="F1614" s="141" t="s">
        <v>1846</v>
      </c>
      <c r="G1614" s="420" t="s">
        <v>1867</v>
      </c>
      <c r="H1614" s="141" t="s">
        <v>1327</v>
      </c>
      <c r="I1614" s="420"/>
      <c r="J1614" s="47" t="s">
        <v>1847</v>
      </c>
      <c r="K1614" s="305" t="s">
        <v>1848</v>
      </c>
      <c r="L1614" s="261" t="s">
        <v>1411</v>
      </c>
    </row>
    <row r="1615" spans="1:12" customFormat="1" ht="34.5">
      <c r="A1615" s="417" t="s">
        <v>1417</v>
      </c>
      <c r="B1615" s="418"/>
      <c r="C1615" s="418"/>
      <c r="D1615" s="141" t="s">
        <v>93</v>
      </c>
      <c r="E1615" s="423" t="s">
        <v>1868</v>
      </c>
      <c r="F1615" s="141" t="s">
        <v>1846</v>
      </c>
      <c r="G1615" s="420" t="s">
        <v>1869</v>
      </c>
      <c r="H1615" s="141" t="s">
        <v>1327</v>
      </c>
      <c r="I1615" s="420"/>
      <c r="J1615" s="47" t="s">
        <v>1847</v>
      </c>
      <c r="K1615" s="305" t="s">
        <v>1848</v>
      </c>
      <c r="L1615" s="261" t="s">
        <v>1411</v>
      </c>
    </row>
    <row r="1616" spans="1:12" customFormat="1" ht="72">
      <c r="A1616" s="417" t="s">
        <v>1870</v>
      </c>
      <c r="B1616" s="427" t="s">
        <v>1871</v>
      </c>
      <c r="C1616" s="418"/>
      <c r="D1616" s="141" t="s">
        <v>263</v>
      </c>
      <c r="E1616" s="428" t="s">
        <v>1872</v>
      </c>
      <c r="F1616" s="141" t="s">
        <v>1846</v>
      </c>
      <c r="G1616" s="420" t="s">
        <v>1873</v>
      </c>
      <c r="H1616" s="141" t="s">
        <v>1327</v>
      </c>
      <c r="I1616" s="420"/>
      <c r="J1616" s="47" t="s">
        <v>1847</v>
      </c>
      <c r="K1616" s="305" t="s">
        <v>1848</v>
      </c>
      <c r="L1616" s="261" t="s">
        <v>1411</v>
      </c>
    </row>
    <row r="1617" spans="1:12" customFormat="1" ht="72.5">
      <c r="A1617" s="417" t="s">
        <v>1870</v>
      </c>
      <c r="B1617" s="427" t="s">
        <v>1871</v>
      </c>
      <c r="C1617" s="418"/>
      <c r="D1617" s="141" t="s">
        <v>263</v>
      </c>
      <c r="E1617" s="51" t="s">
        <v>1874</v>
      </c>
      <c r="F1617" s="141" t="s">
        <v>1846</v>
      </c>
      <c r="G1617" s="420" t="s">
        <v>1875</v>
      </c>
      <c r="H1617" s="141" t="s">
        <v>1327</v>
      </c>
      <c r="I1617" s="420"/>
      <c r="J1617" s="47" t="s">
        <v>1847</v>
      </c>
      <c r="K1617" s="305" t="s">
        <v>1848</v>
      </c>
      <c r="L1617" s="261" t="s">
        <v>1411</v>
      </c>
    </row>
    <row r="1618" spans="1:12" customFormat="1" ht="37.5">
      <c r="A1618" s="172" t="s">
        <v>1417</v>
      </c>
      <c r="B1618" s="141" t="s">
        <v>1876</v>
      </c>
      <c r="C1618" s="172"/>
      <c r="D1618" s="141" t="s">
        <v>93</v>
      </c>
      <c r="E1618" s="158" t="s">
        <v>1877</v>
      </c>
      <c r="F1618" s="141" t="s">
        <v>1846</v>
      </c>
      <c r="G1618" s="71" t="s">
        <v>1878</v>
      </c>
      <c r="H1618" s="141" t="s">
        <v>1327</v>
      </c>
      <c r="I1618" s="418"/>
      <c r="J1618" s="172" t="s">
        <v>1879</v>
      </c>
      <c r="K1618" s="141" t="s">
        <v>1880</v>
      </c>
      <c r="L1618" s="261" t="s">
        <v>1411</v>
      </c>
    </row>
    <row r="1619" spans="1:12" customFormat="1" ht="77">
      <c r="A1619" s="172" t="s">
        <v>1417</v>
      </c>
      <c r="B1619" s="141"/>
      <c r="C1619" s="172"/>
      <c r="D1619" s="141" t="s">
        <v>93</v>
      </c>
      <c r="E1619" s="141" t="s">
        <v>1881</v>
      </c>
      <c r="F1619" s="141" t="s">
        <v>1846</v>
      </c>
      <c r="G1619" s="141" t="s">
        <v>1882</v>
      </c>
      <c r="H1619" s="141" t="s">
        <v>1327</v>
      </c>
      <c r="I1619" s="418"/>
      <c r="J1619" s="172" t="s">
        <v>1883</v>
      </c>
      <c r="K1619" s="141" t="s">
        <v>1880</v>
      </c>
      <c r="L1619" s="261" t="s">
        <v>1411</v>
      </c>
    </row>
    <row r="1620" spans="1:12" customFormat="1" ht="175">
      <c r="A1620" s="484" t="s">
        <v>5214</v>
      </c>
      <c r="B1620" s="472"/>
      <c r="C1620" s="484"/>
      <c r="D1620" s="472" t="s">
        <v>263</v>
      </c>
      <c r="E1620" s="472" t="s">
        <v>5215</v>
      </c>
      <c r="F1620" s="472" t="s">
        <v>1846</v>
      </c>
      <c r="G1620" s="472" t="s">
        <v>5216</v>
      </c>
      <c r="H1620" s="472" t="s">
        <v>1292</v>
      </c>
      <c r="I1620" s="485"/>
      <c r="J1620" s="484" t="s">
        <v>1879</v>
      </c>
      <c r="K1620" s="472" t="s">
        <v>1880</v>
      </c>
      <c r="L1620" s="486" t="s">
        <v>1411</v>
      </c>
    </row>
    <row r="1621" spans="1:12" customFormat="1" ht="203.5" customHeight="1">
      <c r="A1621" s="484" t="s">
        <v>5217</v>
      </c>
      <c r="B1621" s="472" t="s">
        <v>5218</v>
      </c>
      <c r="C1621" s="488"/>
      <c r="D1621" s="489" t="s">
        <v>93</v>
      </c>
      <c r="E1621" s="489" t="s">
        <v>5219</v>
      </c>
      <c r="F1621" s="489" t="s">
        <v>1846</v>
      </c>
      <c r="G1621" s="487" t="s">
        <v>5220</v>
      </c>
      <c r="H1621" s="489" t="s">
        <v>1292</v>
      </c>
      <c r="I1621" s="485"/>
      <c r="J1621" s="484" t="s">
        <v>1879</v>
      </c>
      <c r="K1621" s="472" t="s">
        <v>1880</v>
      </c>
      <c r="L1621" s="486" t="s">
        <v>1411</v>
      </c>
    </row>
    <row r="1622" spans="1:12" customFormat="1" ht="200">
      <c r="A1622" s="484" t="s">
        <v>5222</v>
      </c>
      <c r="B1622" s="472" t="s">
        <v>5221</v>
      </c>
      <c r="C1622" s="484"/>
      <c r="D1622" s="472" t="s">
        <v>93</v>
      </c>
      <c r="E1622" s="472" t="s">
        <v>5223</v>
      </c>
      <c r="F1622" s="472" t="s">
        <v>1846</v>
      </c>
      <c r="G1622" s="472" t="s">
        <v>5224</v>
      </c>
      <c r="H1622" s="472" t="s">
        <v>1292</v>
      </c>
      <c r="I1622" s="485"/>
      <c r="J1622" s="484" t="s">
        <v>1879</v>
      </c>
      <c r="K1622" s="472" t="s">
        <v>1880</v>
      </c>
      <c r="L1622" s="486" t="s">
        <v>1411</v>
      </c>
    </row>
    <row r="1623" spans="1:12" customFormat="1" ht="14.5">
      <c r="A1623" s="173"/>
      <c r="B1623" s="182"/>
      <c r="C1623" s="173"/>
      <c r="D1623" s="182"/>
      <c r="E1623" s="182"/>
      <c r="F1623" s="182"/>
      <c r="G1623" s="182"/>
      <c r="H1623" s="182"/>
      <c r="I1623" s="483"/>
      <c r="J1623" s="173"/>
      <c r="K1623" s="182"/>
      <c r="L1623" s="291"/>
    </row>
    <row r="1624" spans="1:12" customFormat="1" ht="14.5"/>
    <row r="1625" spans="1:12">
      <c r="A1625" s="297"/>
      <c r="B1625" s="298"/>
      <c r="C1625" s="298"/>
      <c r="D1625" s="298"/>
      <c r="E1625" s="297"/>
      <c r="F1625" s="297"/>
      <c r="G1625" s="297"/>
      <c r="H1625" s="297"/>
      <c r="I1625" s="297"/>
      <c r="J1625" s="298"/>
      <c r="K1625" s="171"/>
    </row>
    <row r="1626" spans="1:12" ht="13">
      <c r="A1626" s="525" t="s">
        <v>1884</v>
      </c>
      <c r="B1626" s="526"/>
      <c r="C1626" s="526"/>
      <c r="D1626" s="526"/>
      <c r="E1626" s="526"/>
      <c r="F1626" s="526"/>
      <c r="G1626" s="526"/>
      <c r="H1626" s="526"/>
      <c r="I1626" s="526"/>
      <c r="J1626" s="526"/>
      <c r="K1626" s="526"/>
      <c r="L1626" s="526"/>
    </row>
    <row r="1627" spans="1:12">
      <c r="A1627" s="297"/>
      <c r="B1627" s="298"/>
      <c r="C1627" s="298"/>
      <c r="D1627" s="298"/>
      <c r="E1627" s="297"/>
      <c r="F1627" s="297"/>
      <c r="G1627" s="297"/>
      <c r="H1627" s="297"/>
      <c r="I1627" s="297"/>
      <c r="J1627" s="298"/>
      <c r="K1627" s="171"/>
    </row>
    <row r="1628" spans="1:12" ht="13">
      <c r="A1628" s="153" t="s">
        <v>73</v>
      </c>
      <c r="B1628" s="186" t="s">
        <v>74</v>
      </c>
      <c r="C1628" s="186" t="s">
        <v>75</v>
      </c>
      <c r="D1628" s="186" t="s">
        <v>76</v>
      </c>
      <c r="E1628" s="153" t="s">
        <v>77</v>
      </c>
      <c r="F1628" s="153" t="s">
        <v>78</v>
      </c>
      <c r="G1628" s="153" t="s">
        <v>79</v>
      </c>
      <c r="H1628" s="153" t="s">
        <v>80</v>
      </c>
      <c r="I1628" s="186" t="s">
        <v>683</v>
      </c>
      <c r="J1628" s="186" t="s">
        <v>260</v>
      </c>
      <c r="K1628" s="162" t="s">
        <v>261</v>
      </c>
      <c r="L1628" s="162" t="s">
        <v>1407</v>
      </c>
    </row>
    <row r="1629" spans="1:12" ht="25">
      <c r="A1629" s="118"/>
      <c r="B1629" s="141"/>
      <c r="C1629" s="141"/>
      <c r="D1629" s="141"/>
      <c r="E1629" s="118" t="s">
        <v>1885</v>
      </c>
      <c r="F1629" s="118" t="s">
        <v>1884</v>
      </c>
      <c r="G1629" s="118" t="s">
        <v>1886</v>
      </c>
      <c r="H1629" s="118" t="s">
        <v>1293</v>
      </c>
      <c r="I1629" s="118" t="s">
        <v>1887</v>
      </c>
      <c r="J1629" s="141"/>
      <c r="K1629" s="118" t="s">
        <v>1888</v>
      </c>
      <c r="L1629" s="122"/>
    </row>
    <row r="1630" spans="1:12" ht="25">
      <c r="A1630" s="118"/>
      <c r="B1630" s="141"/>
      <c r="C1630" s="141"/>
      <c r="D1630" s="141"/>
      <c r="E1630" s="118" t="s">
        <v>1885</v>
      </c>
      <c r="F1630" s="118" t="s">
        <v>1884</v>
      </c>
      <c r="G1630" s="118" t="s">
        <v>1889</v>
      </c>
      <c r="H1630" s="118" t="s">
        <v>268</v>
      </c>
      <c r="I1630" s="118" t="s">
        <v>1890</v>
      </c>
      <c r="J1630" s="141"/>
      <c r="K1630" s="118" t="s">
        <v>1888</v>
      </c>
      <c r="L1630" s="122"/>
    </row>
    <row r="1631" spans="1:12" ht="25">
      <c r="A1631" s="118"/>
      <c r="B1631" s="141"/>
      <c r="C1631" s="141"/>
      <c r="D1631" s="141"/>
      <c r="E1631" s="118" t="s">
        <v>1885</v>
      </c>
      <c r="F1631" s="118" t="s">
        <v>1884</v>
      </c>
      <c r="G1631" s="118" t="s">
        <v>1891</v>
      </c>
      <c r="H1631" s="118" t="s">
        <v>268</v>
      </c>
      <c r="I1631" s="118" t="s">
        <v>1892</v>
      </c>
      <c r="J1631" s="141"/>
      <c r="K1631" s="118" t="s">
        <v>1888</v>
      </c>
      <c r="L1631" s="122"/>
    </row>
    <row r="1632" spans="1:12">
      <c r="A1632" s="297"/>
      <c r="B1632" s="298"/>
      <c r="C1632" s="298"/>
      <c r="D1632" s="298"/>
      <c r="E1632" s="297"/>
      <c r="F1632" s="297"/>
      <c r="G1632" s="297"/>
      <c r="H1632" s="297"/>
      <c r="I1632" s="297"/>
      <c r="J1632" s="298"/>
      <c r="K1632" s="171"/>
    </row>
    <row r="1633" spans="1:19">
      <c r="A1633" s="297"/>
      <c r="B1633" s="298"/>
      <c r="C1633" s="298"/>
      <c r="D1633" s="298"/>
      <c r="E1633" s="297"/>
      <c r="F1633" s="297"/>
      <c r="G1633" s="297"/>
      <c r="H1633" s="297"/>
      <c r="I1633" s="297"/>
      <c r="J1633" s="298"/>
      <c r="K1633" s="171"/>
    </row>
    <row r="1635" spans="1:19" ht="13" customHeight="1">
      <c r="A1635" s="525" t="s">
        <v>1893</v>
      </c>
      <c r="B1635" s="526"/>
      <c r="C1635" s="526"/>
      <c r="D1635" s="526"/>
      <c r="E1635" s="526"/>
      <c r="F1635" s="526"/>
      <c r="G1635" s="526"/>
      <c r="H1635" s="526"/>
      <c r="I1635" s="526"/>
      <c r="J1635" s="526"/>
      <c r="K1635" s="526"/>
      <c r="L1635" s="526"/>
    </row>
    <row r="1636" spans="1:19" ht="21.65" customHeight="1">
      <c r="A1636" s="540"/>
      <c r="B1636" s="540"/>
      <c r="C1636" s="540"/>
      <c r="D1636" s="540"/>
      <c r="E1636" s="297"/>
      <c r="F1636" s="297"/>
      <c r="G1636" s="297"/>
      <c r="H1636" s="297"/>
      <c r="I1636" s="297"/>
      <c r="J1636" s="298"/>
      <c r="K1636" s="171"/>
    </row>
    <row r="1637" spans="1:19">
      <c r="A1637" s="297"/>
      <c r="B1637" s="298"/>
      <c r="C1637" s="298"/>
      <c r="D1637" s="298"/>
      <c r="E1637" s="297"/>
      <c r="F1637" s="297"/>
      <c r="G1637" s="297"/>
      <c r="H1637" s="297"/>
      <c r="I1637" s="297"/>
      <c r="J1637" s="298"/>
      <c r="K1637" s="171"/>
    </row>
    <row r="1638" spans="1:19" ht="27.65" customHeight="1">
      <c r="A1638" s="153" t="s">
        <v>73</v>
      </c>
      <c r="B1638" s="186" t="s">
        <v>74</v>
      </c>
      <c r="C1638" s="186" t="s">
        <v>75</v>
      </c>
      <c r="D1638" s="186" t="s">
        <v>76</v>
      </c>
      <c r="E1638" s="153" t="s">
        <v>77</v>
      </c>
      <c r="F1638" s="153" t="s">
        <v>78</v>
      </c>
      <c r="G1638" s="153" t="s">
        <v>79</v>
      </c>
      <c r="H1638" s="153" t="s">
        <v>80</v>
      </c>
      <c r="I1638" s="186" t="s">
        <v>683</v>
      </c>
      <c r="J1638" s="186" t="s">
        <v>260</v>
      </c>
      <c r="K1638" s="162" t="s">
        <v>261</v>
      </c>
      <c r="L1638" s="162" t="s">
        <v>1407</v>
      </c>
    </row>
    <row r="1639" spans="1:19" ht="37.5">
      <c r="A1639" s="105" t="s">
        <v>1894</v>
      </c>
      <c r="B1639" s="158" t="s">
        <v>1895</v>
      </c>
      <c r="C1639" s="158" t="s">
        <v>274</v>
      </c>
      <c r="D1639" s="276" t="s">
        <v>93</v>
      </c>
      <c r="E1639" s="141" t="s">
        <v>1896</v>
      </c>
      <c r="F1639" s="172" t="s">
        <v>1893</v>
      </c>
      <c r="G1639" s="158" t="s">
        <v>911</v>
      </c>
      <c r="H1639" s="158" t="s">
        <v>274</v>
      </c>
      <c r="I1639" s="141"/>
      <c r="J1639" s="276"/>
      <c r="K1639" s="118" t="s">
        <v>1888</v>
      </c>
      <c r="L1639" s="261" t="s">
        <v>1411</v>
      </c>
    </row>
    <row r="1640" spans="1:19" ht="37.5">
      <c r="A1640" s="105" t="s">
        <v>1894</v>
      </c>
      <c r="B1640" s="158" t="s">
        <v>1897</v>
      </c>
      <c r="C1640" s="158" t="s">
        <v>274</v>
      </c>
      <c r="D1640" s="276" t="s">
        <v>93</v>
      </c>
      <c r="E1640" s="141"/>
      <c r="F1640" s="172" t="s">
        <v>1893</v>
      </c>
      <c r="G1640" s="158" t="s">
        <v>1897</v>
      </c>
      <c r="H1640" s="158" t="s">
        <v>274</v>
      </c>
      <c r="I1640" s="141"/>
      <c r="J1640" s="276"/>
      <c r="K1640" s="118" t="s">
        <v>1888</v>
      </c>
      <c r="L1640" s="261" t="s">
        <v>1411</v>
      </c>
      <c r="M1640" s="159"/>
      <c r="N1640" s="159"/>
      <c r="O1640" s="159"/>
      <c r="P1640" s="159"/>
      <c r="Q1640" s="159"/>
      <c r="R1640" s="159"/>
      <c r="S1640" s="159"/>
    </row>
    <row r="1641" spans="1:19" ht="37.5">
      <c r="A1641" s="105" t="s">
        <v>1894</v>
      </c>
      <c r="B1641" s="158" t="s">
        <v>1898</v>
      </c>
      <c r="C1641" s="158" t="s">
        <v>267</v>
      </c>
      <c r="D1641" s="276" t="s">
        <v>93</v>
      </c>
      <c r="E1641" s="154"/>
      <c r="F1641" s="172" t="s">
        <v>1893</v>
      </c>
      <c r="G1641" s="158" t="s">
        <v>1899</v>
      </c>
      <c r="H1641" s="158" t="s">
        <v>267</v>
      </c>
      <c r="I1641" s="141"/>
      <c r="J1641" s="276"/>
      <c r="K1641" s="118" t="s">
        <v>1888</v>
      </c>
      <c r="L1641" s="261" t="s">
        <v>1411</v>
      </c>
    </row>
    <row r="1642" spans="1:19" ht="37.5">
      <c r="A1642" s="105" t="s">
        <v>1894</v>
      </c>
      <c r="B1642" s="158" t="s">
        <v>1900</v>
      </c>
      <c r="C1642" s="158" t="s">
        <v>267</v>
      </c>
      <c r="D1642" s="276" t="s">
        <v>93</v>
      </c>
      <c r="E1642" s="154"/>
      <c r="F1642" s="172" t="s">
        <v>1893</v>
      </c>
      <c r="G1642" s="158" t="s">
        <v>1901</v>
      </c>
      <c r="H1642" s="158" t="s">
        <v>267</v>
      </c>
      <c r="I1642" s="141"/>
      <c r="J1642" s="276"/>
      <c r="K1642" s="118" t="s">
        <v>1888</v>
      </c>
      <c r="L1642" s="261" t="s">
        <v>1411</v>
      </c>
    </row>
    <row r="1643" spans="1:19" ht="37.5">
      <c r="A1643" s="105" t="s">
        <v>1894</v>
      </c>
      <c r="B1643" s="158" t="s">
        <v>1902</v>
      </c>
      <c r="C1643" s="158" t="s">
        <v>267</v>
      </c>
      <c r="D1643" s="276" t="s">
        <v>93</v>
      </c>
      <c r="E1643" s="154"/>
      <c r="F1643" s="172" t="s">
        <v>1893</v>
      </c>
      <c r="G1643" s="158" t="s">
        <v>1903</v>
      </c>
      <c r="H1643" s="158" t="s">
        <v>267</v>
      </c>
      <c r="I1643" s="141"/>
      <c r="J1643" s="276"/>
      <c r="K1643" s="118" t="s">
        <v>1888</v>
      </c>
      <c r="L1643" s="261" t="s">
        <v>1411</v>
      </c>
    </row>
    <row r="1644" spans="1:19" ht="37.5">
      <c r="A1644" s="105" t="s">
        <v>1894</v>
      </c>
      <c r="B1644" s="158" t="s">
        <v>1904</v>
      </c>
      <c r="C1644" s="158" t="s">
        <v>280</v>
      </c>
      <c r="D1644" s="276" t="s">
        <v>93</v>
      </c>
      <c r="E1644" s="154"/>
      <c r="F1644" s="172" t="s">
        <v>1893</v>
      </c>
      <c r="G1644" s="158" t="s">
        <v>1905</v>
      </c>
      <c r="H1644" s="158" t="s">
        <v>280</v>
      </c>
      <c r="I1644" s="141"/>
      <c r="J1644" s="276"/>
      <c r="K1644" s="118" t="s">
        <v>1888</v>
      </c>
      <c r="L1644" s="261" t="s">
        <v>1411</v>
      </c>
    </row>
    <row r="1645" spans="1:19" ht="37.5">
      <c r="A1645" s="105" t="s">
        <v>1894</v>
      </c>
      <c r="B1645" s="158" t="s">
        <v>1906</v>
      </c>
      <c r="C1645" s="158" t="s">
        <v>280</v>
      </c>
      <c r="D1645" s="276" t="s">
        <v>93</v>
      </c>
      <c r="E1645" s="154"/>
      <c r="F1645" s="172" t="s">
        <v>1893</v>
      </c>
      <c r="G1645" s="158" t="s">
        <v>1907</v>
      </c>
      <c r="H1645" s="158" t="s">
        <v>280</v>
      </c>
      <c r="I1645" s="141"/>
      <c r="J1645" s="276"/>
      <c r="K1645" s="118" t="s">
        <v>1888</v>
      </c>
      <c r="L1645" s="261" t="s">
        <v>1411</v>
      </c>
    </row>
    <row r="1646" spans="1:19" ht="37.5">
      <c r="A1646" s="105" t="s">
        <v>1894</v>
      </c>
      <c r="B1646" s="158" t="s">
        <v>1908</v>
      </c>
      <c r="C1646" s="158" t="s">
        <v>280</v>
      </c>
      <c r="D1646" s="276" t="s">
        <v>93</v>
      </c>
      <c r="E1646" s="154"/>
      <c r="F1646" s="172" t="s">
        <v>1893</v>
      </c>
      <c r="G1646" s="158" t="s">
        <v>1909</v>
      </c>
      <c r="H1646" s="158" t="s">
        <v>280</v>
      </c>
      <c r="I1646" s="141"/>
      <c r="J1646" s="276"/>
      <c r="K1646" s="118" t="s">
        <v>1888</v>
      </c>
      <c r="L1646" s="261" t="s">
        <v>1411</v>
      </c>
    </row>
    <row r="1647" spans="1:19" ht="37.5">
      <c r="A1647" s="105" t="s">
        <v>1894</v>
      </c>
      <c r="B1647" s="158" t="s">
        <v>1910</v>
      </c>
      <c r="C1647" s="158" t="s">
        <v>280</v>
      </c>
      <c r="D1647" s="276" t="s">
        <v>93</v>
      </c>
      <c r="E1647" s="154"/>
      <c r="F1647" s="172" t="s">
        <v>1893</v>
      </c>
      <c r="G1647" s="158" t="s">
        <v>1911</v>
      </c>
      <c r="H1647" s="158" t="s">
        <v>280</v>
      </c>
      <c r="I1647" s="141"/>
      <c r="J1647" s="276"/>
      <c r="K1647" s="118" t="s">
        <v>1888</v>
      </c>
      <c r="L1647" s="261" t="s">
        <v>1411</v>
      </c>
    </row>
    <row r="1648" spans="1:19" ht="37.5">
      <c r="A1648" s="105" t="s">
        <v>1894</v>
      </c>
      <c r="B1648" s="158" t="s">
        <v>1912</v>
      </c>
      <c r="C1648" s="158" t="s">
        <v>267</v>
      </c>
      <c r="D1648" s="276" t="s">
        <v>93</v>
      </c>
      <c r="E1648" s="154"/>
      <c r="F1648" s="172" t="s">
        <v>1893</v>
      </c>
      <c r="G1648" s="158" t="s">
        <v>1913</v>
      </c>
      <c r="H1648" s="158" t="s">
        <v>267</v>
      </c>
      <c r="I1648" s="141"/>
      <c r="J1648" s="276"/>
      <c r="K1648" s="118" t="s">
        <v>1888</v>
      </c>
      <c r="L1648" s="261" t="s">
        <v>1411</v>
      </c>
    </row>
    <row r="1649" spans="1:12" ht="37.5">
      <c r="A1649" s="105" t="s">
        <v>1894</v>
      </c>
      <c r="B1649" s="158" t="s">
        <v>1914</v>
      </c>
      <c r="C1649" s="158" t="s">
        <v>267</v>
      </c>
      <c r="D1649" s="276" t="s">
        <v>93</v>
      </c>
      <c r="E1649" s="154"/>
      <c r="F1649" s="172" t="s">
        <v>1893</v>
      </c>
      <c r="G1649" s="158" t="s">
        <v>1915</v>
      </c>
      <c r="H1649" s="158" t="s">
        <v>267</v>
      </c>
      <c r="I1649" s="141"/>
      <c r="J1649" s="276"/>
      <c r="K1649" s="118" t="s">
        <v>1888</v>
      </c>
      <c r="L1649" s="261" t="s">
        <v>1411</v>
      </c>
    </row>
    <row r="1650" spans="1:12" ht="37.5">
      <c r="A1650" s="105" t="s">
        <v>1894</v>
      </c>
      <c r="B1650" s="158" t="s">
        <v>1916</v>
      </c>
      <c r="C1650" s="276" t="s">
        <v>280</v>
      </c>
      <c r="D1650" s="276" t="s">
        <v>93</v>
      </c>
      <c r="E1650" s="154"/>
      <c r="F1650" s="172" t="s">
        <v>1893</v>
      </c>
      <c r="G1650" s="158" t="s">
        <v>1917</v>
      </c>
      <c r="H1650" s="276" t="s">
        <v>280</v>
      </c>
      <c r="I1650" s="141"/>
      <c r="J1650" s="276"/>
      <c r="K1650" s="118" t="s">
        <v>1888</v>
      </c>
      <c r="L1650" s="261" t="s">
        <v>1411</v>
      </c>
    </row>
    <row r="1651" spans="1:12" ht="37.5">
      <c r="A1651" s="105" t="s">
        <v>1894</v>
      </c>
      <c r="B1651" s="158"/>
      <c r="C1651" s="276"/>
      <c r="D1651" s="276" t="s">
        <v>1918</v>
      </c>
      <c r="E1651" s="276" t="s">
        <v>1919</v>
      </c>
      <c r="F1651" s="172" t="s">
        <v>1893</v>
      </c>
      <c r="G1651" s="158" t="s">
        <v>1920</v>
      </c>
      <c r="H1651" s="276" t="s">
        <v>267</v>
      </c>
      <c r="I1651" s="141"/>
      <c r="J1651" s="276"/>
      <c r="K1651" s="118" t="s">
        <v>1888</v>
      </c>
      <c r="L1651" s="261" t="s">
        <v>1411</v>
      </c>
    </row>
    <row r="1652" spans="1:12" ht="37.5">
      <c r="A1652" s="105" t="s">
        <v>1894</v>
      </c>
      <c r="B1652" s="377"/>
      <c r="C1652" s="377"/>
      <c r="D1652" s="105" t="s">
        <v>263</v>
      </c>
      <c r="E1652" s="105" t="s">
        <v>1921</v>
      </c>
      <c r="F1652" s="148" t="s">
        <v>1893</v>
      </c>
      <c r="G1652" s="105" t="s">
        <v>1922</v>
      </c>
      <c r="H1652" s="105" t="s">
        <v>280</v>
      </c>
      <c r="I1652" s="141"/>
      <c r="J1652" s="377"/>
      <c r="K1652" s="118" t="s">
        <v>1888</v>
      </c>
      <c r="L1652" s="261" t="s">
        <v>1411</v>
      </c>
    </row>
    <row r="1653" spans="1:12" ht="37.5">
      <c r="A1653" s="105" t="s">
        <v>1894</v>
      </c>
      <c r="B1653" s="118"/>
      <c r="C1653" s="118"/>
      <c r="D1653" s="105" t="s">
        <v>263</v>
      </c>
      <c r="E1653" s="105" t="s">
        <v>1923</v>
      </c>
      <c r="F1653" s="148" t="s">
        <v>1893</v>
      </c>
      <c r="G1653" s="105" t="s">
        <v>1924</v>
      </c>
      <c r="H1653" s="105" t="s">
        <v>280</v>
      </c>
      <c r="I1653" s="141"/>
      <c r="J1653" s="118"/>
      <c r="K1653" s="118" t="s">
        <v>1888</v>
      </c>
      <c r="L1653" s="261" t="s">
        <v>1411</v>
      </c>
    </row>
    <row r="1654" spans="1:12" ht="37.5">
      <c r="A1654" s="105" t="s">
        <v>1894</v>
      </c>
      <c r="B1654" s="118"/>
      <c r="C1654" s="118"/>
      <c r="D1654" s="105" t="s">
        <v>263</v>
      </c>
      <c r="E1654" s="105" t="s">
        <v>1925</v>
      </c>
      <c r="F1654" s="148" t="s">
        <v>1893</v>
      </c>
      <c r="G1654" s="187" t="s">
        <v>1926</v>
      </c>
      <c r="H1654" s="105" t="s">
        <v>280</v>
      </c>
      <c r="I1654" s="141"/>
      <c r="J1654" s="118"/>
      <c r="K1654" s="118" t="s">
        <v>1888</v>
      </c>
      <c r="L1654" s="261" t="s">
        <v>1411</v>
      </c>
    </row>
    <row r="1655" spans="1:12" ht="37.5">
      <c r="A1655" s="105" t="s">
        <v>1894</v>
      </c>
      <c r="B1655" s="118"/>
      <c r="C1655" s="118"/>
      <c r="D1655" s="105" t="s">
        <v>263</v>
      </c>
      <c r="E1655" s="105" t="s">
        <v>1927</v>
      </c>
      <c r="F1655" s="148" t="s">
        <v>1893</v>
      </c>
      <c r="G1655" s="187" t="s">
        <v>1928</v>
      </c>
      <c r="H1655" s="105" t="s">
        <v>280</v>
      </c>
      <c r="I1655" s="141"/>
      <c r="J1655" s="118"/>
      <c r="K1655" s="118" t="s">
        <v>1888</v>
      </c>
      <c r="L1655" s="261" t="s">
        <v>1411</v>
      </c>
    </row>
    <row r="1656" spans="1:12" ht="37.5">
      <c r="A1656" s="105" t="s">
        <v>1894</v>
      </c>
      <c r="B1656" s="118"/>
      <c r="C1656" s="118"/>
      <c r="D1656" s="105" t="s">
        <v>263</v>
      </c>
      <c r="E1656" s="105" t="s">
        <v>1929</v>
      </c>
      <c r="F1656" s="148" t="s">
        <v>1893</v>
      </c>
      <c r="G1656" s="105" t="s">
        <v>1930</v>
      </c>
      <c r="H1656" s="105" t="s">
        <v>280</v>
      </c>
      <c r="I1656" s="141"/>
      <c r="J1656" s="377"/>
      <c r="K1656" s="118" t="s">
        <v>1888</v>
      </c>
      <c r="L1656" s="261" t="s">
        <v>1411</v>
      </c>
    </row>
    <row r="1657" spans="1:12" ht="37.5">
      <c r="A1657" s="105" t="s">
        <v>1894</v>
      </c>
      <c r="B1657" s="118"/>
      <c r="C1657" s="118"/>
      <c r="D1657" s="105" t="s">
        <v>263</v>
      </c>
      <c r="E1657" s="105" t="s">
        <v>1931</v>
      </c>
      <c r="F1657" s="148" t="s">
        <v>1893</v>
      </c>
      <c r="G1657" s="167" t="s">
        <v>1932</v>
      </c>
      <c r="H1657" s="105" t="s">
        <v>280</v>
      </c>
      <c r="I1657" s="141"/>
      <c r="J1657" s="118"/>
      <c r="K1657" s="118" t="s">
        <v>1888</v>
      </c>
      <c r="L1657" s="261" t="s">
        <v>1411</v>
      </c>
    </row>
    <row r="1658" spans="1:12" ht="37.5">
      <c r="A1658" s="105" t="s">
        <v>1894</v>
      </c>
      <c r="B1658" s="118"/>
      <c r="C1658" s="118"/>
      <c r="D1658" s="105" t="s">
        <v>263</v>
      </c>
      <c r="E1658" s="105" t="s">
        <v>1933</v>
      </c>
      <c r="F1658" s="148" t="s">
        <v>1893</v>
      </c>
      <c r="G1658" s="105" t="s">
        <v>1934</v>
      </c>
      <c r="H1658" s="105" t="s">
        <v>280</v>
      </c>
      <c r="I1658" s="141"/>
      <c r="J1658" s="118"/>
      <c r="K1658" s="118" t="s">
        <v>1888</v>
      </c>
      <c r="L1658" s="261" t="s">
        <v>1411</v>
      </c>
    </row>
    <row r="1659" spans="1:12" ht="37.5">
      <c r="A1659" s="105" t="s">
        <v>1894</v>
      </c>
      <c r="B1659" s="118"/>
      <c r="C1659" s="118"/>
      <c r="D1659" s="105" t="s">
        <v>263</v>
      </c>
      <c r="E1659" s="105" t="s">
        <v>1935</v>
      </c>
      <c r="F1659" s="148" t="s">
        <v>1893</v>
      </c>
      <c r="G1659" s="105" t="s">
        <v>1936</v>
      </c>
      <c r="H1659" s="105" t="s">
        <v>280</v>
      </c>
      <c r="I1659" s="141"/>
      <c r="J1659" s="118"/>
      <c r="K1659" s="118" t="s">
        <v>1888</v>
      </c>
      <c r="L1659" s="261" t="s">
        <v>1411</v>
      </c>
    </row>
    <row r="1660" spans="1:12" ht="37.5">
      <c r="A1660" s="105" t="s">
        <v>1894</v>
      </c>
      <c r="B1660" s="118"/>
      <c r="C1660" s="118"/>
      <c r="D1660" s="105" t="s">
        <v>263</v>
      </c>
      <c r="E1660" s="105" t="s">
        <v>1937</v>
      </c>
      <c r="F1660" s="148" t="s">
        <v>1893</v>
      </c>
      <c r="G1660" s="105" t="s">
        <v>1938</v>
      </c>
      <c r="H1660" s="105" t="s">
        <v>280</v>
      </c>
      <c r="I1660" s="141"/>
      <c r="J1660" s="118"/>
      <c r="K1660" s="118" t="s">
        <v>1888</v>
      </c>
      <c r="L1660" s="261" t="s">
        <v>1411</v>
      </c>
    </row>
    <row r="1661" spans="1:12" ht="37.5">
      <c r="A1661" s="105" t="s">
        <v>1894</v>
      </c>
      <c r="B1661" s="118"/>
      <c r="C1661" s="118"/>
      <c r="D1661" s="105" t="s">
        <v>263</v>
      </c>
      <c r="E1661" s="105" t="s">
        <v>1939</v>
      </c>
      <c r="F1661" s="148" t="s">
        <v>1893</v>
      </c>
      <c r="G1661" s="105" t="s">
        <v>1940</v>
      </c>
      <c r="H1661" s="105" t="s">
        <v>280</v>
      </c>
      <c r="I1661" s="141"/>
      <c r="J1661" s="118"/>
      <c r="K1661" s="118" t="s">
        <v>1888</v>
      </c>
      <c r="L1661" s="261" t="s">
        <v>1411</v>
      </c>
    </row>
    <row r="1662" spans="1:12" ht="37.5">
      <c r="A1662" s="105" t="s">
        <v>1894</v>
      </c>
      <c r="B1662" s="118"/>
      <c r="C1662" s="118"/>
      <c r="D1662" s="105" t="s">
        <v>263</v>
      </c>
      <c r="E1662" s="105" t="s">
        <v>1941</v>
      </c>
      <c r="F1662" s="148" t="s">
        <v>1893</v>
      </c>
      <c r="G1662" s="187" t="s">
        <v>1942</v>
      </c>
      <c r="H1662" s="105" t="s">
        <v>280</v>
      </c>
      <c r="I1662" s="141"/>
      <c r="J1662" s="118"/>
      <c r="K1662" s="118" t="s">
        <v>1888</v>
      </c>
      <c r="L1662" s="261" t="s">
        <v>1411</v>
      </c>
    </row>
    <row r="1663" spans="1:12" ht="37.5">
      <c r="A1663" s="105" t="s">
        <v>1894</v>
      </c>
      <c r="B1663" s="118"/>
      <c r="C1663" s="118"/>
      <c r="D1663" s="105" t="s">
        <v>263</v>
      </c>
      <c r="E1663" s="105" t="s">
        <v>1943</v>
      </c>
      <c r="F1663" s="148" t="s">
        <v>1893</v>
      </c>
      <c r="G1663" s="187" t="s">
        <v>1944</v>
      </c>
      <c r="H1663" s="105" t="s">
        <v>280</v>
      </c>
      <c r="I1663" s="141"/>
      <c r="J1663" s="118"/>
      <c r="K1663" s="118" t="s">
        <v>1888</v>
      </c>
      <c r="L1663" s="261" t="s">
        <v>1411</v>
      </c>
    </row>
    <row r="1664" spans="1:12" ht="37.5">
      <c r="A1664" s="105" t="s">
        <v>1894</v>
      </c>
      <c r="B1664" s="118"/>
      <c r="C1664" s="118"/>
      <c r="D1664" s="105" t="s">
        <v>263</v>
      </c>
      <c r="E1664" s="105" t="s">
        <v>1945</v>
      </c>
      <c r="F1664" s="148" t="s">
        <v>1893</v>
      </c>
      <c r="G1664" s="105" t="s">
        <v>1946</v>
      </c>
      <c r="H1664" s="105" t="s">
        <v>280</v>
      </c>
      <c r="I1664" s="141"/>
      <c r="J1664" s="118"/>
      <c r="K1664" s="118" t="s">
        <v>1888</v>
      </c>
      <c r="L1664" s="261" t="s">
        <v>1411</v>
      </c>
    </row>
    <row r="1665" spans="1:12" ht="37.5">
      <c r="A1665" s="105" t="s">
        <v>1894</v>
      </c>
      <c r="B1665" s="118"/>
      <c r="C1665" s="118"/>
      <c r="D1665" s="105" t="s">
        <v>263</v>
      </c>
      <c r="E1665" s="105" t="s">
        <v>1947</v>
      </c>
      <c r="F1665" s="148" t="s">
        <v>1893</v>
      </c>
      <c r="G1665" s="187" t="s">
        <v>1948</v>
      </c>
      <c r="H1665" s="105" t="s">
        <v>280</v>
      </c>
      <c r="I1665" s="141"/>
      <c r="J1665" s="118"/>
      <c r="K1665" s="118" t="s">
        <v>1888</v>
      </c>
      <c r="L1665" s="261" t="s">
        <v>1411</v>
      </c>
    </row>
    <row r="1666" spans="1:12" ht="37.5">
      <c r="A1666" s="105" t="s">
        <v>1894</v>
      </c>
      <c r="B1666" s="118"/>
      <c r="C1666" s="118"/>
      <c r="D1666" s="105" t="s">
        <v>263</v>
      </c>
      <c r="E1666" s="105" t="s">
        <v>1949</v>
      </c>
      <c r="F1666" s="148" t="s">
        <v>1893</v>
      </c>
      <c r="G1666" s="187" t="s">
        <v>1950</v>
      </c>
      <c r="H1666" s="105" t="s">
        <v>280</v>
      </c>
      <c r="I1666" s="141"/>
      <c r="J1666" s="118"/>
      <c r="K1666" s="118" t="s">
        <v>1888</v>
      </c>
      <c r="L1666" s="261" t="s">
        <v>1411</v>
      </c>
    </row>
    <row r="1667" spans="1:12" ht="37.5">
      <c r="A1667" s="105" t="s">
        <v>1894</v>
      </c>
      <c r="B1667" s="118"/>
      <c r="C1667" s="118"/>
      <c r="D1667" s="105" t="s">
        <v>263</v>
      </c>
      <c r="E1667" s="105" t="s">
        <v>1951</v>
      </c>
      <c r="F1667" s="148" t="s">
        <v>1893</v>
      </c>
      <c r="G1667" s="105" t="s">
        <v>1952</v>
      </c>
      <c r="H1667" s="105" t="s">
        <v>280</v>
      </c>
      <c r="I1667" s="141"/>
      <c r="J1667" s="118"/>
      <c r="K1667" s="118" t="s">
        <v>1888</v>
      </c>
      <c r="L1667" s="261" t="s">
        <v>1411</v>
      </c>
    </row>
    <row r="1668" spans="1:12" ht="37.5">
      <c r="A1668" s="105" t="s">
        <v>1894</v>
      </c>
      <c r="B1668" s="118"/>
      <c r="C1668" s="118"/>
      <c r="D1668" s="105" t="s">
        <v>263</v>
      </c>
      <c r="E1668" s="105" t="s">
        <v>1953</v>
      </c>
      <c r="F1668" s="148" t="s">
        <v>1893</v>
      </c>
      <c r="G1668" s="105" t="s">
        <v>1954</v>
      </c>
      <c r="H1668" s="105" t="s">
        <v>280</v>
      </c>
      <c r="I1668" s="141"/>
      <c r="J1668" s="118"/>
      <c r="K1668" s="118" t="s">
        <v>1888</v>
      </c>
      <c r="L1668" s="261" t="s">
        <v>1411</v>
      </c>
    </row>
    <row r="1669" spans="1:12" ht="37.5">
      <c r="A1669" s="105" t="s">
        <v>1894</v>
      </c>
      <c r="B1669" s="118"/>
      <c r="C1669" s="118"/>
      <c r="D1669" s="105" t="s">
        <v>263</v>
      </c>
      <c r="E1669" s="105" t="s">
        <v>1955</v>
      </c>
      <c r="F1669" s="148" t="s">
        <v>1893</v>
      </c>
      <c r="G1669" s="187" t="s">
        <v>1956</v>
      </c>
      <c r="H1669" s="105" t="s">
        <v>280</v>
      </c>
      <c r="I1669" s="141"/>
      <c r="J1669" s="118"/>
      <c r="K1669" s="118" t="s">
        <v>1888</v>
      </c>
      <c r="L1669" s="261" t="s">
        <v>1411</v>
      </c>
    </row>
    <row r="1670" spans="1:12" ht="37.5">
      <c r="A1670" s="105" t="s">
        <v>1894</v>
      </c>
      <c r="B1670" s="118"/>
      <c r="C1670" s="118"/>
      <c r="D1670" s="105" t="s">
        <v>263</v>
      </c>
      <c r="E1670" s="105" t="s">
        <v>1957</v>
      </c>
      <c r="F1670" s="148" t="s">
        <v>1893</v>
      </c>
      <c r="G1670" s="187" t="s">
        <v>1958</v>
      </c>
      <c r="H1670" s="105" t="s">
        <v>280</v>
      </c>
      <c r="I1670" s="141"/>
      <c r="J1670" s="118"/>
      <c r="K1670" s="118" t="s">
        <v>1888</v>
      </c>
      <c r="L1670" s="261" t="s">
        <v>1411</v>
      </c>
    </row>
    <row r="1671" spans="1:12" ht="37.5">
      <c r="A1671" s="105" t="s">
        <v>1894</v>
      </c>
      <c r="B1671" s="118"/>
      <c r="C1671" s="118"/>
      <c r="D1671" s="105" t="s">
        <v>263</v>
      </c>
      <c r="E1671" s="105" t="s">
        <v>1959</v>
      </c>
      <c r="F1671" s="148" t="s">
        <v>1893</v>
      </c>
      <c r="G1671" s="187" t="s">
        <v>1960</v>
      </c>
      <c r="H1671" s="105" t="s">
        <v>280</v>
      </c>
      <c r="I1671" s="141"/>
      <c r="J1671" s="118"/>
      <c r="K1671" s="118" t="s">
        <v>1888</v>
      </c>
      <c r="L1671" s="261" t="s">
        <v>1411</v>
      </c>
    </row>
    <row r="1672" spans="1:12" ht="37.5">
      <c r="A1672" s="105" t="s">
        <v>1894</v>
      </c>
      <c r="B1672" s="118"/>
      <c r="C1672" s="118"/>
      <c r="D1672" s="105" t="s">
        <v>263</v>
      </c>
      <c r="E1672" s="105" t="s">
        <v>1961</v>
      </c>
      <c r="F1672" s="148" t="s">
        <v>1893</v>
      </c>
      <c r="G1672" s="105" t="s">
        <v>1962</v>
      </c>
      <c r="H1672" s="105" t="s">
        <v>280</v>
      </c>
      <c r="I1672" s="141"/>
      <c r="J1672" s="118"/>
      <c r="K1672" s="118" t="s">
        <v>1888</v>
      </c>
      <c r="L1672" s="261" t="s">
        <v>1411</v>
      </c>
    </row>
    <row r="1673" spans="1:12" ht="37.5">
      <c r="A1673" s="105" t="s">
        <v>1894</v>
      </c>
      <c r="B1673" s="118"/>
      <c r="C1673" s="118"/>
      <c r="D1673" s="105" t="s">
        <v>263</v>
      </c>
      <c r="E1673" s="105" t="s">
        <v>1963</v>
      </c>
      <c r="F1673" s="148" t="s">
        <v>1893</v>
      </c>
      <c r="G1673" s="167" t="s">
        <v>1964</v>
      </c>
      <c r="H1673" s="105" t="s">
        <v>280</v>
      </c>
      <c r="I1673" s="141"/>
      <c r="J1673" s="118"/>
      <c r="K1673" s="118" t="s">
        <v>1888</v>
      </c>
      <c r="L1673" s="261" t="s">
        <v>1411</v>
      </c>
    </row>
    <row r="1674" spans="1:12" ht="37.5">
      <c r="A1674" s="105" t="s">
        <v>1894</v>
      </c>
      <c r="B1674" s="118"/>
      <c r="C1674" s="118"/>
      <c r="D1674" s="105" t="s">
        <v>263</v>
      </c>
      <c r="E1674" s="105" t="s">
        <v>1965</v>
      </c>
      <c r="F1674" s="148" t="s">
        <v>1893</v>
      </c>
      <c r="G1674" s="105" t="s">
        <v>1966</v>
      </c>
      <c r="H1674" s="105" t="s">
        <v>280</v>
      </c>
      <c r="I1674" s="141"/>
      <c r="J1674" s="118"/>
      <c r="K1674" s="118" t="s">
        <v>1888</v>
      </c>
      <c r="L1674" s="261" t="s">
        <v>1411</v>
      </c>
    </row>
    <row r="1675" spans="1:12" ht="37.5">
      <c r="A1675" s="105" t="s">
        <v>1894</v>
      </c>
      <c r="B1675" s="118"/>
      <c r="C1675" s="118"/>
      <c r="D1675" s="105" t="s">
        <v>263</v>
      </c>
      <c r="E1675" s="105" t="s">
        <v>1967</v>
      </c>
      <c r="F1675" s="148" t="s">
        <v>1893</v>
      </c>
      <c r="G1675" s="105" t="s">
        <v>1968</v>
      </c>
      <c r="H1675" s="105" t="s">
        <v>280</v>
      </c>
      <c r="I1675" s="141"/>
      <c r="J1675" s="118"/>
      <c r="K1675" s="118" t="s">
        <v>1888</v>
      </c>
      <c r="L1675" s="261" t="s">
        <v>1411</v>
      </c>
    </row>
    <row r="1676" spans="1:12" ht="37.5">
      <c r="A1676" s="105" t="s">
        <v>1894</v>
      </c>
      <c r="B1676" s="118"/>
      <c r="C1676" s="118"/>
      <c r="D1676" s="105" t="s">
        <v>263</v>
      </c>
      <c r="E1676" s="105" t="s">
        <v>1969</v>
      </c>
      <c r="F1676" s="148" t="s">
        <v>1893</v>
      </c>
      <c r="G1676" s="105" t="s">
        <v>1970</v>
      </c>
      <c r="H1676" s="105" t="s">
        <v>280</v>
      </c>
      <c r="I1676" s="141"/>
      <c r="J1676" s="118"/>
      <c r="K1676" s="118" t="s">
        <v>1888</v>
      </c>
      <c r="L1676" s="261" t="s">
        <v>1411</v>
      </c>
    </row>
    <row r="1677" spans="1:12" ht="37.5">
      <c r="A1677" s="105" t="s">
        <v>1894</v>
      </c>
      <c r="B1677" s="118"/>
      <c r="C1677" s="118"/>
      <c r="D1677" s="105" t="s">
        <v>263</v>
      </c>
      <c r="E1677" s="105" t="s">
        <v>1971</v>
      </c>
      <c r="F1677" s="148" t="s">
        <v>1893</v>
      </c>
      <c r="G1677" s="111" t="s">
        <v>1972</v>
      </c>
      <c r="H1677" s="105" t="s">
        <v>280</v>
      </c>
      <c r="I1677" s="141"/>
      <c r="J1677" s="118"/>
      <c r="K1677" s="118" t="s">
        <v>1888</v>
      </c>
      <c r="L1677" s="261" t="s">
        <v>1411</v>
      </c>
    </row>
    <row r="1678" spans="1:12" ht="37.5">
      <c r="A1678" s="105" t="s">
        <v>1894</v>
      </c>
      <c r="B1678" s="118"/>
      <c r="C1678" s="118"/>
      <c r="D1678" s="105" t="s">
        <v>263</v>
      </c>
      <c r="E1678" s="105" t="s">
        <v>1973</v>
      </c>
      <c r="F1678" s="148" t="s">
        <v>1893</v>
      </c>
      <c r="G1678" s="148" t="s">
        <v>1974</v>
      </c>
      <c r="H1678" s="105" t="s">
        <v>280</v>
      </c>
      <c r="I1678" s="141"/>
      <c r="J1678" s="118"/>
      <c r="K1678" s="118" t="s">
        <v>1888</v>
      </c>
      <c r="L1678" s="261" t="s">
        <v>1411</v>
      </c>
    </row>
    <row r="1679" spans="1:12" ht="37.5">
      <c r="A1679" s="105" t="s">
        <v>1894</v>
      </c>
      <c r="B1679" s="118"/>
      <c r="C1679" s="118"/>
      <c r="D1679" s="105" t="s">
        <v>263</v>
      </c>
      <c r="E1679" s="105" t="s">
        <v>1975</v>
      </c>
      <c r="F1679" s="148" t="s">
        <v>1893</v>
      </c>
      <c r="G1679" s="148" t="s">
        <v>1976</v>
      </c>
      <c r="H1679" s="105" t="s">
        <v>280</v>
      </c>
      <c r="I1679" s="141"/>
      <c r="J1679" s="118"/>
      <c r="K1679" s="118" t="s">
        <v>1888</v>
      </c>
      <c r="L1679" s="261" t="s">
        <v>1411</v>
      </c>
    </row>
    <row r="1680" spans="1:12" ht="37.5">
      <c r="A1680" s="105" t="s">
        <v>1894</v>
      </c>
      <c r="B1680" s="118"/>
      <c r="C1680" s="118"/>
      <c r="D1680" s="105" t="s">
        <v>263</v>
      </c>
      <c r="E1680" s="105" t="s">
        <v>1977</v>
      </c>
      <c r="F1680" s="148" t="s">
        <v>1893</v>
      </c>
      <c r="G1680" s="105" t="s">
        <v>1978</v>
      </c>
      <c r="H1680" s="105" t="s">
        <v>280</v>
      </c>
      <c r="I1680" s="141"/>
      <c r="J1680" s="118"/>
      <c r="K1680" s="118" t="s">
        <v>1888</v>
      </c>
      <c r="L1680" s="261" t="s">
        <v>1411</v>
      </c>
    </row>
    <row r="1681" spans="1:12" ht="37.5">
      <c r="A1681" s="105" t="s">
        <v>1894</v>
      </c>
      <c r="B1681" s="118"/>
      <c r="C1681" s="118"/>
      <c r="D1681" s="105" t="s">
        <v>263</v>
      </c>
      <c r="E1681" s="105" t="s">
        <v>1979</v>
      </c>
      <c r="F1681" s="148" t="s">
        <v>1893</v>
      </c>
      <c r="G1681" s="167" t="s">
        <v>1980</v>
      </c>
      <c r="H1681" s="105" t="s">
        <v>280</v>
      </c>
      <c r="I1681" s="141"/>
      <c r="J1681" s="377"/>
      <c r="K1681" s="118" t="s">
        <v>1888</v>
      </c>
      <c r="L1681" s="261" t="s">
        <v>1411</v>
      </c>
    </row>
    <row r="1682" spans="1:12" ht="37.5">
      <c r="A1682" s="105" t="s">
        <v>1894</v>
      </c>
      <c r="B1682" s="118"/>
      <c r="C1682" s="118"/>
      <c r="D1682" s="105" t="s">
        <v>263</v>
      </c>
      <c r="E1682" s="105" t="s">
        <v>1981</v>
      </c>
      <c r="F1682" s="148" t="s">
        <v>1893</v>
      </c>
      <c r="G1682" s="105" t="s">
        <v>1982</v>
      </c>
      <c r="H1682" s="105" t="s">
        <v>280</v>
      </c>
      <c r="I1682" s="141"/>
      <c r="J1682" s="377"/>
      <c r="K1682" s="118" t="s">
        <v>1888</v>
      </c>
      <c r="L1682" s="261" t="s">
        <v>1411</v>
      </c>
    </row>
    <row r="1683" spans="1:12" ht="37.5">
      <c r="A1683" s="105" t="s">
        <v>1894</v>
      </c>
      <c r="B1683" s="118"/>
      <c r="C1683" s="118"/>
      <c r="D1683" s="105" t="s">
        <v>263</v>
      </c>
      <c r="E1683" s="105" t="s">
        <v>1983</v>
      </c>
      <c r="F1683" s="148" t="s">
        <v>1893</v>
      </c>
      <c r="G1683" s="105" t="s">
        <v>1984</v>
      </c>
      <c r="H1683" s="105" t="s">
        <v>280</v>
      </c>
      <c r="I1683" s="141"/>
      <c r="J1683" s="377"/>
      <c r="K1683" s="118" t="s">
        <v>1888</v>
      </c>
      <c r="L1683" s="261" t="s">
        <v>1411</v>
      </c>
    </row>
    <row r="1684" spans="1:12" ht="37.5">
      <c r="A1684" s="105" t="s">
        <v>1894</v>
      </c>
      <c r="B1684" s="118"/>
      <c r="C1684" s="118"/>
      <c r="D1684" s="105" t="s">
        <v>263</v>
      </c>
      <c r="E1684" s="105" t="s">
        <v>1985</v>
      </c>
      <c r="F1684" s="148" t="s">
        <v>1893</v>
      </c>
      <c r="G1684" s="105" t="s">
        <v>1986</v>
      </c>
      <c r="H1684" s="105" t="s">
        <v>280</v>
      </c>
      <c r="I1684" s="141"/>
      <c r="J1684" s="118"/>
      <c r="K1684" s="118" t="s">
        <v>1888</v>
      </c>
      <c r="L1684" s="261" t="s">
        <v>1411</v>
      </c>
    </row>
    <row r="1685" spans="1:12" ht="37.5">
      <c r="A1685" s="105" t="s">
        <v>1894</v>
      </c>
      <c r="B1685" s="118"/>
      <c r="C1685" s="118"/>
      <c r="D1685" s="105" t="s">
        <v>263</v>
      </c>
      <c r="E1685" s="105" t="s">
        <v>1987</v>
      </c>
      <c r="F1685" s="148" t="s">
        <v>1893</v>
      </c>
      <c r="G1685" s="111" t="s">
        <v>1988</v>
      </c>
      <c r="H1685" s="105" t="s">
        <v>280</v>
      </c>
      <c r="I1685" s="141"/>
      <c r="J1685" s="118"/>
      <c r="K1685" s="118" t="s">
        <v>1888</v>
      </c>
      <c r="L1685" s="261" t="s">
        <v>1411</v>
      </c>
    </row>
    <row r="1686" spans="1:12" ht="37.5">
      <c r="A1686" s="105" t="s">
        <v>1894</v>
      </c>
      <c r="B1686" s="118"/>
      <c r="C1686" s="118"/>
      <c r="D1686" s="105" t="s">
        <v>263</v>
      </c>
      <c r="E1686" s="105" t="s">
        <v>1989</v>
      </c>
      <c r="F1686" s="148" t="s">
        <v>1893</v>
      </c>
      <c r="G1686" s="148" t="s">
        <v>1990</v>
      </c>
      <c r="H1686" s="105" t="s">
        <v>280</v>
      </c>
      <c r="I1686" s="141"/>
      <c r="J1686" s="118"/>
      <c r="K1686" s="118" t="s">
        <v>1888</v>
      </c>
      <c r="L1686" s="261" t="s">
        <v>1411</v>
      </c>
    </row>
    <row r="1687" spans="1:12" ht="37.5">
      <c r="A1687" s="105" t="s">
        <v>1894</v>
      </c>
      <c r="B1687" s="118"/>
      <c r="C1687" s="118"/>
      <c r="D1687" s="105" t="s">
        <v>263</v>
      </c>
      <c r="E1687" s="105" t="s">
        <v>1991</v>
      </c>
      <c r="F1687" s="148" t="s">
        <v>1893</v>
      </c>
      <c r="G1687" s="148" t="s">
        <v>1992</v>
      </c>
      <c r="H1687" s="105" t="s">
        <v>280</v>
      </c>
      <c r="I1687" s="141"/>
      <c r="J1687" s="118"/>
      <c r="K1687" s="118" t="s">
        <v>1888</v>
      </c>
      <c r="L1687" s="261" t="s">
        <v>1411</v>
      </c>
    </row>
    <row r="1688" spans="1:12" ht="37.5">
      <c r="A1688" s="105" t="s">
        <v>1894</v>
      </c>
      <c r="B1688" s="118"/>
      <c r="C1688" s="118"/>
      <c r="D1688" s="105" t="s">
        <v>263</v>
      </c>
      <c r="E1688" s="105" t="s">
        <v>1993</v>
      </c>
      <c r="F1688" s="148" t="s">
        <v>1893</v>
      </c>
      <c r="G1688" s="167" t="s">
        <v>1994</v>
      </c>
      <c r="H1688" s="105" t="s">
        <v>280</v>
      </c>
      <c r="I1688" s="141"/>
      <c r="J1688" s="118"/>
      <c r="K1688" s="118" t="s">
        <v>1888</v>
      </c>
      <c r="L1688" s="261" t="s">
        <v>1411</v>
      </c>
    </row>
    <row r="1689" spans="1:12" ht="37.5">
      <c r="A1689" s="105" t="s">
        <v>1894</v>
      </c>
      <c r="B1689" s="118"/>
      <c r="C1689" s="118"/>
      <c r="D1689" s="105" t="s">
        <v>263</v>
      </c>
      <c r="E1689" s="105" t="s">
        <v>1995</v>
      </c>
      <c r="F1689" s="148" t="s">
        <v>1893</v>
      </c>
      <c r="G1689" s="105" t="s">
        <v>1996</v>
      </c>
      <c r="H1689" s="105" t="s">
        <v>280</v>
      </c>
      <c r="I1689" s="141"/>
      <c r="J1689" s="118"/>
      <c r="K1689" s="118" t="s">
        <v>1888</v>
      </c>
      <c r="L1689" s="261" t="s">
        <v>1411</v>
      </c>
    </row>
    <row r="1690" spans="1:12" ht="37.5">
      <c r="A1690" s="105" t="s">
        <v>1894</v>
      </c>
      <c r="B1690" s="118"/>
      <c r="C1690" s="118"/>
      <c r="D1690" s="105" t="s">
        <v>263</v>
      </c>
      <c r="E1690" s="105" t="s">
        <v>1997</v>
      </c>
      <c r="F1690" s="148" t="s">
        <v>1893</v>
      </c>
      <c r="G1690" s="105" t="s">
        <v>1998</v>
      </c>
      <c r="H1690" s="105" t="s">
        <v>280</v>
      </c>
      <c r="I1690" s="141"/>
      <c r="J1690" s="118"/>
      <c r="K1690" s="118" t="s">
        <v>1888</v>
      </c>
      <c r="L1690" s="261" t="s">
        <v>1411</v>
      </c>
    </row>
    <row r="1691" spans="1:12" ht="37.5">
      <c r="A1691" s="105" t="s">
        <v>1894</v>
      </c>
      <c r="B1691" s="118" t="s">
        <v>1887</v>
      </c>
      <c r="C1691" s="118"/>
      <c r="D1691" s="105" t="s">
        <v>93</v>
      </c>
      <c r="E1691" s="105" t="s">
        <v>1999</v>
      </c>
      <c r="F1691" s="148" t="s">
        <v>1893</v>
      </c>
      <c r="G1691" s="105" t="s">
        <v>2000</v>
      </c>
      <c r="H1691" s="105" t="s">
        <v>274</v>
      </c>
      <c r="I1691" s="141"/>
      <c r="J1691" s="118"/>
      <c r="K1691" s="118" t="s">
        <v>1888</v>
      </c>
      <c r="L1691" s="261"/>
    </row>
    <row r="1692" spans="1:12" ht="37.5">
      <c r="A1692" s="105" t="s">
        <v>1894</v>
      </c>
      <c r="B1692" s="118" t="s">
        <v>1890</v>
      </c>
      <c r="C1692" s="118"/>
      <c r="D1692" s="105" t="s">
        <v>93</v>
      </c>
      <c r="E1692" s="105" t="s">
        <v>2001</v>
      </c>
      <c r="F1692" s="148" t="s">
        <v>1893</v>
      </c>
      <c r="G1692" s="105" t="s">
        <v>2002</v>
      </c>
      <c r="H1692" s="105" t="s">
        <v>267</v>
      </c>
      <c r="I1692" s="141"/>
      <c r="J1692" s="118"/>
      <c r="K1692" s="118" t="s">
        <v>1888</v>
      </c>
      <c r="L1692" s="261"/>
    </row>
    <row r="1693" spans="1:12" ht="37.5">
      <c r="A1693" s="105" t="s">
        <v>1894</v>
      </c>
      <c r="B1693" s="118" t="s">
        <v>1892</v>
      </c>
      <c r="C1693" s="118"/>
      <c r="D1693" s="105" t="s">
        <v>93</v>
      </c>
      <c r="E1693" s="105" t="s">
        <v>2003</v>
      </c>
      <c r="F1693" s="148" t="s">
        <v>1893</v>
      </c>
      <c r="G1693" s="105" t="s">
        <v>2004</v>
      </c>
      <c r="H1693" s="105" t="s">
        <v>267</v>
      </c>
      <c r="I1693" s="141"/>
      <c r="J1693" s="118"/>
      <c r="K1693" s="118" t="s">
        <v>1888</v>
      </c>
      <c r="L1693" s="261"/>
    </row>
    <row r="1694" spans="1:12" ht="26">
      <c r="A1694" s="118"/>
      <c r="B1694" s="118"/>
      <c r="C1694" s="118"/>
      <c r="D1694" s="377"/>
      <c r="E1694" s="378" t="s">
        <v>1474</v>
      </c>
      <c r="F1694" s="148" t="s">
        <v>1893</v>
      </c>
      <c r="G1694" s="187" t="s">
        <v>1170</v>
      </c>
      <c r="H1694" s="41" t="s">
        <v>267</v>
      </c>
      <c r="I1694" s="141" t="str">
        <f>UPPER(SUBSTITUTE(G1694,"_"," "))</f>
        <v>CPA SOURCE</v>
      </c>
      <c r="J1694" s="306"/>
      <c r="K1694" s="118" t="s">
        <v>1888</v>
      </c>
      <c r="L1694" s="261" t="s">
        <v>1411</v>
      </c>
    </row>
    <row r="1695" spans="1:12" ht="26">
      <c r="A1695" s="118"/>
      <c r="B1695" s="118"/>
      <c r="C1695" s="118"/>
      <c r="D1695" s="105" t="s">
        <v>263</v>
      </c>
      <c r="E1695" s="379" t="s">
        <v>2005</v>
      </c>
      <c r="F1695" s="148" t="s">
        <v>1893</v>
      </c>
      <c r="G1695" s="187" t="s">
        <v>1476</v>
      </c>
      <c r="H1695" s="41" t="s">
        <v>267</v>
      </c>
      <c r="I1695" s="141" t="str">
        <f>UPPER(SUBSTITUTE(G1695,"_"," "))</f>
        <v>CPA SUB SOURCE</v>
      </c>
      <c r="J1695" s="306"/>
      <c r="K1695" s="118" t="s">
        <v>1888</v>
      </c>
      <c r="L1695" s="261" t="s">
        <v>1411</v>
      </c>
    </row>
    <row r="1696" spans="1:12">
      <c r="A1696" s="132"/>
      <c r="B1696" s="132"/>
      <c r="C1696" s="132"/>
      <c r="D1696" s="132"/>
      <c r="E1696" s="132"/>
      <c r="F1696" s="132"/>
      <c r="G1696" s="132"/>
      <c r="H1696" s="132"/>
      <c r="I1696" s="132"/>
      <c r="J1696" s="132"/>
      <c r="K1696" s="132"/>
    </row>
    <row r="1697" spans="1:19">
      <c r="A1697" s="132"/>
      <c r="B1697" s="132"/>
      <c r="C1697" s="132"/>
      <c r="D1697" s="132"/>
      <c r="E1697" s="132"/>
      <c r="F1697" s="132"/>
      <c r="G1697" s="132"/>
      <c r="H1697" s="132"/>
      <c r="I1697" s="132"/>
      <c r="J1697" s="132"/>
      <c r="K1697" s="132"/>
    </row>
    <row r="1698" spans="1:19">
      <c r="A1698" s="132"/>
      <c r="B1698" s="132"/>
      <c r="C1698" s="132"/>
      <c r="D1698" s="132"/>
      <c r="E1698" s="132"/>
      <c r="F1698" s="118"/>
      <c r="G1698" s="132"/>
      <c r="H1698" s="132"/>
      <c r="I1698" s="132"/>
      <c r="J1698" s="132"/>
      <c r="K1698" s="132"/>
    </row>
    <row r="1699" spans="1:19">
      <c r="A1699" s="132"/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</row>
    <row r="1700" spans="1:19">
      <c r="A1700" s="132"/>
      <c r="B1700" s="132"/>
      <c r="C1700" s="132"/>
      <c r="D1700" s="132"/>
      <c r="E1700" s="132"/>
      <c r="F1700" s="132"/>
      <c r="G1700" s="132"/>
      <c r="H1700" s="132"/>
      <c r="I1700" s="132"/>
      <c r="J1700" s="132"/>
      <c r="K1700" s="132"/>
    </row>
    <row r="1701" spans="1:19">
      <c r="A1701" s="132"/>
      <c r="B1701" s="132"/>
      <c r="C1701" s="132"/>
      <c r="D1701" s="132"/>
      <c r="E1701" s="132"/>
      <c r="F1701" s="132"/>
      <c r="G1701" s="132"/>
      <c r="H1701" s="132"/>
      <c r="I1701" s="132"/>
      <c r="J1701" s="132"/>
      <c r="K1701" s="132"/>
    </row>
    <row r="1702" spans="1:19">
      <c r="A1702" s="132"/>
      <c r="B1702" s="132"/>
      <c r="C1702" s="132"/>
      <c r="D1702" s="132"/>
      <c r="E1702" s="132"/>
      <c r="F1702" s="132"/>
      <c r="G1702" s="132"/>
      <c r="H1702" s="132"/>
      <c r="I1702" s="132"/>
      <c r="J1702" s="132"/>
      <c r="K1702" s="132"/>
    </row>
    <row r="1703" spans="1:19" ht="13.5" thickBot="1">
      <c r="A1703" s="525" t="s">
        <v>2006</v>
      </c>
      <c r="B1703" s="526"/>
      <c r="C1703" s="526"/>
      <c r="D1703" s="526"/>
      <c r="E1703" s="526"/>
      <c r="F1703" s="526"/>
      <c r="G1703" s="526"/>
      <c r="H1703" s="526"/>
      <c r="I1703" s="526"/>
      <c r="J1703" s="526"/>
      <c r="K1703" s="526"/>
      <c r="L1703" s="526"/>
    </row>
    <row r="1704" spans="1:19" ht="138">
      <c r="A1704" s="482" t="s">
        <v>2007</v>
      </c>
      <c r="B1704" s="296"/>
      <c r="C1704" s="296"/>
      <c r="D1704" s="296"/>
      <c r="E1704" s="296"/>
      <c r="F1704" s="296"/>
      <c r="G1704" s="296"/>
      <c r="H1704" s="296"/>
      <c r="I1704" s="296"/>
      <c r="J1704" s="296"/>
      <c r="K1704" s="296"/>
      <c r="L1704" s="159"/>
      <c r="M1704" s="159"/>
      <c r="N1704" s="159"/>
      <c r="O1704" s="159"/>
      <c r="P1704" s="159"/>
      <c r="Q1704" s="159"/>
      <c r="R1704" s="159"/>
      <c r="S1704" s="159"/>
    </row>
    <row r="1705" spans="1:19" ht="23.15" customHeight="1">
      <c r="A1705" s="153" t="s">
        <v>73</v>
      </c>
      <c r="B1705" s="186" t="s">
        <v>74</v>
      </c>
      <c r="C1705" s="186" t="s">
        <v>75</v>
      </c>
      <c r="D1705" s="186" t="s">
        <v>76</v>
      </c>
      <c r="E1705" s="153" t="s">
        <v>77</v>
      </c>
      <c r="F1705" s="153" t="s">
        <v>78</v>
      </c>
      <c r="G1705" s="153" t="s">
        <v>79</v>
      </c>
      <c r="H1705" s="153" t="s">
        <v>80</v>
      </c>
      <c r="I1705" s="186" t="s">
        <v>683</v>
      </c>
      <c r="J1705" s="186" t="s">
        <v>260</v>
      </c>
      <c r="K1705" s="162" t="s">
        <v>261</v>
      </c>
      <c r="L1705" s="162" t="s">
        <v>1407</v>
      </c>
    </row>
    <row r="1706" spans="1:19" ht="62.5">
      <c r="A1706" s="158" t="s">
        <v>2008</v>
      </c>
      <c r="B1706" s="158" t="s">
        <v>1895</v>
      </c>
      <c r="C1706" s="276"/>
      <c r="D1706" s="276" t="s">
        <v>93</v>
      </c>
      <c r="E1706" s="141" t="s">
        <v>1896</v>
      </c>
      <c r="F1706" s="118" t="s">
        <v>2006</v>
      </c>
      <c r="G1706" s="158" t="s">
        <v>911</v>
      </c>
      <c r="H1706" s="172" t="s">
        <v>262</v>
      </c>
      <c r="I1706" s="276"/>
      <c r="J1706" s="276"/>
      <c r="K1706" s="118" t="s">
        <v>1888</v>
      </c>
      <c r="L1706" s="261" t="s">
        <v>1411</v>
      </c>
    </row>
    <row r="1707" spans="1:19" ht="62.5">
      <c r="A1707" s="158" t="s">
        <v>2008</v>
      </c>
      <c r="B1707" s="158" t="s">
        <v>2009</v>
      </c>
      <c r="C1707" s="276"/>
      <c r="D1707" s="276" t="s">
        <v>93</v>
      </c>
      <c r="E1707" s="141"/>
      <c r="F1707" s="118" t="s">
        <v>2006</v>
      </c>
      <c r="G1707" s="158" t="s">
        <v>1897</v>
      </c>
      <c r="H1707" s="158" t="s">
        <v>274</v>
      </c>
      <c r="I1707" s="276"/>
      <c r="J1707" s="276"/>
      <c r="K1707" s="118" t="s">
        <v>1888</v>
      </c>
      <c r="L1707" s="261" t="s">
        <v>1411</v>
      </c>
      <c r="M1707" s="159"/>
      <c r="N1707" s="159"/>
      <c r="O1707" s="159"/>
      <c r="P1707" s="159"/>
      <c r="Q1707" s="159"/>
      <c r="R1707" s="159"/>
      <c r="S1707" s="159"/>
    </row>
    <row r="1708" spans="1:19" ht="62.5">
      <c r="A1708" s="158" t="s">
        <v>2008</v>
      </c>
      <c r="B1708" s="158" t="s">
        <v>2010</v>
      </c>
      <c r="C1708" s="276"/>
      <c r="D1708" s="276" t="s">
        <v>93</v>
      </c>
      <c r="E1708" s="356"/>
      <c r="F1708" s="118" t="s">
        <v>2006</v>
      </c>
      <c r="G1708" s="158" t="s">
        <v>2011</v>
      </c>
      <c r="H1708" s="172" t="s">
        <v>267</v>
      </c>
      <c r="I1708" s="276"/>
      <c r="J1708" s="276"/>
      <c r="K1708" s="118" t="s">
        <v>1888</v>
      </c>
      <c r="L1708" s="261" t="s">
        <v>1411</v>
      </c>
    </row>
    <row r="1709" spans="1:19" ht="62.5">
      <c r="A1709" s="158" t="s">
        <v>2008</v>
      </c>
      <c r="B1709" s="158" t="s">
        <v>1898</v>
      </c>
      <c r="C1709" s="276"/>
      <c r="D1709" s="276" t="s">
        <v>93</v>
      </c>
      <c r="E1709" s="356"/>
      <c r="F1709" s="118" t="s">
        <v>2006</v>
      </c>
      <c r="G1709" s="158" t="s">
        <v>1899</v>
      </c>
      <c r="H1709" s="172" t="s">
        <v>267</v>
      </c>
      <c r="I1709" s="276"/>
      <c r="J1709" s="276"/>
      <c r="K1709" s="118" t="s">
        <v>1888</v>
      </c>
      <c r="L1709" s="261" t="s">
        <v>1411</v>
      </c>
    </row>
    <row r="1710" spans="1:19" ht="62.5">
      <c r="A1710" s="158" t="s">
        <v>2008</v>
      </c>
      <c r="B1710" s="158" t="s">
        <v>380</v>
      </c>
      <c r="C1710" s="276"/>
      <c r="D1710" s="276" t="s">
        <v>93</v>
      </c>
      <c r="E1710" s="356"/>
      <c r="F1710" s="118" t="s">
        <v>2006</v>
      </c>
      <c r="G1710" s="158" t="s">
        <v>2012</v>
      </c>
      <c r="H1710" s="172" t="s">
        <v>267</v>
      </c>
      <c r="I1710" s="276"/>
      <c r="J1710" s="276"/>
      <c r="K1710" s="118" t="s">
        <v>1888</v>
      </c>
      <c r="L1710" s="261" t="s">
        <v>1411</v>
      </c>
    </row>
    <row r="1711" spans="1:19" ht="62.5">
      <c r="A1711" s="158" t="s">
        <v>2008</v>
      </c>
      <c r="B1711" s="158" t="s">
        <v>2013</v>
      </c>
      <c r="C1711" s="276"/>
      <c r="D1711" s="276" t="s">
        <v>93</v>
      </c>
      <c r="E1711" s="356"/>
      <c r="F1711" s="118" t="s">
        <v>2006</v>
      </c>
      <c r="G1711" s="158" t="s">
        <v>2014</v>
      </c>
      <c r="H1711" s="172" t="s">
        <v>267</v>
      </c>
      <c r="I1711" s="276"/>
      <c r="J1711" s="276"/>
      <c r="K1711" s="118" t="s">
        <v>1888</v>
      </c>
      <c r="L1711" s="261" t="s">
        <v>1411</v>
      </c>
    </row>
    <row r="1712" spans="1:19" ht="62.5">
      <c r="A1712" s="158" t="s">
        <v>2008</v>
      </c>
      <c r="B1712" s="158" t="s">
        <v>2015</v>
      </c>
      <c r="C1712" s="276"/>
      <c r="D1712" s="276" t="s">
        <v>93</v>
      </c>
      <c r="E1712" s="356"/>
      <c r="F1712" s="118" t="s">
        <v>2006</v>
      </c>
      <c r="G1712" s="158" t="s">
        <v>2016</v>
      </c>
      <c r="H1712" s="172" t="s">
        <v>267</v>
      </c>
      <c r="I1712" s="276"/>
      <c r="J1712" s="276"/>
      <c r="K1712" s="118" t="s">
        <v>1888</v>
      </c>
      <c r="L1712" s="261" t="s">
        <v>1411</v>
      </c>
    </row>
    <row r="1713" spans="1:19" ht="62.5">
      <c r="A1713" s="158" t="s">
        <v>2008</v>
      </c>
      <c r="B1713" s="158" t="s">
        <v>1914</v>
      </c>
      <c r="C1713" s="276"/>
      <c r="D1713" s="276" t="s">
        <v>93</v>
      </c>
      <c r="E1713" s="356"/>
      <c r="F1713" s="118" t="s">
        <v>2006</v>
      </c>
      <c r="G1713" s="158" t="s">
        <v>1915</v>
      </c>
      <c r="H1713" s="172" t="s">
        <v>267</v>
      </c>
      <c r="I1713" s="276"/>
      <c r="J1713" s="276"/>
      <c r="K1713" s="118" t="s">
        <v>1888</v>
      </c>
      <c r="L1713" s="261" t="s">
        <v>1411</v>
      </c>
    </row>
    <row r="1714" spans="1:19" ht="62.5">
      <c r="A1714" s="158" t="s">
        <v>2008</v>
      </c>
      <c r="B1714" s="158" t="s">
        <v>1902</v>
      </c>
      <c r="C1714" s="276"/>
      <c r="D1714" s="276" t="s">
        <v>93</v>
      </c>
      <c r="E1714" s="356"/>
      <c r="F1714" s="118" t="s">
        <v>2006</v>
      </c>
      <c r="G1714" s="158" t="s">
        <v>1903</v>
      </c>
      <c r="H1714" s="172" t="s">
        <v>267</v>
      </c>
      <c r="I1714" s="276"/>
      <c r="J1714" s="276"/>
      <c r="K1714" s="118" t="s">
        <v>1888</v>
      </c>
      <c r="L1714" s="261" t="s">
        <v>1411</v>
      </c>
    </row>
    <row r="1715" spans="1:19" ht="62.5">
      <c r="A1715" s="158" t="s">
        <v>2008</v>
      </c>
      <c r="B1715" s="158" t="s">
        <v>1900</v>
      </c>
      <c r="C1715" s="276"/>
      <c r="D1715" s="276" t="s">
        <v>93</v>
      </c>
      <c r="E1715" s="356"/>
      <c r="F1715" s="118" t="s">
        <v>2006</v>
      </c>
      <c r="G1715" s="158" t="s">
        <v>1901</v>
      </c>
      <c r="H1715" s="172" t="s">
        <v>267</v>
      </c>
      <c r="I1715" s="276"/>
      <c r="J1715" s="276"/>
      <c r="K1715" s="118" t="s">
        <v>1888</v>
      </c>
      <c r="L1715" s="261" t="s">
        <v>1411</v>
      </c>
    </row>
    <row r="1716" spans="1:19" ht="62.5">
      <c r="A1716" s="158" t="s">
        <v>2008</v>
      </c>
      <c r="B1716" s="158" t="s">
        <v>1904</v>
      </c>
      <c r="C1716" s="276"/>
      <c r="D1716" s="276" t="s">
        <v>93</v>
      </c>
      <c r="E1716" s="356"/>
      <c r="F1716" s="118" t="s">
        <v>2006</v>
      </c>
      <c r="G1716" s="158" t="s">
        <v>1905</v>
      </c>
      <c r="H1716" s="172" t="s">
        <v>280</v>
      </c>
      <c r="I1716" s="276"/>
      <c r="J1716" s="276"/>
      <c r="K1716" s="118" t="s">
        <v>1888</v>
      </c>
      <c r="L1716" s="261" t="s">
        <v>1411</v>
      </c>
    </row>
    <row r="1717" spans="1:19" ht="62.5">
      <c r="A1717" s="158" t="s">
        <v>2008</v>
      </c>
      <c r="B1717" s="172" t="s">
        <v>2017</v>
      </c>
      <c r="C1717" s="276"/>
      <c r="D1717" s="276" t="s">
        <v>93</v>
      </c>
      <c r="E1717" s="356"/>
      <c r="F1717" s="118" t="s">
        <v>2006</v>
      </c>
      <c r="G1717" s="158" t="s">
        <v>2018</v>
      </c>
      <c r="H1717" s="172" t="s">
        <v>267</v>
      </c>
      <c r="I1717" s="276"/>
      <c r="J1717" s="276"/>
      <c r="K1717" s="118" t="s">
        <v>1888</v>
      </c>
      <c r="L1717" s="261" t="s">
        <v>1411</v>
      </c>
    </row>
    <row r="1718" spans="1:19" ht="62.5">
      <c r="A1718" s="158" t="s">
        <v>2008</v>
      </c>
      <c r="B1718" s="172" t="s">
        <v>2019</v>
      </c>
      <c r="C1718" s="118"/>
      <c r="D1718" s="276" t="s">
        <v>93</v>
      </c>
      <c r="E1718" s="141" t="s">
        <v>2019</v>
      </c>
      <c r="F1718" s="118" t="s">
        <v>2006</v>
      </c>
      <c r="G1718" s="172" t="s">
        <v>1917</v>
      </c>
      <c r="H1718" s="118" t="s">
        <v>280</v>
      </c>
      <c r="I1718" s="276"/>
      <c r="J1718" s="356"/>
      <c r="K1718" s="118" t="s">
        <v>1888</v>
      </c>
      <c r="L1718" s="261" t="s">
        <v>1411</v>
      </c>
    </row>
    <row r="1719" spans="1:19" ht="62.5">
      <c r="A1719" s="158" t="s">
        <v>2008</v>
      </c>
      <c r="B1719" s="172" t="s">
        <v>1906</v>
      </c>
      <c r="C1719" s="118"/>
      <c r="D1719" s="276" t="s">
        <v>93</v>
      </c>
      <c r="E1719" s="141" t="s">
        <v>1906</v>
      </c>
      <c r="F1719" s="118" t="s">
        <v>2006</v>
      </c>
      <c r="G1719" s="172" t="s">
        <v>1907</v>
      </c>
      <c r="H1719" s="118" t="s">
        <v>280</v>
      </c>
      <c r="I1719" s="276"/>
      <c r="J1719" s="356"/>
      <c r="K1719" s="118" t="s">
        <v>1888</v>
      </c>
      <c r="L1719" s="261" t="s">
        <v>1411</v>
      </c>
    </row>
    <row r="1720" spans="1:19" ht="62.5">
      <c r="A1720" s="158" t="s">
        <v>2008</v>
      </c>
      <c r="B1720" s="172" t="s">
        <v>2020</v>
      </c>
      <c r="C1720" s="118"/>
      <c r="D1720" s="276" t="s">
        <v>93</v>
      </c>
      <c r="E1720" s="141" t="s">
        <v>2020</v>
      </c>
      <c r="F1720" s="118" t="s">
        <v>2006</v>
      </c>
      <c r="G1720" s="172" t="s">
        <v>2021</v>
      </c>
      <c r="H1720" s="118" t="s">
        <v>280</v>
      </c>
      <c r="I1720" s="276"/>
      <c r="J1720" s="356"/>
      <c r="K1720" s="118" t="s">
        <v>1888</v>
      </c>
      <c r="L1720" s="261" t="s">
        <v>1411</v>
      </c>
    </row>
    <row r="1721" spans="1:19" ht="62.5">
      <c r="A1721" s="158" t="s">
        <v>2008</v>
      </c>
      <c r="B1721" s="172" t="s">
        <v>2022</v>
      </c>
      <c r="C1721" s="118"/>
      <c r="D1721" s="276" t="s">
        <v>93</v>
      </c>
      <c r="E1721" s="141" t="s">
        <v>2022</v>
      </c>
      <c r="F1721" s="105" t="s">
        <v>2006</v>
      </c>
      <c r="G1721" s="172" t="s">
        <v>2023</v>
      </c>
      <c r="H1721" s="118" t="s">
        <v>280</v>
      </c>
      <c r="I1721" s="276"/>
      <c r="J1721" s="356"/>
      <c r="K1721" s="118" t="s">
        <v>1888</v>
      </c>
      <c r="L1721" s="261" t="s">
        <v>1411</v>
      </c>
    </row>
    <row r="1722" spans="1:19" ht="62.5">
      <c r="A1722" s="158" t="s">
        <v>2008</v>
      </c>
      <c r="B1722" s="172" t="s">
        <v>1887</v>
      </c>
      <c r="C1722" s="118" t="s">
        <v>1293</v>
      </c>
      <c r="D1722" s="276" t="s">
        <v>93</v>
      </c>
      <c r="E1722" s="141" t="s">
        <v>1999</v>
      </c>
      <c r="F1722" s="118" t="s">
        <v>2006</v>
      </c>
      <c r="G1722" s="172" t="s">
        <v>2024</v>
      </c>
      <c r="H1722" s="118" t="s">
        <v>1293</v>
      </c>
      <c r="I1722" s="276"/>
      <c r="J1722" s="356"/>
      <c r="K1722" s="118" t="s">
        <v>1888</v>
      </c>
      <c r="L1722" s="261"/>
    </row>
    <row r="1723" spans="1:19" ht="62.5">
      <c r="A1723" s="158" t="s">
        <v>2008</v>
      </c>
      <c r="B1723" s="172" t="s">
        <v>1890</v>
      </c>
      <c r="C1723" s="118" t="s">
        <v>268</v>
      </c>
      <c r="D1723" s="276" t="s">
        <v>93</v>
      </c>
      <c r="E1723" s="141" t="s">
        <v>2001</v>
      </c>
      <c r="F1723" s="118" t="s">
        <v>2006</v>
      </c>
      <c r="G1723" s="172" t="s">
        <v>2025</v>
      </c>
      <c r="H1723" s="118" t="s">
        <v>267</v>
      </c>
      <c r="I1723" s="276"/>
      <c r="J1723" s="356"/>
      <c r="K1723" s="118" t="s">
        <v>1888</v>
      </c>
      <c r="L1723" s="261"/>
    </row>
    <row r="1724" spans="1:19" ht="62.5">
      <c r="A1724" s="158" t="s">
        <v>2008</v>
      </c>
      <c r="B1724" s="172" t="s">
        <v>1892</v>
      </c>
      <c r="C1724" s="118" t="s">
        <v>268</v>
      </c>
      <c r="D1724" s="276" t="s">
        <v>93</v>
      </c>
      <c r="E1724" s="141" t="s">
        <v>2003</v>
      </c>
      <c r="F1724" s="118" t="s">
        <v>2006</v>
      </c>
      <c r="G1724" s="172" t="s">
        <v>2026</v>
      </c>
      <c r="H1724" s="118" t="s">
        <v>267</v>
      </c>
      <c r="I1724" s="276"/>
      <c r="J1724" s="356"/>
      <c r="K1724" s="118" t="s">
        <v>1888</v>
      </c>
      <c r="L1724" s="261"/>
    </row>
    <row r="1725" spans="1:19" ht="130" customHeight="1">
      <c r="A1725" s="158"/>
      <c r="B1725" s="172"/>
      <c r="C1725" s="118"/>
      <c r="D1725" s="141" t="s">
        <v>263</v>
      </c>
      <c r="E1725" s="120" t="s">
        <v>2027</v>
      </c>
      <c r="F1725" s="118" t="s">
        <v>2006</v>
      </c>
      <c r="G1725" s="172" t="s">
        <v>2028</v>
      </c>
      <c r="H1725" s="118" t="s">
        <v>274</v>
      </c>
      <c r="I1725" s="276"/>
      <c r="J1725" s="356"/>
      <c r="K1725" s="118" t="s">
        <v>1888</v>
      </c>
      <c r="L1725" s="261"/>
      <c r="M1725" s="159"/>
      <c r="N1725" s="159"/>
      <c r="O1725" s="159"/>
      <c r="P1725" s="159"/>
      <c r="Q1725" s="159"/>
      <c r="R1725" s="159"/>
      <c r="S1725" s="159"/>
    </row>
    <row r="1726" spans="1:19" ht="26">
      <c r="A1726" s="105"/>
      <c r="B1726" s="105"/>
      <c r="C1726" s="105"/>
      <c r="D1726" s="105" t="s">
        <v>93</v>
      </c>
      <c r="E1726" s="307" t="s">
        <v>1474</v>
      </c>
      <c r="F1726" s="105" t="s">
        <v>2006</v>
      </c>
      <c r="G1726" s="141" t="s">
        <v>1171</v>
      </c>
      <c r="H1726" s="41" t="s">
        <v>267</v>
      </c>
      <c r="I1726" s="276"/>
      <c r="J1726" s="306"/>
      <c r="K1726" s="118" t="s">
        <v>1888</v>
      </c>
      <c r="L1726" s="261" t="s">
        <v>1411</v>
      </c>
    </row>
    <row r="1727" spans="1:19" ht="26">
      <c r="A1727" s="105"/>
      <c r="B1727" s="105"/>
      <c r="C1727" s="105"/>
      <c r="D1727" s="105" t="s">
        <v>263</v>
      </c>
      <c r="E1727" s="308" t="s">
        <v>2029</v>
      </c>
      <c r="F1727" s="105" t="s">
        <v>2006</v>
      </c>
      <c r="G1727" s="141" t="s">
        <v>905</v>
      </c>
      <c r="H1727" s="41" t="s">
        <v>267</v>
      </c>
      <c r="I1727" s="276"/>
      <c r="J1727" s="306"/>
      <c r="K1727" s="118" t="s">
        <v>1888</v>
      </c>
      <c r="L1727" s="261" t="s">
        <v>1411</v>
      </c>
    </row>
    <row r="1733" spans="1:16384" s="31" customFormat="1" ht="13">
      <c r="A1733" s="518" t="s">
        <v>2030</v>
      </c>
      <c r="B1733" s="518"/>
      <c r="C1733" s="518"/>
      <c r="D1733" s="518"/>
      <c r="E1733" s="518"/>
      <c r="F1733" s="518"/>
      <c r="G1733" s="518"/>
      <c r="H1733" s="518"/>
      <c r="I1733" s="518"/>
      <c r="J1733" s="518"/>
      <c r="K1733" s="315"/>
      <c r="L1733" s="315"/>
      <c r="M1733" s="315"/>
      <c r="N1733" s="315"/>
      <c r="O1733" s="315"/>
      <c r="P1733" s="315"/>
      <c r="Q1733" s="315"/>
      <c r="R1733" s="315"/>
      <c r="S1733" s="315"/>
    </row>
    <row r="1734" spans="1:16384" s="31" customFormat="1" ht="10.5">
      <c r="F1734" s="315"/>
      <c r="G1734" s="315"/>
      <c r="H1734" s="315"/>
      <c r="I1734" s="315"/>
      <c r="J1734" s="315"/>
      <c r="K1734" s="315"/>
      <c r="L1734" s="315"/>
      <c r="M1734" s="315"/>
      <c r="N1734" s="315"/>
      <c r="O1734" s="315"/>
      <c r="P1734" s="315"/>
      <c r="Q1734" s="315"/>
      <c r="R1734" s="315"/>
      <c r="S1734" s="315"/>
    </row>
    <row r="1735" spans="1:16384" s="31" customFormat="1" ht="83.5" customHeight="1">
      <c r="A1735" s="524" t="s">
        <v>2031</v>
      </c>
      <c r="B1735" s="524"/>
      <c r="C1735" s="524"/>
      <c r="D1735" s="524"/>
      <c r="E1735" s="524"/>
      <c r="F1735" s="524"/>
      <c r="G1735" s="524"/>
      <c r="H1735" s="524"/>
      <c r="I1735" s="524"/>
      <c r="J1735" s="157"/>
      <c r="K1735" s="157"/>
      <c r="L1735" s="315"/>
      <c r="M1735" s="315"/>
      <c r="N1735" s="315"/>
      <c r="O1735" s="315"/>
      <c r="P1735" s="315"/>
      <c r="Q1735" s="315"/>
      <c r="R1735" s="315"/>
      <c r="S1735" s="315"/>
    </row>
    <row r="1736" spans="1:16384" s="478" customFormat="1" ht="80.150000000000006" customHeight="1">
      <c r="A1736" s="521" t="s">
        <v>2032</v>
      </c>
      <c r="B1736" s="521"/>
      <c r="C1736" s="521"/>
      <c r="D1736" s="521"/>
      <c r="E1736" s="521"/>
      <c r="F1736" s="521"/>
      <c r="G1736" s="521"/>
      <c r="H1736" s="521"/>
      <c r="I1736" s="521"/>
      <c r="J1736" s="157"/>
      <c r="K1736" s="157"/>
      <c r="L1736" s="315"/>
      <c r="M1736" s="315"/>
      <c r="N1736" s="315"/>
      <c r="O1736" s="315"/>
      <c r="P1736" s="315"/>
      <c r="Q1736" s="315"/>
      <c r="R1736" s="315"/>
      <c r="S1736" s="315"/>
    </row>
    <row r="1737" spans="1:16384" s="516" customFormat="1" ht="50.15" customHeight="1">
      <c r="A1737" s="515" t="s">
        <v>2033</v>
      </c>
      <c r="B1737" s="515"/>
      <c r="C1737" s="515"/>
      <c r="D1737" s="515"/>
      <c r="E1737" s="515"/>
      <c r="F1737" s="515"/>
      <c r="G1737" s="515"/>
      <c r="H1737" s="515"/>
      <c r="I1737" s="515"/>
      <c r="J1737" s="515"/>
      <c r="K1737" s="515"/>
      <c r="L1737" s="515"/>
      <c r="M1737" s="515"/>
      <c r="N1737" s="515"/>
      <c r="O1737" s="515"/>
      <c r="P1737" s="515"/>
      <c r="Q1737" s="515"/>
      <c r="R1737" s="515"/>
      <c r="S1737" s="515"/>
      <c r="T1737" s="515"/>
      <c r="U1737" s="515"/>
      <c r="V1737" s="515"/>
      <c r="W1737" s="515"/>
      <c r="X1737" s="515"/>
      <c r="Y1737" s="515"/>
      <c r="Z1737" s="515"/>
      <c r="AA1737" s="515"/>
      <c r="AB1737" s="515"/>
      <c r="AC1737" s="515"/>
      <c r="AD1737" s="515"/>
      <c r="AE1737" s="515"/>
      <c r="AF1737" s="515"/>
      <c r="AG1737" s="515"/>
      <c r="AH1737" s="515"/>
      <c r="AI1737" s="515"/>
      <c r="AJ1737" s="515"/>
      <c r="AK1737" s="515"/>
      <c r="AL1737" s="515"/>
      <c r="AM1737" s="515"/>
      <c r="AN1737" s="515"/>
      <c r="AO1737" s="515"/>
      <c r="AP1737" s="515"/>
      <c r="AQ1737" s="515"/>
      <c r="AR1737" s="515"/>
      <c r="AS1737" s="515"/>
      <c r="AT1737" s="515"/>
      <c r="AU1737" s="515"/>
      <c r="AV1737" s="515"/>
      <c r="AW1737" s="515"/>
      <c r="AX1737" s="515"/>
      <c r="AY1737" s="515"/>
      <c r="AZ1737" s="515"/>
      <c r="BA1737" s="515"/>
      <c r="BB1737" s="515"/>
      <c r="BC1737" s="515"/>
      <c r="BD1737" s="515"/>
      <c r="BE1737" s="515"/>
      <c r="BF1737" s="515"/>
      <c r="BG1737" s="515"/>
      <c r="BH1737" s="515"/>
      <c r="BI1737" s="515"/>
      <c r="BJ1737" s="515"/>
      <c r="BK1737" s="515"/>
      <c r="BL1737" s="515"/>
      <c r="BM1737" s="515"/>
      <c r="BN1737" s="515"/>
      <c r="BO1737" s="515"/>
      <c r="BP1737" s="515"/>
      <c r="BQ1737" s="515"/>
      <c r="BR1737" s="515"/>
      <c r="BS1737" s="515"/>
      <c r="BT1737" s="515"/>
      <c r="BU1737" s="515"/>
      <c r="BV1737" s="515"/>
      <c r="BW1737" s="515"/>
      <c r="BX1737" s="515"/>
      <c r="BY1737" s="515"/>
      <c r="BZ1737" s="515"/>
      <c r="CA1737" s="515"/>
      <c r="CB1737" s="515"/>
      <c r="CC1737" s="515"/>
      <c r="CD1737" s="515"/>
      <c r="CE1737" s="515"/>
      <c r="CF1737" s="515"/>
      <c r="CG1737" s="515"/>
      <c r="CH1737" s="515"/>
      <c r="CI1737" s="515"/>
      <c r="CJ1737" s="515"/>
      <c r="CK1737" s="515"/>
      <c r="CL1737" s="515"/>
      <c r="CM1737" s="515"/>
      <c r="CN1737" s="515"/>
      <c r="CO1737" s="515"/>
      <c r="CP1737" s="515"/>
      <c r="CQ1737" s="515"/>
      <c r="CR1737" s="515"/>
      <c r="CS1737" s="515"/>
      <c r="CT1737" s="515"/>
      <c r="CU1737" s="515"/>
      <c r="CV1737" s="515"/>
      <c r="CW1737" s="515"/>
      <c r="CX1737" s="515"/>
      <c r="CY1737" s="515"/>
      <c r="CZ1737" s="515"/>
      <c r="DA1737" s="515"/>
      <c r="DB1737" s="515"/>
      <c r="DC1737" s="515"/>
      <c r="DD1737" s="515"/>
      <c r="DE1737" s="515"/>
      <c r="DF1737" s="515"/>
      <c r="DG1737" s="515"/>
      <c r="DH1737" s="515"/>
      <c r="DI1737" s="515"/>
      <c r="DJ1737" s="515"/>
      <c r="DK1737" s="515"/>
      <c r="DL1737" s="515"/>
      <c r="DM1737" s="515"/>
      <c r="DN1737" s="515"/>
      <c r="DO1737" s="515"/>
      <c r="DP1737" s="515"/>
      <c r="DQ1737" s="515"/>
      <c r="DR1737" s="515"/>
      <c r="DS1737" s="515"/>
      <c r="DT1737" s="515"/>
      <c r="DU1737" s="515"/>
      <c r="DV1737" s="515"/>
      <c r="DW1737" s="515"/>
      <c r="DX1737" s="515"/>
      <c r="DY1737" s="515"/>
      <c r="DZ1737" s="515"/>
      <c r="EA1737" s="515"/>
      <c r="EB1737" s="515"/>
      <c r="EC1737" s="515"/>
      <c r="ED1737" s="515"/>
      <c r="EE1737" s="515"/>
      <c r="EF1737" s="515"/>
      <c r="EG1737" s="515"/>
      <c r="EH1737" s="515"/>
      <c r="EI1737" s="515"/>
      <c r="EJ1737" s="515"/>
      <c r="EK1737" s="515"/>
      <c r="EL1737" s="515"/>
      <c r="EM1737" s="515"/>
      <c r="EN1737" s="515"/>
      <c r="EO1737" s="515"/>
      <c r="EP1737" s="515"/>
      <c r="EQ1737" s="515"/>
      <c r="ER1737" s="515"/>
      <c r="ES1737" s="515"/>
      <c r="ET1737" s="515"/>
      <c r="EU1737" s="515"/>
      <c r="EV1737" s="515"/>
      <c r="EW1737" s="515"/>
      <c r="EX1737" s="515"/>
      <c r="EY1737" s="515"/>
      <c r="EZ1737" s="515"/>
      <c r="FA1737" s="515"/>
      <c r="FB1737" s="515"/>
      <c r="FC1737" s="515"/>
      <c r="FD1737" s="515"/>
      <c r="FE1737" s="515"/>
      <c r="FF1737" s="515"/>
      <c r="FG1737" s="515"/>
      <c r="FH1737" s="515"/>
      <c r="FI1737" s="515"/>
      <c r="FJ1737" s="515"/>
      <c r="FK1737" s="515"/>
      <c r="FL1737" s="515"/>
      <c r="FM1737" s="515"/>
      <c r="FN1737" s="515"/>
      <c r="FO1737" s="515"/>
      <c r="FP1737" s="515"/>
      <c r="FQ1737" s="515"/>
      <c r="FR1737" s="515"/>
      <c r="FS1737" s="515"/>
      <c r="FT1737" s="515"/>
      <c r="FU1737" s="515"/>
      <c r="FV1737" s="515"/>
      <c r="FW1737" s="515"/>
      <c r="FX1737" s="515"/>
      <c r="FY1737" s="515"/>
      <c r="FZ1737" s="515"/>
      <c r="GA1737" s="515"/>
      <c r="GB1737" s="515"/>
      <c r="GC1737" s="515"/>
      <c r="GD1737" s="515"/>
      <c r="GE1737" s="515"/>
      <c r="GF1737" s="515"/>
      <c r="GG1737" s="515"/>
      <c r="GH1737" s="515"/>
      <c r="GI1737" s="515"/>
      <c r="GJ1737" s="515"/>
      <c r="GK1737" s="515"/>
      <c r="GL1737" s="515"/>
      <c r="GM1737" s="515"/>
      <c r="GN1737" s="515"/>
      <c r="GO1737" s="515"/>
      <c r="GP1737" s="515"/>
      <c r="GQ1737" s="515"/>
      <c r="GR1737" s="515"/>
      <c r="GS1737" s="515"/>
      <c r="GT1737" s="515"/>
      <c r="GU1737" s="515"/>
      <c r="GV1737" s="515"/>
      <c r="GW1737" s="515"/>
      <c r="GX1737" s="515"/>
      <c r="GY1737" s="515"/>
      <c r="GZ1737" s="515"/>
      <c r="HA1737" s="515"/>
      <c r="HB1737" s="515"/>
      <c r="HC1737" s="515"/>
      <c r="HD1737" s="515"/>
      <c r="HE1737" s="515"/>
      <c r="HF1737" s="515"/>
      <c r="HG1737" s="515"/>
      <c r="HH1737" s="515"/>
      <c r="HI1737" s="515"/>
      <c r="HJ1737" s="515"/>
      <c r="HK1737" s="515"/>
      <c r="HL1737" s="515"/>
      <c r="HM1737" s="515"/>
      <c r="HN1737" s="515"/>
      <c r="HO1737" s="515"/>
      <c r="HP1737" s="515"/>
      <c r="HQ1737" s="515"/>
      <c r="HR1737" s="515"/>
      <c r="HS1737" s="515"/>
      <c r="HT1737" s="515"/>
      <c r="HU1737" s="515"/>
      <c r="HV1737" s="515"/>
      <c r="HW1737" s="515"/>
      <c r="HX1737" s="515"/>
      <c r="HY1737" s="515"/>
      <c r="HZ1737" s="515"/>
      <c r="IA1737" s="515"/>
      <c r="IB1737" s="515"/>
      <c r="IC1737" s="515"/>
      <c r="ID1737" s="515"/>
      <c r="IE1737" s="515"/>
      <c r="IF1737" s="515"/>
      <c r="IG1737" s="515"/>
      <c r="IH1737" s="515"/>
      <c r="II1737" s="515"/>
      <c r="IJ1737" s="515"/>
      <c r="IK1737" s="515"/>
      <c r="IL1737" s="515"/>
      <c r="IM1737" s="515"/>
      <c r="IN1737" s="515"/>
      <c r="IO1737" s="515"/>
      <c r="IP1737" s="515"/>
      <c r="IQ1737" s="515"/>
      <c r="IR1737" s="515"/>
      <c r="IS1737" s="515"/>
      <c r="IT1737" s="515"/>
      <c r="IU1737" s="515"/>
      <c r="IV1737" s="515"/>
      <c r="IW1737" s="515"/>
      <c r="IX1737" s="515"/>
      <c r="IY1737" s="515"/>
      <c r="IZ1737" s="515"/>
      <c r="JA1737" s="515"/>
      <c r="JB1737" s="515"/>
      <c r="JC1737" s="515"/>
      <c r="JD1737" s="515"/>
      <c r="JE1737" s="515"/>
      <c r="JF1737" s="515"/>
      <c r="JG1737" s="515"/>
      <c r="JH1737" s="515"/>
      <c r="JI1737" s="515"/>
      <c r="JJ1737" s="515"/>
      <c r="JK1737" s="515"/>
      <c r="JL1737" s="515"/>
      <c r="JM1737" s="515"/>
      <c r="JN1737" s="515"/>
      <c r="JO1737" s="515"/>
      <c r="JP1737" s="515"/>
      <c r="JQ1737" s="515"/>
      <c r="JR1737" s="515"/>
      <c r="JS1737" s="515"/>
      <c r="JT1737" s="515"/>
      <c r="JU1737" s="515"/>
      <c r="JV1737" s="515"/>
      <c r="JW1737" s="515"/>
      <c r="JX1737" s="515"/>
      <c r="JY1737" s="515"/>
      <c r="JZ1737" s="515"/>
      <c r="KA1737" s="515"/>
      <c r="KB1737" s="515"/>
      <c r="KC1737" s="515"/>
      <c r="KD1737" s="515"/>
      <c r="KE1737" s="515"/>
      <c r="KF1737" s="515"/>
      <c r="KG1737" s="515"/>
      <c r="KH1737" s="515"/>
      <c r="KI1737" s="515"/>
      <c r="KJ1737" s="515"/>
      <c r="KK1737" s="515"/>
      <c r="KL1737" s="515"/>
      <c r="KM1737" s="515"/>
      <c r="KN1737" s="515"/>
      <c r="KO1737" s="515"/>
      <c r="KP1737" s="515"/>
      <c r="KQ1737" s="515"/>
      <c r="KR1737" s="515"/>
      <c r="KS1737" s="515"/>
      <c r="KT1737" s="515"/>
      <c r="KU1737" s="515"/>
      <c r="KV1737" s="515"/>
      <c r="KW1737" s="515"/>
      <c r="KX1737" s="515"/>
      <c r="KY1737" s="515"/>
      <c r="KZ1737" s="515"/>
      <c r="LA1737" s="515"/>
      <c r="LB1737" s="515"/>
      <c r="LC1737" s="515"/>
      <c r="LD1737" s="515"/>
      <c r="LE1737" s="515"/>
      <c r="LF1737" s="515"/>
      <c r="LG1737" s="515"/>
      <c r="LH1737" s="515"/>
      <c r="LI1737" s="515"/>
      <c r="LJ1737" s="515"/>
      <c r="LK1737" s="515"/>
      <c r="LL1737" s="515"/>
      <c r="LM1737" s="515"/>
      <c r="LN1737" s="515"/>
      <c r="LO1737" s="515"/>
      <c r="LP1737" s="515"/>
      <c r="LQ1737" s="515"/>
      <c r="LR1737" s="515"/>
      <c r="LS1737" s="515"/>
      <c r="LT1737" s="515"/>
      <c r="LU1737" s="515"/>
      <c r="LV1737" s="515"/>
      <c r="LW1737" s="515"/>
      <c r="LX1737" s="515"/>
      <c r="LY1737" s="515"/>
      <c r="LZ1737" s="515"/>
      <c r="MA1737" s="515"/>
      <c r="MB1737" s="515"/>
      <c r="MC1737" s="515"/>
      <c r="MD1737" s="515"/>
      <c r="ME1737" s="515"/>
      <c r="MF1737" s="515"/>
      <c r="MG1737" s="515"/>
      <c r="MH1737" s="515"/>
      <c r="MI1737" s="515"/>
      <c r="MJ1737" s="515"/>
      <c r="MK1737" s="515"/>
      <c r="ML1737" s="515"/>
      <c r="MM1737" s="515"/>
      <c r="MN1737" s="515"/>
      <c r="MO1737" s="515"/>
      <c r="MP1737" s="515"/>
      <c r="MQ1737" s="515"/>
      <c r="MR1737" s="515"/>
      <c r="MS1737" s="515"/>
      <c r="MT1737" s="515"/>
      <c r="MU1737" s="515"/>
      <c r="MV1737" s="515"/>
      <c r="MW1737" s="515"/>
      <c r="MX1737" s="515"/>
      <c r="MY1737" s="515"/>
      <c r="MZ1737" s="515"/>
      <c r="NA1737" s="515"/>
      <c r="NB1737" s="515"/>
      <c r="NC1737" s="515"/>
      <c r="ND1737" s="515"/>
      <c r="NE1737" s="515"/>
      <c r="NF1737" s="515"/>
      <c r="NG1737" s="515"/>
      <c r="NH1737" s="515"/>
      <c r="NI1737" s="515"/>
      <c r="NJ1737" s="515"/>
      <c r="NK1737" s="515"/>
      <c r="NL1737" s="515"/>
      <c r="NM1737" s="515"/>
      <c r="NN1737" s="515"/>
      <c r="NO1737" s="515"/>
      <c r="NP1737" s="515"/>
      <c r="NQ1737" s="515"/>
      <c r="NR1737" s="515"/>
      <c r="NS1737" s="515"/>
      <c r="NT1737" s="515"/>
      <c r="NU1737" s="515"/>
      <c r="NV1737" s="515"/>
      <c r="NW1737" s="515"/>
      <c r="NX1737" s="515"/>
      <c r="NY1737" s="515"/>
      <c r="NZ1737" s="515"/>
      <c r="OA1737" s="515"/>
      <c r="OB1737" s="515"/>
      <c r="OC1737" s="515"/>
      <c r="OD1737" s="515"/>
      <c r="OE1737" s="515"/>
      <c r="OF1737" s="515"/>
      <c r="OG1737" s="515"/>
      <c r="OH1737" s="515"/>
      <c r="OI1737" s="515"/>
      <c r="OJ1737" s="515"/>
      <c r="OK1737" s="515"/>
      <c r="OL1737" s="515"/>
      <c r="OM1737" s="515"/>
      <c r="ON1737" s="515"/>
      <c r="OO1737" s="515"/>
      <c r="OP1737" s="515"/>
      <c r="OQ1737" s="515"/>
      <c r="OR1737" s="515"/>
      <c r="OS1737" s="515"/>
      <c r="OT1737" s="515"/>
      <c r="OU1737" s="515"/>
      <c r="OV1737" s="515"/>
      <c r="OW1737" s="515"/>
      <c r="OX1737" s="515"/>
      <c r="OY1737" s="515"/>
      <c r="OZ1737" s="515"/>
      <c r="PA1737" s="515"/>
      <c r="PB1737" s="515"/>
      <c r="PC1737" s="515"/>
      <c r="PD1737" s="515"/>
      <c r="PE1737" s="515"/>
      <c r="PF1737" s="515"/>
      <c r="PG1737" s="515"/>
      <c r="PH1737" s="515"/>
      <c r="PI1737" s="515"/>
      <c r="PJ1737" s="515"/>
      <c r="PK1737" s="515"/>
      <c r="PL1737" s="515"/>
      <c r="PM1737" s="515"/>
      <c r="PN1737" s="515"/>
      <c r="PO1737" s="515"/>
      <c r="PP1737" s="515"/>
      <c r="PQ1737" s="515"/>
      <c r="PR1737" s="515"/>
      <c r="PS1737" s="515"/>
      <c r="PT1737" s="515"/>
      <c r="PU1737" s="515"/>
      <c r="PV1737" s="515"/>
      <c r="PW1737" s="515"/>
      <c r="PX1737" s="515"/>
      <c r="PY1737" s="515"/>
      <c r="PZ1737" s="515"/>
      <c r="QA1737" s="515"/>
      <c r="QB1737" s="515"/>
      <c r="QC1737" s="515"/>
      <c r="QD1737" s="515"/>
      <c r="QE1737" s="515"/>
      <c r="QF1737" s="515"/>
      <c r="QG1737" s="515"/>
      <c r="QH1737" s="515"/>
      <c r="QI1737" s="515"/>
      <c r="QJ1737" s="515"/>
      <c r="QK1737" s="515"/>
      <c r="QL1737" s="515"/>
      <c r="QM1737" s="515"/>
      <c r="QN1737" s="515"/>
      <c r="QO1737" s="515"/>
      <c r="QP1737" s="515"/>
      <c r="QQ1737" s="515"/>
      <c r="QR1737" s="515"/>
      <c r="QS1737" s="515"/>
      <c r="QT1737" s="515"/>
      <c r="QU1737" s="515"/>
      <c r="QV1737" s="515"/>
      <c r="QW1737" s="515"/>
      <c r="QX1737" s="515"/>
      <c r="QY1737" s="515"/>
      <c r="QZ1737" s="515"/>
      <c r="RA1737" s="515"/>
      <c r="RB1737" s="515"/>
      <c r="RC1737" s="515"/>
      <c r="RD1737" s="515"/>
      <c r="RE1737" s="515"/>
      <c r="RF1737" s="515"/>
      <c r="RG1737" s="515"/>
      <c r="RH1737" s="515"/>
      <c r="RI1737" s="515"/>
      <c r="RJ1737" s="515"/>
      <c r="RK1737" s="515"/>
      <c r="RL1737" s="515"/>
      <c r="RM1737" s="515"/>
      <c r="RN1737" s="515"/>
      <c r="RO1737" s="515"/>
      <c r="RP1737" s="515"/>
      <c r="RQ1737" s="515"/>
      <c r="RR1737" s="515"/>
      <c r="RS1737" s="515"/>
      <c r="RT1737" s="515"/>
      <c r="RU1737" s="515"/>
      <c r="RV1737" s="515"/>
      <c r="RW1737" s="515"/>
      <c r="RX1737" s="515"/>
      <c r="RY1737" s="515"/>
      <c r="RZ1737" s="515"/>
      <c r="SA1737" s="515"/>
      <c r="SB1737" s="515"/>
      <c r="SC1737" s="515"/>
      <c r="SD1737" s="515"/>
      <c r="SE1737" s="515"/>
      <c r="SF1737" s="515"/>
      <c r="SG1737" s="515"/>
      <c r="SH1737" s="515"/>
      <c r="SI1737" s="515"/>
      <c r="SJ1737" s="515"/>
      <c r="SK1737" s="515"/>
      <c r="SL1737" s="515"/>
      <c r="SM1737" s="515"/>
      <c r="SN1737" s="515"/>
      <c r="SO1737" s="515"/>
      <c r="SP1737" s="515"/>
      <c r="SQ1737" s="515"/>
      <c r="SR1737" s="515"/>
      <c r="SS1737" s="515"/>
      <c r="ST1737" s="515"/>
      <c r="SU1737" s="515"/>
      <c r="SV1737" s="515"/>
      <c r="SW1737" s="515"/>
      <c r="SX1737" s="515"/>
      <c r="SY1737" s="515"/>
      <c r="SZ1737" s="515"/>
      <c r="TA1737" s="515"/>
      <c r="TB1737" s="515"/>
      <c r="TC1737" s="515"/>
      <c r="TD1737" s="515"/>
      <c r="TE1737" s="515"/>
      <c r="TF1737" s="515"/>
      <c r="TG1737" s="515"/>
      <c r="TH1737" s="515"/>
      <c r="TI1737" s="515"/>
      <c r="TJ1737" s="515"/>
      <c r="TK1737" s="515"/>
      <c r="TL1737" s="515"/>
      <c r="TM1737" s="515"/>
      <c r="TN1737" s="515"/>
      <c r="TO1737" s="515"/>
      <c r="TP1737" s="515"/>
      <c r="TQ1737" s="515"/>
      <c r="TR1737" s="515"/>
      <c r="TS1737" s="515"/>
      <c r="TT1737" s="515"/>
      <c r="TU1737" s="515"/>
      <c r="TV1737" s="515"/>
      <c r="TW1737" s="515"/>
      <c r="TX1737" s="515"/>
      <c r="TY1737" s="515"/>
      <c r="TZ1737" s="515"/>
      <c r="UA1737" s="515"/>
      <c r="UB1737" s="515"/>
      <c r="UC1737" s="515"/>
      <c r="UD1737" s="515"/>
      <c r="UE1737" s="515"/>
      <c r="UF1737" s="515"/>
      <c r="UG1737" s="515"/>
      <c r="UH1737" s="515"/>
      <c r="UI1737" s="515"/>
      <c r="UJ1737" s="515"/>
      <c r="UK1737" s="515"/>
      <c r="UL1737" s="515"/>
      <c r="UM1737" s="515"/>
      <c r="UN1737" s="515"/>
      <c r="UO1737" s="515"/>
      <c r="UP1737" s="515"/>
      <c r="UQ1737" s="515"/>
      <c r="UR1737" s="515"/>
      <c r="US1737" s="515"/>
      <c r="UT1737" s="515"/>
      <c r="UU1737" s="515"/>
      <c r="UV1737" s="515"/>
      <c r="UW1737" s="515"/>
      <c r="UX1737" s="515"/>
      <c r="UY1737" s="515"/>
      <c r="UZ1737" s="515"/>
      <c r="VA1737" s="515"/>
      <c r="VB1737" s="515"/>
      <c r="VC1737" s="515"/>
      <c r="VD1737" s="515"/>
      <c r="VE1737" s="515"/>
      <c r="VF1737" s="515"/>
      <c r="VG1737" s="515"/>
      <c r="VH1737" s="515"/>
      <c r="VI1737" s="515"/>
      <c r="VJ1737" s="515"/>
      <c r="VK1737" s="515"/>
      <c r="VL1737" s="515"/>
      <c r="VM1737" s="515"/>
      <c r="VN1737" s="515"/>
      <c r="VO1737" s="515"/>
      <c r="VP1737" s="515"/>
      <c r="VQ1737" s="515"/>
      <c r="VR1737" s="515"/>
      <c r="VS1737" s="515"/>
      <c r="VT1737" s="515"/>
      <c r="VU1737" s="515"/>
      <c r="VV1737" s="515"/>
      <c r="VW1737" s="515"/>
      <c r="VX1737" s="515"/>
      <c r="VY1737" s="515"/>
      <c r="VZ1737" s="515"/>
      <c r="WA1737" s="515"/>
      <c r="WB1737" s="515"/>
      <c r="WC1737" s="515"/>
      <c r="WD1737" s="515"/>
      <c r="WE1737" s="515"/>
      <c r="WF1737" s="515"/>
      <c r="WG1737" s="515"/>
      <c r="WH1737" s="515"/>
      <c r="WI1737" s="515"/>
      <c r="WJ1737" s="515"/>
      <c r="WK1737" s="515"/>
      <c r="WL1737" s="515"/>
      <c r="WM1737" s="515"/>
      <c r="WN1737" s="515"/>
      <c r="WO1737" s="515"/>
      <c r="WP1737" s="515"/>
      <c r="WQ1737" s="515"/>
      <c r="WR1737" s="515"/>
      <c r="WS1737" s="515"/>
      <c r="WT1737" s="515"/>
      <c r="WU1737" s="515"/>
      <c r="WV1737" s="515"/>
      <c r="WW1737" s="515"/>
      <c r="WX1737" s="515"/>
      <c r="WY1737" s="515"/>
      <c r="WZ1737" s="515"/>
      <c r="XA1737" s="515"/>
      <c r="XB1737" s="515"/>
      <c r="XC1737" s="515"/>
      <c r="XD1737" s="515"/>
      <c r="XE1737" s="515"/>
      <c r="XF1737" s="515"/>
      <c r="XG1737" s="515"/>
      <c r="XH1737" s="515"/>
      <c r="XI1737" s="515"/>
      <c r="XJ1737" s="515"/>
      <c r="XK1737" s="515"/>
      <c r="XL1737" s="515"/>
      <c r="XM1737" s="515"/>
      <c r="XN1737" s="515"/>
      <c r="XO1737" s="515"/>
      <c r="XP1737" s="515"/>
      <c r="XQ1737" s="515"/>
      <c r="XR1737" s="515"/>
      <c r="XS1737" s="515"/>
      <c r="XT1737" s="515"/>
      <c r="XU1737" s="515"/>
      <c r="XV1737" s="515"/>
      <c r="XW1737" s="515"/>
      <c r="XX1737" s="515"/>
      <c r="XY1737" s="515"/>
      <c r="XZ1737" s="515"/>
      <c r="YA1737" s="515"/>
      <c r="YB1737" s="515"/>
      <c r="YC1737" s="515"/>
      <c r="YD1737" s="515"/>
      <c r="YE1737" s="515"/>
      <c r="YF1737" s="515"/>
      <c r="YG1737" s="515"/>
      <c r="YH1737" s="515"/>
      <c r="YI1737" s="515"/>
      <c r="YJ1737" s="515"/>
      <c r="YK1737" s="515"/>
      <c r="YL1737" s="515"/>
      <c r="YM1737" s="515"/>
      <c r="YN1737" s="515"/>
      <c r="YO1737" s="515"/>
      <c r="YP1737" s="515"/>
      <c r="YQ1737" s="515"/>
      <c r="YR1737" s="515"/>
      <c r="YS1737" s="515"/>
      <c r="YT1737" s="515"/>
      <c r="YU1737" s="515"/>
      <c r="YV1737" s="515"/>
      <c r="YW1737" s="515"/>
      <c r="YX1737" s="515"/>
      <c r="YY1737" s="515"/>
      <c r="YZ1737" s="515"/>
      <c r="ZA1737" s="515"/>
      <c r="ZB1737" s="515"/>
      <c r="ZC1737" s="515"/>
      <c r="ZD1737" s="515"/>
      <c r="ZE1737" s="515"/>
      <c r="ZF1737" s="515"/>
      <c r="ZG1737" s="515"/>
      <c r="ZH1737" s="515"/>
      <c r="ZI1737" s="515"/>
      <c r="ZJ1737" s="515"/>
      <c r="ZK1737" s="515"/>
      <c r="ZL1737" s="515"/>
      <c r="ZM1737" s="515"/>
      <c r="ZN1737" s="515"/>
      <c r="ZO1737" s="515"/>
      <c r="ZP1737" s="515"/>
      <c r="ZQ1737" s="515"/>
      <c r="ZR1737" s="515"/>
      <c r="ZS1737" s="515"/>
      <c r="ZT1737" s="515"/>
      <c r="ZU1737" s="515"/>
      <c r="ZV1737" s="515"/>
      <c r="ZW1737" s="515"/>
      <c r="ZX1737" s="515"/>
      <c r="ZY1737" s="515"/>
      <c r="ZZ1737" s="515"/>
      <c r="AAA1737" s="515"/>
      <c r="AAB1737" s="515"/>
      <c r="AAC1737" s="515"/>
      <c r="AAD1737" s="515"/>
      <c r="AAE1737" s="515"/>
      <c r="AAF1737" s="515"/>
      <c r="AAG1737" s="515"/>
      <c r="AAH1737" s="515"/>
      <c r="AAI1737" s="515"/>
      <c r="AAJ1737" s="515"/>
      <c r="AAK1737" s="515"/>
      <c r="AAL1737" s="515"/>
      <c r="AAM1737" s="515"/>
      <c r="AAN1737" s="515"/>
      <c r="AAO1737" s="515"/>
      <c r="AAP1737" s="515"/>
      <c r="AAQ1737" s="515"/>
      <c r="AAR1737" s="515"/>
      <c r="AAS1737" s="515"/>
      <c r="AAT1737" s="515"/>
      <c r="AAU1737" s="515"/>
      <c r="AAV1737" s="515"/>
      <c r="AAW1737" s="515"/>
      <c r="AAX1737" s="515"/>
      <c r="AAY1737" s="515"/>
      <c r="AAZ1737" s="515"/>
      <c r="ABA1737" s="515"/>
      <c r="ABB1737" s="515"/>
      <c r="ABC1737" s="515"/>
      <c r="ABD1737" s="515"/>
      <c r="ABE1737" s="515"/>
      <c r="ABF1737" s="515"/>
      <c r="ABG1737" s="515"/>
      <c r="ABH1737" s="515"/>
      <c r="ABI1737" s="515"/>
      <c r="ABJ1737" s="515"/>
      <c r="ABK1737" s="515"/>
      <c r="ABL1737" s="515"/>
      <c r="ABM1737" s="515"/>
      <c r="ABN1737" s="515"/>
      <c r="ABO1737" s="515"/>
      <c r="ABP1737" s="515"/>
      <c r="ABQ1737" s="515"/>
      <c r="ABR1737" s="515"/>
      <c r="ABS1737" s="515"/>
      <c r="ABT1737" s="515"/>
      <c r="ABU1737" s="515"/>
      <c r="ABV1737" s="515"/>
      <c r="ABW1737" s="515"/>
      <c r="ABX1737" s="515"/>
      <c r="ABY1737" s="515"/>
      <c r="ABZ1737" s="515"/>
      <c r="ACA1737" s="515"/>
      <c r="ACB1737" s="515"/>
      <c r="ACC1737" s="515"/>
      <c r="ACD1737" s="515"/>
      <c r="ACE1737" s="515"/>
      <c r="ACF1737" s="515"/>
      <c r="ACG1737" s="515"/>
      <c r="ACH1737" s="515"/>
      <c r="ACI1737" s="515"/>
      <c r="ACJ1737" s="515"/>
      <c r="ACK1737" s="515"/>
      <c r="ACL1737" s="515"/>
      <c r="ACM1737" s="515"/>
      <c r="ACN1737" s="515"/>
      <c r="ACO1737" s="515"/>
      <c r="ACP1737" s="515"/>
      <c r="ACQ1737" s="515"/>
      <c r="ACR1737" s="515"/>
      <c r="ACS1737" s="515"/>
      <c r="ACT1737" s="515"/>
      <c r="ACU1737" s="515"/>
      <c r="ACV1737" s="515"/>
      <c r="ACW1737" s="515"/>
      <c r="ACX1737" s="515"/>
      <c r="ACY1737" s="515"/>
      <c r="ACZ1737" s="515"/>
      <c r="ADA1737" s="515"/>
      <c r="ADB1737" s="515"/>
      <c r="ADC1737" s="515"/>
      <c r="ADD1737" s="515"/>
      <c r="ADE1737" s="515"/>
      <c r="ADF1737" s="515"/>
      <c r="ADG1737" s="515"/>
      <c r="ADH1737" s="515"/>
      <c r="ADI1737" s="515"/>
      <c r="ADJ1737" s="515"/>
      <c r="ADK1737" s="515"/>
      <c r="ADL1737" s="515"/>
      <c r="ADM1737" s="515"/>
      <c r="ADN1737" s="515"/>
      <c r="ADO1737" s="515"/>
      <c r="ADP1737" s="515"/>
      <c r="ADQ1737" s="515"/>
      <c r="ADR1737" s="515"/>
      <c r="ADS1737" s="515"/>
      <c r="ADT1737" s="515"/>
      <c r="ADU1737" s="515"/>
      <c r="ADV1737" s="515"/>
      <c r="ADW1737" s="515"/>
      <c r="ADX1737" s="515"/>
      <c r="ADY1737" s="515"/>
      <c r="ADZ1737" s="515"/>
      <c r="AEA1737" s="515"/>
      <c r="AEB1737" s="515"/>
      <c r="AEC1737" s="515"/>
      <c r="AED1737" s="515"/>
      <c r="AEE1737" s="515"/>
      <c r="AEF1737" s="515"/>
      <c r="AEG1737" s="515"/>
      <c r="AEH1737" s="515"/>
      <c r="AEI1737" s="515"/>
      <c r="AEJ1737" s="515"/>
      <c r="AEK1737" s="515"/>
      <c r="AEL1737" s="515"/>
      <c r="AEM1737" s="515"/>
      <c r="AEN1737" s="515"/>
      <c r="AEO1737" s="515"/>
      <c r="AEP1737" s="515"/>
      <c r="AEQ1737" s="515"/>
      <c r="AER1737" s="515"/>
      <c r="AES1737" s="515"/>
      <c r="AET1737" s="515"/>
      <c r="AEU1737" s="515"/>
      <c r="AEV1737" s="515"/>
      <c r="AEW1737" s="515"/>
      <c r="AEX1737" s="515"/>
      <c r="AEY1737" s="515"/>
      <c r="AEZ1737" s="515"/>
      <c r="AFA1737" s="515"/>
      <c r="AFB1737" s="515"/>
      <c r="AFC1737" s="515"/>
      <c r="AFD1737" s="515"/>
      <c r="AFE1737" s="515"/>
      <c r="AFF1737" s="515"/>
      <c r="AFG1737" s="515"/>
      <c r="AFH1737" s="515"/>
      <c r="AFI1737" s="515"/>
      <c r="AFJ1737" s="515"/>
      <c r="AFK1737" s="515"/>
      <c r="AFL1737" s="515"/>
      <c r="AFM1737" s="515"/>
      <c r="AFN1737" s="515"/>
      <c r="AFO1737" s="515"/>
      <c r="AFP1737" s="515"/>
      <c r="AFQ1737" s="515"/>
      <c r="AFR1737" s="515"/>
      <c r="AFS1737" s="515"/>
      <c r="AFT1737" s="515"/>
      <c r="AFU1737" s="515"/>
      <c r="AFV1737" s="515"/>
      <c r="AFW1737" s="515"/>
      <c r="AFX1737" s="515"/>
      <c r="AFY1737" s="515"/>
      <c r="AFZ1737" s="515"/>
      <c r="AGA1737" s="515"/>
      <c r="AGB1737" s="515"/>
      <c r="AGC1737" s="515"/>
      <c r="AGD1737" s="515"/>
      <c r="AGE1737" s="515"/>
      <c r="AGF1737" s="515"/>
      <c r="AGG1737" s="515"/>
      <c r="AGH1737" s="515"/>
      <c r="AGI1737" s="515"/>
      <c r="AGJ1737" s="515"/>
      <c r="AGK1737" s="515"/>
      <c r="AGL1737" s="515"/>
      <c r="AGM1737" s="515"/>
      <c r="AGN1737" s="515"/>
      <c r="AGO1737" s="515"/>
      <c r="AGP1737" s="515"/>
      <c r="AGQ1737" s="515"/>
      <c r="AGR1737" s="515"/>
      <c r="AGS1737" s="515"/>
      <c r="AGT1737" s="515"/>
      <c r="AGU1737" s="515"/>
      <c r="AGV1737" s="515"/>
      <c r="AGW1737" s="515"/>
      <c r="AGX1737" s="515"/>
      <c r="AGY1737" s="515"/>
      <c r="AGZ1737" s="515"/>
      <c r="AHA1737" s="515"/>
      <c r="AHB1737" s="515"/>
      <c r="AHC1737" s="515"/>
      <c r="AHD1737" s="515"/>
      <c r="AHE1737" s="515"/>
      <c r="AHF1737" s="515"/>
      <c r="AHG1737" s="515"/>
      <c r="AHH1737" s="515"/>
      <c r="AHI1737" s="515"/>
      <c r="AHJ1737" s="515"/>
      <c r="AHK1737" s="515"/>
      <c r="AHL1737" s="515"/>
      <c r="AHM1737" s="515"/>
      <c r="AHN1737" s="515"/>
      <c r="AHO1737" s="515"/>
      <c r="AHP1737" s="515"/>
      <c r="AHQ1737" s="515"/>
      <c r="AHR1737" s="515"/>
      <c r="AHS1737" s="515"/>
      <c r="AHT1737" s="515"/>
      <c r="AHU1737" s="515"/>
      <c r="AHV1737" s="515"/>
      <c r="AHW1737" s="515"/>
      <c r="AHX1737" s="515"/>
      <c r="AHY1737" s="515"/>
      <c r="AHZ1737" s="515"/>
      <c r="AIA1737" s="515"/>
      <c r="AIB1737" s="515"/>
      <c r="AIC1737" s="515"/>
      <c r="AID1737" s="515"/>
      <c r="AIE1737" s="515"/>
      <c r="AIF1737" s="515"/>
      <c r="AIG1737" s="515"/>
      <c r="AIH1737" s="515"/>
      <c r="AII1737" s="515"/>
      <c r="AIJ1737" s="515"/>
      <c r="AIK1737" s="515"/>
      <c r="AIL1737" s="515"/>
      <c r="AIM1737" s="515"/>
      <c r="AIN1737" s="515"/>
      <c r="AIO1737" s="515"/>
      <c r="AIP1737" s="515"/>
      <c r="AIQ1737" s="515"/>
      <c r="AIR1737" s="515"/>
      <c r="AIS1737" s="515"/>
      <c r="AIT1737" s="515"/>
      <c r="AIU1737" s="515"/>
      <c r="AIV1737" s="515"/>
      <c r="AIW1737" s="515"/>
      <c r="AIX1737" s="515"/>
      <c r="AIY1737" s="515"/>
      <c r="AIZ1737" s="515"/>
      <c r="AJA1737" s="515"/>
      <c r="AJB1737" s="515"/>
      <c r="AJC1737" s="515"/>
      <c r="AJD1737" s="515"/>
      <c r="AJE1737" s="515"/>
      <c r="AJF1737" s="515"/>
      <c r="AJG1737" s="515"/>
      <c r="AJH1737" s="515"/>
      <c r="AJI1737" s="515"/>
      <c r="AJJ1737" s="515"/>
      <c r="AJK1737" s="515"/>
      <c r="AJL1737" s="515"/>
      <c r="AJM1737" s="515"/>
      <c r="AJN1737" s="515"/>
      <c r="AJO1737" s="515"/>
      <c r="AJP1737" s="515"/>
      <c r="AJQ1737" s="515"/>
      <c r="AJR1737" s="515"/>
      <c r="AJS1737" s="515"/>
      <c r="AJT1737" s="515"/>
      <c r="AJU1737" s="515"/>
      <c r="AJV1737" s="515"/>
      <c r="AJW1737" s="515"/>
      <c r="AJX1737" s="515"/>
      <c r="AJY1737" s="515"/>
      <c r="AJZ1737" s="515"/>
      <c r="AKA1737" s="515"/>
      <c r="AKB1737" s="515"/>
      <c r="AKC1737" s="515"/>
      <c r="AKD1737" s="515"/>
      <c r="AKE1737" s="515"/>
      <c r="AKF1737" s="515"/>
      <c r="AKG1737" s="515"/>
      <c r="AKH1737" s="515"/>
      <c r="AKI1737" s="515"/>
      <c r="AKJ1737" s="515"/>
      <c r="AKK1737" s="515"/>
      <c r="AKL1737" s="515"/>
      <c r="AKM1737" s="515"/>
      <c r="AKN1737" s="515"/>
      <c r="AKO1737" s="515"/>
      <c r="AKP1737" s="515"/>
      <c r="AKQ1737" s="515"/>
      <c r="AKR1737" s="515"/>
      <c r="AKS1737" s="515"/>
      <c r="AKT1737" s="515"/>
      <c r="AKU1737" s="515"/>
      <c r="AKV1737" s="515"/>
      <c r="AKW1737" s="515"/>
      <c r="AKX1737" s="515"/>
      <c r="AKY1737" s="515"/>
      <c r="AKZ1737" s="515"/>
      <c r="ALA1737" s="515"/>
      <c r="ALB1737" s="515"/>
      <c r="ALC1737" s="515"/>
      <c r="ALD1737" s="515"/>
      <c r="ALE1737" s="515"/>
      <c r="ALF1737" s="515"/>
      <c r="ALG1737" s="515"/>
      <c r="ALH1737" s="515"/>
      <c r="ALI1737" s="515"/>
      <c r="ALJ1737" s="515"/>
      <c r="ALK1737" s="515"/>
      <c r="ALL1737" s="515"/>
      <c r="ALM1737" s="515"/>
      <c r="ALN1737" s="515"/>
      <c r="ALO1737" s="515"/>
      <c r="ALP1737" s="515"/>
      <c r="ALQ1737" s="515"/>
      <c r="ALR1737" s="515"/>
      <c r="ALS1737" s="515"/>
      <c r="ALT1737" s="515"/>
      <c r="ALU1737" s="515"/>
      <c r="ALV1737" s="515"/>
      <c r="ALW1737" s="515"/>
      <c r="ALX1737" s="515"/>
      <c r="ALY1737" s="515"/>
      <c r="ALZ1737" s="515"/>
      <c r="AMA1737" s="515"/>
      <c r="AMB1737" s="515"/>
      <c r="AMC1737" s="515"/>
      <c r="AMD1737" s="515"/>
      <c r="AME1737" s="515"/>
      <c r="AMF1737" s="515"/>
      <c r="AMG1737" s="515"/>
      <c r="AMH1737" s="515"/>
      <c r="AMI1737" s="515"/>
      <c r="AMJ1737" s="515"/>
      <c r="AMK1737" s="515"/>
      <c r="AML1737" s="515"/>
      <c r="AMM1737" s="515"/>
      <c r="AMN1737" s="515"/>
      <c r="AMO1737" s="515"/>
      <c r="AMP1737" s="515"/>
      <c r="AMQ1737" s="515"/>
      <c r="AMR1737" s="515"/>
      <c r="AMS1737" s="515"/>
      <c r="AMT1737" s="515"/>
      <c r="AMU1737" s="515"/>
      <c r="AMV1737" s="515"/>
      <c r="AMW1737" s="515"/>
      <c r="AMX1737" s="515"/>
      <c r="AMY1737" s="515"/>
      <c r="AMZ1737" s="515"/>
      <c r="ANA1737" s="515"/>
      <c r="ANB1737" s="515"/>
      <c r="ANC1737" s="515"/>
      <c r="AND1737" s="515"/>
      <c r="ANE1737" s="515"/>
      <c r="ANF1737" s="515"/>
      <c r="ANG1737" s="515"/>
      <c r="ANH1737" s="515"/>
      <c r="ANI1737" s="515"/>
      <c r="ANJ1737" s="515"/>
      <c r="ANK1737" s="515"/>
      <c r="ANL1737" s="515"/>
      <c r="ANM1737" s="515"/>
      <c r="ANN1737" s="515"/>
      <c r="ANO1737" s="515"/>
      <c r="ANP1737" s="515"/>
      <c r="ANQ1737" s="515"/>
      <c r="ANR1737" s="515"/>
      <c r="ANS1737" s="515"/>
      <c r="ANT1737" s="515"/>
      <c r="ANU1737" s="515"/>
      <c r="ANV1737" s="515"/>
      <c r="ANW1737" s="515"/>
      <c r="ANX1737" s="515"/>
      <c r="ANY1737" s="515"/>
      <c r="ANZ1737" s="515"/>
      <c r="AOA1737" s="515"/>
      <c r="AOB1737" s="515"/>
      <c r="AOC1737" s="515"/>
      <c r="AOD1737" s="515"/>
      <c r="AOE1737" s="515"/>
      <c r="AOF1737" s="515"/>
      <c r="AOG1737" s="515"/>
      <c r="AOH1737" s="515"/>
      <c r="AOI1737" s="515"/>
      <c r="AOJ1737" s="515"/>
      <c r="AOK1737" s="515"/>
      <c r="AOL1737" s="515"/>
      <c r="AOM1737" s="515"/>
      <c r="AON1737" s="515"/>
      <c r="AOO1737" s="515"/>
      <c r="AOP1737" s="515"/>
      <c r="AOQ1737" s="515"/>
      <c r="AOR1737" s="515"/>
      <c r="AOS1737" s="515"/>
      <c r="AOT1737" s="515"/>
      <c r="AOU1737" s="515"/>
      <c r="AOV1737" s="515"/>
      <c r="AOW1737" s="515"/>
      <c r="AOX1737" s="515"/>
      <c r="AOY1737" s="515"/>
      <c r="AOZ1737" s="515"/>
      <c r="APA1737" s="515"/>
      <c r="APB1737" s="515"/>
      <c r="APC1737" s="515"/>
      <c r="APD1737" s="515"/>
      <c r="APE1737" s="515"/>
      <c r="APF1737" s="515"/>
      <c r="APG1737" s="515"/>
      <c r="APH1737" s="515"/>
      <c r="API1737" s="515"/>
      <c r="APJ1737" s="515"/>
      <c r="APK1737" s="515"/>
      <c r="APL1737" s="515"/>
      <c r="APM1737" s="515"/>
      <c r="APN1737" s="515"/>
      <c r="APO1737" s="515"/>
      <c r="APP1737" s="515"/>
      <c r="APQ1737" s="515"/>
      <c r="APR1737" s="515"/>
      <c r="APS1737" s="515"/>
      <c r="APT1737" s="515"/>
      <c r="APU1737" s="515"/>
      <c r="APV1737" s="515"/>
      <c r="APW1737" s="515"/>
      <c r="APX1737" s="515"/>
      <c r="APY1737" s="515"/>
      <c r="APZ1737" s="515"/>
      <c r="AQA1737" s="515"/>
      <c r="AQB1737" s="515"/>
      <c r="AQC1737" s="515"/>
      <c r="AQD1737" s="515"/>
      <c r="AQE1737" s="515"/>
      <c r="AQF1737" s="515"/>
      <c r="AQG1737" s="515"/>
      <c r="AQH1737" s="515"/>
      <c r="AQI1737" s="515"/>
      <c r="AQJ1737" s="515"/>
      <c r="AQK1737" s="515"/>
      <c r="AQL1737" s="515"/>
      <c r="AQM1737" s="515"/>
      <c r="AQN1737" s="515"/>
      <c r="AQO1737" s="515"/>
      <c r="AQP1737" s="515"/>
      <c r="AQQ1737" s="515"/>
      <c r="AQR1737" s="515"/>
      <c r="AQS1737" s="515"/>
      <c r="AQT1737" s="515"/>
      <c r="AQU1737" s="515"/>
      <c r="AQV1737" s="515"/>
      <c r="AQW1737" s="515"/>
      <c r="AQX1737" s="515"/>
      <c r="AQY1737" s="515"/>
      <c r="AQZ1737" s="515"/>
      <c r="ARA1737" s="515"/>
      <c r="ARB1737" s="515"/>
      <c r="ARC1737" s="515"/>
      <c r="ARD1737" s="515"/>
      <c r="ARE1737" s="515"/>
      <c r="ARF1737" s="515"/>
      <c r="ARG1737" s="515"/>
      <c r="ARH1737" s="515"/>
      <c r="ARI1737" s="515"/>
      <c r="ARJ1737" s="515"/>
      <c r="ARK1737" s="515"/>
      <c r="ARL1737" s="515"/>
      <c r="ARM1737" s="515"/>
      <c r="ARN1737" s="515"/>
      <c r="ARO1737" s="515"/>
      <c r="ARP1737" s="515"/>
      <c r="ARQ1737" s="515"/>
      <c r="ARR1737" s="515"/>
      <c r="ARS1737" s="515"/>
      <c r="ART1737" s="515"/>
      <c r="ARU1737" s="515"/>
      <c r="ARV1737" s="515"/>
      <c r="ARW1737" s="515"/>
      <c r="ARX1737" s="515"/>
      <c r="ARY1737" s="515"/>
      <c r="ARZ1737" s="515"/>
      <c r="ASA1737" s="515"/>
      <c r="ASB1737" s="515"/>
      <c r="ASC1737" s="515"/>
      <c r="ASD1737" s="515"/>
      <c r="ASE1737" s="515"/>
      <c r="ASF1737" s="515"/>
      <c r="ASG1737" s="515"/>
      <c r="ASH1737" s="515"/>
      <c r="ASI1737" s="515"/>
      <c r="ASJ1737" s="515"/>
      <c r="ASK1737" s="515"/>
      <c r="ASL1737" s="515"/>
      <c r="ASM1737" s="515"/>
      <c r="ASN1737" s="515"/>
      <c r="ASO1737" s="515"/>
      <c r="ASP1737" s="515"/>
      <c r="ASQ1737" s="515"/>
      <c r="ASR1737" s="515"/>
      <c r="ASS1737" s="515"/>
      <c r="AST1737" s="515"/>
      <c r="ASU1737" s="515"/>
      <c r="ASV1737" s="515"/>
      <c r="ASW1737" s="515"/>
      <c r="ASX1737" s="515"/>
      <c r="ASY1737" s="515"/>
      <c r="ASZ1737" s="515"/>
      <c r="ATA1737" s="515"/>
      <c r="ATB1737" s="515"/>
      <c r="ATC1737" s="515"/>
      <c r="ATD1737" s="515"/>
      <c r="ATE1737" s="515"/>
      <c r="ATF1737" s="515"/>
      <c r="ATG1737" s="515"/>
      <c r="ATH1737" s="515"/>
      <c r="ATI1737" s="515"/>
      <c r="ATJ1737" s="515"/>
      <c r="ATK1737" s="515"/>
      <c r="ATL1737" s="515"/>
      <c r="ATM1737" s="515"/>
      <c r="ATN1737" s="515"/>
      <c r="ATO1737" s="515"/>
      <c r="ATP1737" s="515"/>
      <c r="ATQ1737" s="515"/>
      <c r="ATR1737" s="515"/>
      <c r="ATS1737" s="515"/>
      <c r="ATT1737" s="515"/>
      <c r="ATU1737" s="515"/>
      <c r="ATV1737" s="515"/>
      <c r="ATW1737" s="515"/>
      <c r="ATX1737" s="515"/>
      <c r="ATY1737" s="515"/>
      <c r="ATZ1737" s="515"/>
      <c r="AUA1737" s="515"/>
      <c r="AUB1737" s="515"/>
      <c r="AUC1737" s="515"/>
      <c r="AUD1737" s="515"/>
      <c r="AUE1737" s="515"/>
      <c r="AUF1737" s="515"/>
      <c r="AUG1737" s="515"/>
      <c r="AUH1737" s="515"/>
      <c r="AUI1737" s="515"/>
      <c r="AUJ1737" s="515"/>
      <c r="AUK1737" s="515"/>
      <c r="AUL1737" s="515"/>
      <c r="AUM1737" s="515"/>
      <c r="AUN1737" s="515"/>
      <c r="AUO1737" s="515"/>
      <c r="AUP1737" s="515"/>
      <c r="AUQ1737" s="515"/>
      <c r="AUR1737" s="515"/>
      <c r="AUS1737" s="515"/>
      <c r="AUT1737" s="515"/>
      <c r="AUU1737" s="515"/>
      <c r="AUV1737" s="515"/>
      <c r="AUW1737" s="515"/>
      <c r="AUX1737" s="515"/>
      <c r="AUY1737" s="515"/>
      <c r="AUZ1737" s="515"/>
      <c r="AVA1737" s="515"/>
      <c r="AVB1737" s="515"/>
      <c r="AVC1737" s="515"/>
      <c r="AVD1737" s="515"/>
      <c r="AVE1737" s="515"/>
      <c r="AVF1737" s="515"/>
      <c r="AVG1737" s="515"/>
      <c r="AVH1737" s="515"/>
      <c r="AVI1737" s="515"/>
      <c r="AVJ1737" s="515"/>
      <c r="AVK1737" s="515"/>
      <c r="AVL1737" s="515"/>
      <c r="AVM1737" s="515"/>
      <c r="AVN1737" s="515"/>
      <c r="AVO1737" s="515"/>
      <c r="AVP1737" s="515"/>
      <c r="AVQ1737" s="515"/>
      <c r="AVR1737" s="515"/>
      <c r="AVS1737" s="515"/>
      <c r="AVT1737" s="515"/>
      <c r="AVU1737" s="515"/>
      <c r="AVV1737" s="515"/>
      <c r="AVW1737" s="515"/>
      <c r="AVX1737" s="515"/>
      <c r="AVY1737" s="515"/>
      <c r="AVZ1737" s="515"/>
      <c r="AWA1737" s="515"/>
      <c r="AWB1737" s="515"/>
      <c r="AWC1737" s="515"/>
      <c r="AWD1737" s="515"/>
      <c r="AWE1737" s="515"/>
      <c r="AWF1737" s="515"/>
      <c r="AWG1737" s="515"/>
      <c r="AWH1737" s="515"/>
      <c r="AWI1737" s="515"/>
      <c r="AWJ1737" s="515"/>
      <c r="AWK1737" s="515"/>
      <c r="AWL1737" s="515"/>
      <c r="AWM1737" s="515"/>
      <c r="AWN1737" s="515"/>
      <c r="AWO1737" s="515"/>
      <c r="AWP1737" s="515"/>
      <c r="AWQ1737" s="515"/>
      <c r="AWR1737" s="515"/>
      <c r="AWS1737" s="515"/>
      <c r="AWT1737" s="515"/>
      <c r="AWU1737" s="515"/>
      <c r="AWV1737" s="515"/>
      <c r="AWW1737" s="515"/>
      <c r="AWX1737" s="515"/>
      <c r="AWY1737" s="515"/>
      <c r="AWZ1737" s="515"/>
      <c r="AXA1737" s="515"/>
      <c r="AXB1737" s="515"/>
      <c r="AXC1737" s="515"/>
      <c r="AXD1737" s="515"/>
      <c r="AXE1737" s="515"/>
      <c r="AXF1737" s="515"/>
      <c r="AXG1737" s="515"/>
      <c r="AXH1737" s="515"/>
      <c r="AXI1737" s="515"/>
      <c r="AXJ1737" s="515"/>
      <c r="AXK1737" s="515"/>
      <c r="AXL1737" s="515"/>
      <c r="AXM1737" s="515"/>
      <c r="AXN1737" s="515"/>
      <c r="AXO1737" s="515"/>
      <c r="AXP1737" s="515"/>
      <c r="AXQ1737" s="515"/>
      <c r="AXR1737" s="515"/>
      <c r="AXS1737" s="515"/>
      <c r="AXT1737" s="515"/>
      <c r="AXU1737" s="515"/>
      <c r="AXV1737" s="515"/>
      <c r="AXW1737" s="515"/>
      <c r="AXX1737" s="515"/>
      <c r="AXY1737" s="515"/>
      <c r="AXZ1737" s="515"/>
      <c r="AYA1737" s="515"/>
      <c r="AYB1737" s="515"/>
      <c r="AYC1737" s="515"/>
      <c r="AYD1737" s="515"/>
      <c r="AYE1737" s="515"/>
      <c r="AYF1737" s="515"/>
      <c r="AYG1737" s="515"/>
      <c r="AYH1737" s="515"/>
      <c r="AYI1737" s="515"/>
      <c r="AYJ1737" s="515"/>
      <c r="AYK1737" s="515"/>
      <c r="AYL1737" s="515"/>
      <c r="AYM1737" s="515"/>
      <c r="AYN1737" s="515"/>
      <c r="AYO1737" s="515"/>
      <c r="AYP1737" s="515"/>
      <c r="AYQ1737" s="515"/>
      <c r="AYR1737" s="515"/>
      <c r="AYS1737" s="515"/>
      <c r="AYT1737" s="515"/>
      <c r="AYU1737" s="515"/>
      <c r="AYV1737" s="515"/>
      <c r="AYW1737" s="515"/>
      <c r="AYX1737" s="515"/>
      <c r="AYY1737" s="515"/>
      <c r="AYZ1737" s="515"/>
      <c r="AZA1737" s="515"/>
      <c r="AZB1737" s="515"/>
      <c r="AZC1737" s="515"/>
      <c r="AZD1737" s="515"/>
      <c r="AZE1737" s="515"/>
      <c r="AZF1737" s="515"/>
      <c r="AZG1737" s="515"/>
      <c r="AZH1737" s="515"/>
      <c r="AZI1737" s="515"/>
      <c r="AZJ1737" s="515"/>
      <c r="AZK1737" s="515"/>
      <c r="AZL1737" s="515"/>
      <c r="AZM1737" s="515"/>
      <c r="AZN1737" s="515"/>
      <c r="AZO1737" s="515"/>
      <c r="AZP1737" s="515"/>
      <c r="AZQ1737" s="515"/>
      <c r="AZR1737" s="515"/>
      <c r="AZS1737" s="515"/>
      <c r="AZT1737" s="515"/>
      <c r="AZU1737" s="515"/>
      <c r="AZV1737" s="515"/>
      <c r="AZW1737" s="515"/>
      <c r="AZX1737" s="515"/>
      <c r="AZY1737" s="515"/>
      <c r="AZZ1737" s="515"/>
      <c r="BAA1737" s="515"/>
      <c r="BAB1737" s="515"/>
      <c r="BAC1737" s="515"/>
      <c r="BAD1737" s="515"/>
      <c r="BAE1737" s="515"/>
      <c r="BAF1737" s="515"/>
      <c r="BAG1737" s="515"/>
      <c r="BAH1737" s="515"/>
      <c r="BAI1737" s="515"/>
      <c r="BAJ1737" s="515"/>
      <c r="BAK1737" s="515"/>
      <c r="BAL1737" s="515"/>
      <c r="BAM1737" s="515"/>
      <c r="BAN1737" s="515"/>
      <c r="BAO1737" s="515"/>
      <c r="BAP1737" s="515"/>
      <c r="BAQ1737" s="515"/>
      <c r="BAR1737" s="515"/>
      <c r="BAS1737" s="515"/>
      <c r="BAT1737" s="515"/>
      <c r="BAU1737" s="515"/>
      <c r="BAV1737" s="515"/>
      <c r="BAW1737" s="515"/>
      <c r="BAX1737" s="515"/>
      <c r="BAY1737" s="515"/>
      <c r="BAZ1737" s="515"/>
      <c r="BBA1737" s="515"/>
      <c r="BBB1737" s="515"/>
      <c r="BBC1737" s="515"/>
      <c r="BBD1737" s="515"/>
      <c r="BBE1737" s="515"/>
      <c r="BBF1737" s="515"/>
      <c r="BBG1737" s="515"/>
      <c r="BBH1737" s="515"/>
      <c r="BBI1737" s="515"/>
      <c r="BBJ1737" s="515"/>
      <c r="BBK1737" s="515"/>
      <c r="BBL1737" s="515"/>
      <c r="BBM1737" s="515"/>
      <c r="BBN1737" s="515"/>
      <c r="BBO1737" s="515"/>
      <c r="BBP1737" s="515"/>
      <c r="BBQ1737" s="515"/>
      <c r="BBR1737" s="515"/>
      <c r="BBS1737" s="515"/>
      <c r="BBT1737" s="515"/>
      <c r="BBU1737" s="515"/>
      <c r="BBV1737" s="515"/>
      <c r="BBW1737" s="515"/>
      <c r="BBX1737" s="515"/>
      <c r="BBY1737" s="515"/>
      <c r="BBZ1737" s="515"/>
      <c r="BCA1737" s="515"/>
      <c r="BCB1737" s="515"/>
      <c r="BCC1737" s="515"/>
      <c r="BCD1737" s="515"/>
      <c r="BCE1737" s="515"/>
      <c r="BCF1737" s="515"/>
      <c r="BCG1737" s="515"/>
      <c r="BCH1737" s="515"/>
      <c r="BCI1737" s="515"/>
      <c r="BCJ1737" s="515"/>
      <c r="BCK1737" s="515"/>
      <c r="BCL1737" s="515"/>
      <c r="BCM1737" s="515"/>
      <c r="BCN1737" s="515"/>
      <c r="BCO1737" s="515"/>
      <c r="BCP1737" s="515"/>
      <c r="BCQ1737" s="515"/>
      <c r="BCR1737" s="515"/>
      <c r="BCS1737" s="515"/>
      <c r="BCT1737" s="515"/>
      <c r="BCU1737" s="515"/>
      <c r="BCV1737" s="515"/>
      <c r="BCW1737" s="515"/>
      <c r="BCX1737" s="515"/>
      <c r="BCY1737" s="515"/>
      <c r="BCZ1737" s="515"/>
      <c r="BDA1737" s="515"/>
      <c r="BDB1737" s="515"/>
      <c r="BDC1737" s="515"/>
      <c r="BDD1737" s="515"/>
      <c r="BDE1737" s="515"/>
      <c r="BDF1737" s="515"/>
      <c r="BDG1737" s="515"/>
      <c r="BDH1737" s="515"/>
      <c r="BDI1737" s="515"/>
      <c r="BDJ1737" s="515"/>
      <c r="BDK1737" s="515"/>
      <c r="BDL1737" s="515"/>
      <c r="BDM1737" s="515"/>
      <c r="BDN1737" s="515"/>
      <c r="BDO1737" s="515"/>
      <c r="BDP1737" s="515"/>
      <c r="BDQ1737" s="515"/>
      <c r="BDR1737" s="515"/>
      <c r="BDS1737" s="515"/>
      <c r="BDT1737" s="515"/>
      <c r="BDU1737" s="515"/>
      <c r="BDV1737" s="515"/>
      <c r="BDW1737" s="515"/>
      <c r="BDX1737" s="515"/>
      <c r="BDY1737" s="515"/>
      <c r="BDZ1737" s="515"/>
      <c r="BEA1737" s="515"/>
      <c r="BEB1737" s="515"/>
      <c r="BEC1737" s="515"/>
      <c r="BED1737" s="515"/>
      <c r="BEE1737" s="515"/>
      <c r="BEF1737" s="515"/>
      <c r="BEG1737" s="515"/>
      <c r="BEH1737" s="515"/>
      <c r="BEI1737" s="515"/>
      <c r="BEJ1737" s="515"/>
      <c r="BEK1737" s="515"/>
      <c r="BEL1737" s="515"/>
      <c r="BEM1737" s="515"/>
      <c r="BEN1737" s="515"/>
      <c r="BEO1737" s="515"/>
      <c r="BEP1737" s="515"/>
      <c r="BEQ1737" s="515"/>
      <c r="BER1737" s="515"/>
      <c r="BES1737" s="515"/>
      <c r="BET1737" s="515"/>
      <c r="BEU1737" s="515"/>
      <c r="BEV1737" s="515"/>
      <c r="BEW1737" s="515"/>
      <c r="BEX1737" s="515"/>
      <c r="BEY1737" s="515"/>
      <c r="BEZ1737" s="515"/>
      <c r="BFA1737" s="515"/>
      <c r="BFB1737" s="515"/>
      <c r="BFC1737" s="515"/>
      <c r="BFD1737" s="515"/>
      <c r="BFE1737" s="515"/>
      <c r="BFF1737" s="515"/>
      <c r="BFG1737" s="515"/>
      <c r="BFH1737" s="515"/>
      <c r="BFI1737" s="515"/>
      <c r="BFJ1737" s="515"/>
      <c r="BFK1737" s="515"/>
      <c r="BFL1737" s="515"/>
      <c r="BFM1737" s="515"/>
      <c r="BFN1737" s="515"/>
      <c r="BFO1737" s="515"/>
      <c r="BFP1737" s="515"/>
      <c r="BFQ1737" s="515"/>
      <c r="BFR1737" s="515"/>
      <c r="BFS1737" s="515"/>
      <c r="BFT1737" s="515"/>
      <c r="BFU1737" s="515"/>
      <c r="BFV1737" s="515"/>
      <c r="BFW1737" s="515"/>
      <c r="BFX1737" s="515"/>
      <c r="BFY1737" s="515"/>
      <c r="BFZ1737" s="515"/>
      <c r="BGA1737" s="515"/>
      <c r="BGB1737" s="515"/>
      <c r="BGC1737" s="515"/>
      <c r="BGD1737" s="515"/>
      <c r="BGE1737" s="515"/>
      <c r="BGF1737" s="515"/>
      <c r="BGG1737" s="515"/>
      <c r="BGH1737" s="515"/>
      <c r="BGI1737" s="515"/>
      <c r="BGJ1737" s="515"/>
      <c r="BGK1737" s="515"/>
      <c r="BGL1737" s="515"/>
      <c r="BGM1737" s="515"/>
      <c r="BGN1737" s="515"/>
      <c r="BGO1737" s="515"/>
      <c r="BGP1737" s="515"/>
      <c r="BGQ1737" s="515"/>
      <c r="BGR1737" s="515"/>
      <c r="BGS1737" s="515"/>
      <c r="BGT1737" s="515"/>
      <c r="BGU1737" s="515"/>
      <c r="BGV1737" s="515"/>
      <c r="BGW1737" s="515"/>
      <c r="BGX1737" s="515"/>
      <c r="BGY1737" s="515"/>
      <c r="BGZ1737" s="515"/>
      <c r="BHA1737" s="515"/>
      <c r="BHB1737" s="515"/>
      <c r="BHC1737" s="515"/>
      <c r="BHD1737" s="515"/>
      <c r="BHE1737" s="515"/>
      <c r="BHF1737" s="515"/>
      <c r="BHG1737" s="515"/>
      <c r="BHH1737" s="515"/>
      <c r="BHI1737" s="515"/>
      <c r="BHJ1737" s="515"/>
      <c r="BHK1737" s="515"/>
      <c r="BHL1737" s="515"/>
      <c r="BHM1737" s="515"/>
      <c r="BHN1737" s="515"/>
      <c r="BHO1737" s="515"/>
      <c r="BHP1737" s="515"/>
      <c r="BHQ1737" s="515"/>
      <c r="BHR1737" s="515"/>
      <c r="BHS1737" s="515"/>
      <c r="BHT1737" s="515"/>
      <c r="BHU1737" s="515"/>
      <c r="BHV1737" s="515"/>
      <c r="BHW1737" s="515"/>
      <c r="BHX1737" s="515"/>
      <c r="BHY1737" s="515"/>
      <c r="BHZ1737" s="515"/>
      <c r="BIA1737" s="515"/>
      <c r="BIB1737" s="515"/>
      <c r="BIC1737" s="515"/>
      <c r="BID1737" s="515"/>
      <c r="BIE1737" s="515"/>
      <c r="BIF1737" s="515"/>
      <c r="BIG1737" s="515"/>
      <c r="BIH1737" s="515"/>
      <c r="BII1737" s="515"/>
      <c r="BIJ1737" s="515"/>
      <c r="BIK1737" s="515"/>
      <c r="BIL1737" s="515"/>
      <c r="BIM1737" s="515"/>
      <c r="BIN1737" s="515"/>
      <c r="BIO1737" s="515"/>
      <c r="BIP1737" s="515"/>
      <c r="BIQ1737" s="515"/>
      <c r="BIR1737" s="515"/>
      <c r="BIS1737" s="515"/>
      <c r="BIT1737" s="515"/>
      <c r="BIU1737" s="515"/>
      <c r="BIV1737" s="515"/>
      <c r="BIW1737" s="515"/>
      <c r="BIX1737" s="515"/>
      <c r="BIY1737" s="515"/>
      <c r="BIZ1737" s="515"/>
      <c r="BJA1737" s="515"/>
      <c r="BJB1737" s="515"/>
      <c r="BJC1737" s="515"/>
      <c r="BJD1737" s="515"/>
      <c r="BJE1737" s="515"/>
      <c r="BJF1737" s="515"/>
      <c r="BJG1737" s="515"/>
      <c r="BJH1737" s="515"/>
      <c r="BJI1737" s="515"/>
      <c r="BJJ1737" s="515"/>
      <c r="BJK1737" s="515"/>
      <c r="BJL1737" s="515"/>
      <c r="BJM1737" s="515"/>
      <c r="BJN1737" s="515"/>
      <c r="BJO1737" s="515"/>
      <c r="BJP1737" s="515"/>
      <c r="BJQ1737" s="515"/>
      <c r="BJR1737" s="515"/>
      <c r="BJS1737" s="515"/>
      <c r="BJT1737" s="515"/>
      <c r="BJU1737" s="515"/>
      <c r="BJV1737" s="515"/>
      <c r="BJW1737" s="515"/>
      <c r="BJX1737" s="515"/>
      <c r="BJY1737" s="515"/>
      <c r="BJZ1737" s="515"/>
      <c r="BKA1737" s="515"/>
      <c r="BKB1737" s="515"/>
      <c r="BKC1737" s="515"/>
      <c r="BKD1737" s="515"/>
      <c r="BKE1737" s="515"/>
      <c r="BKF1737" s="515"/>
      <c r="BKG1737" s="515"/>
      <c r="BKH1737" s="515"/>
      <c r="BKI1737" s="515"/>
      <c r="BKJ1737" s="515"/>
      <c r="BKK1737" s="515"/>
      <c r="BKL1737" s="515"/>
      <c r="BKM1737" s="515"/>
      <c r="BKN1737" s="515"/>
      <c r="BKO1737" s="515"/>
      <c r="BKP1737" s="515"/>
      <c r="BKQ1737" s="515"/>
      <c r="BKR1737" s="515"/>
      <c r="BKS1737" s="515"/>
      <c r="BKT1737" s="515"/>
      <c r="BKU1737" s="515"/>
      <c r="BKV1737" s="515"/>
      <c r="BKW1737" s="515"/>
      <c r="BKX1737" s="515"/>
      <c r="BKY1737" s="515"/>
      <c r="BKZ1737" s="515"/>
      <c r="BLA1737" s="515"/>
      <c r="BLB1737" s="515"/>
      <c r="BLC1737" s="515"/>
      <c r="BLD1737" s="515"/>
      <c r="BLE1737" s="515"/>
      <c r="BLF1737" s="515"/>
      <c r="BLG1737" s="515"/>
      <c r="BLH1737" s="515"/>
      <c r="BLI1737" s="515"/>
      <c r="BLJ1737" s="515"/>
      <c r="BLK1737" s="515"/>
      <c r="BLL1737" s="515"/>
      <c r="BLM1737" s="515"/>
      <c r="BLN1737" s="515"/>
      <c r="BLO1737" s="515"/>
      <c r="BLP1737" s="515"/>
      <c r="BLQ1737" s="515"/>
      <c r="BLR1737" s="515"/>
      <c r="BLS1737" s="515"/>
      <c r="BLT1737" s="515"/>
      <c r="BLU1737" s="515"/>
      <c r="BLV1737" s="515"/>
      <c r="BLW1737" s="515"/>
      <c r="BLX1737" s="515"/>
      <c r="BLY1737" s="515"/>
      <c r="BLZ1737" s="515"/>
      <c r="BMA1737" s="515"/>
      <c r="BMB1737" s="515"/>
      <c r="BMC1737" s="515"/>
      <c r="BMD1737" s="515"/>
      <c r="BME1737" s="515"/>
      <c r="BMF1737" s="515"/>
      <c r="BMG1737" s="515"/>
      <c r="BMH1737" s="515"/>
      <c r="BMI1737" s="515"/>
      <c r="BMJ1737" s="515"/>
      <c r="BMK1737" s="515"/>
      <c r="BML1737" s="515"/>
      <c r="BMM1737" s="515"/>
      <c r="BMN1737" s="515"/>
      <c r="BMO1737" s="515"/>
      <c r="BMP1737" s="515"/>
      <c r="BMQ1737" s="515"/>
      <c r="BMR1737" s="515"/>
      <c r="BMS1737" s="515"/>
      <c r="BMT1737" s="515"/>
      <c r="BMU1737" s="515"/>
      <c r="BMV1737" s="515"/>
      <c r="BMW1737" s="515"/>
      <c r="BMX1737" s="515"/>
      <c r="BMY1737" s="515"/>
      <c r="BMZ1737" s="515"/>
      <c r="BNA1737" s="515"/>
      <c r="BNB1737" s="515"/>
      <c r="BNC1737" s="515"/>
      <c r="BND1737" s="515"/>
      <c r="BNE1737" s="515"/>
      <c r="BNF1737" s="515"/>
      <c r="BNG1737" s="515"/>
      <c r="BNH1737" s="515"/>
      <c r="BNI1737" s="515"/>
      <c r="BNJ1737" s="515"/>
      <c r="BNK1737" s="515"/>
      <c r="BNL1737" s="515"/>
      <c r="BNM1737" s="515"/>
      <c r="BNN1737" s="515"/>
      <c r="BNO1737" s="515"/>
      <c r="BNP1737" s="515"/>
      <c r="BNQ1737" s="515"/>
      <c r="BNR1737" s="515"/>
      <c r="BNS1737" s="515"/>
      <c r="BNT1737" s="515"/>
      <c r="BNU1737" s="515"/>
      <c r="BNV1737" s="515"/>
      <c r="BNW1737" s="515"/>
      <c r="BNX1737" s="515"/>
      <c r="BNY1737" s="515"/>
      <c r="BNZ1737" s="515"/>
      <c r="BOA1737" s="515"/>
      <c r="BOB1737" s="515"/>
      <c r="BOC1737" s="515"/>
      <c r="BOD1737" s="515"/>
      <c r="BOE1737" s="515"/>
      <c r="BOF1737" s="515"/>
      <c r="BOG1737" s="515"/>
      <c r="BOH1737" s="515"/>
      <c r="BOI1737" s="515"/>
      <c r="BOJ1737" s="515"/>
      <c r="BOK1737" s="515"/>
      <c r="BOL1737" s="515"/>
      <c r="BOM1737" s="515"/>
      <c r="BON1737" s="515"/>
      <c r="BOO1737" s="515"/>
      <c r="BOP1737" s="515"/>
      <c r="BOQ1737" s="515"/>
      <c r="BOR1737" s="515"/>
      <c r="BOS1737" s="515"/>
      <c r="BOT1737" s="515"/>
      <c r="BOU1737" s="515"/>
      <c r="BOV1737" s="515"/>
      <c r="BOW1737" s="515"/>
      <c r="BOX1737" s="515"/>
      <c r="BOY1737" s="515"/>
      <c r="BOZ1737" s="515"/>
      <c r="BPA1737" s="515"/>
      <c r="BPB1737" s="515"/>
      <c r="BPC1737" s="515"/>
      <c r="BPD1737" s="515"/>
      <c r="BPE1737" s="515"/>
      <c r="BPF1737" s="515"/>
      <c r="BPG1737" s="515"/>
      <c r="BPH1737" s="515"/>
      <c r="BPI1737" s="515"/>
      <c r="BPJ1737" s="515"/>
      <c r="BPK1737" s="515"/>
      <c r="BPL1737" s="515"/>
      <c r="BPM1737" s="515"/>
      <c r="BPN1737" s="515"/>
      <c r="BPO1737" s="515"/>
      <c r="BPP1737" s="515"/>
      <c r="BPQ1737" s="515"/>
      <c r="BPR1737" s="515"/>
      <c r="BPS1737" s="515"/>
      <c r="BPT1737" s="515"/>
      <c r="BPU1737" s="515"/>
      <c r="BPV1737" s="515"/>
      <c r="BPW1737" s="515"/>
      <c r="BPX1737" s="515"/>
      <c r="BPY1737" s="515"/>
      <c r="BPZ1737" s="515"/>
      <c r="BQA1737" s="515"/>
      <c r="BQB1737" s="515"/>
      <c r="BQC1737" s="515"/>
      <c r="BQD1737" s="515"/>
      <c r="BQE1737" s="515"/>
      <c r="BQF1737" s="515"/>
      <c r="BQG1737" s="515"/>
      <c r="BQH1737" s="515"/>
      <c r="BQI1737" s="515"/>
      <c r="BQJ1737" s="515"/>
      <c r="BQK1737" s="515"/>
      <c r="BQL1737" s="515"/>
      <c r="BQM1737" s="515"/>
      <c r="BQN1737" s="515"/>
      <c r="BQO1737" s="515"/>
      <c r="BQP1737" s="515"/>
      <c r="BQQ1737" s="515"/>
      <c r="BQR1737" s="515"/>
      <c r="BQS1737" s="515"/>
      <c r="BQT1737" s="515"/>
      <c r="BQU1737" s="515"/>
      <c r="BQV1737" s="515"/>
      <c r="BQW1737" s="515"/>
      <c r="BQX1737" s="515"/>
      <c r="BQY1737" s="515"/>
      <c r="BQZ1737" s="515"/>
      <c r="BRA1737" s="515"/>
      <c r="BRB1737" s="515"/>
      <c r="BRC1737" s="515"/>
      <c r="BRD1737" s="515"/>
      <c r="BRE1737" s="515"/>
      <c r="BRF1737" s="515"/>
      <c r="BRG1737" s="515"/>
      <c r="BRH1737" s="515"/>
      <c r="BRI1737" s="515"/>
      <c r="BRJ1737" s="515"/>
      <c r="BRK1737" s="515"/>
      <c r="BRL1737" s="515"/>
      <c r="BRM1737" s="515"/>
      <c r="BRN1737" s="515"/>
      <c r="BRO1737" s="515"/>
      <c r="BRP1737" s="515"/>
      <c r="BRQ1737" s="515"/>
      <c r="BRR1737" s="515"/>
      <c r="BRS1737" s="515"/>
      <c r="BRT1737" s="515"/>
      <c r="BRU1737" s="515"/>
      <c r="BRV1737" s="515"/>
      <c r="BRW1737" s="515"/>
      <c r="BRX1737" s="515"/>
      <c r="BRY1737" s="515"/>
      <c r="BRZ1737" s="515"/>
      <c r="BSA1737" s="515"/>
      <c r="BSB1737" s="515"/>
      <c r="BSC1737" s="515"/>
      <c r="BSD1737" s="515"/>
      <c r="BSE1737" s="515"/>
      <c r="BSF1737" s="515"/>
      <c r="BSG1737" s="515"/>
      <c r="BSH1737" s="515"/>
      <c r="BSI1737" s="515"/>
      <c r="BSJ1737" s="515"/>
      <c r="BSK1737" s="515"/>
      <c r="BSL1737" s="515"/>
      <c r="BSM1737" s="515"/>
      <c r="BSN1737" s="515"/>
      <c r="BSO1737" s="515"/>
      <c r="BSP1737" s="515"/>
      <c r="BSQ1737" s="515"/>
      <c r="BSR1737" s="515"/>
      <c r="BSS1737" s="515"/>
      <c r="BST1737" s="515"/>
      <c r="BSU1737" s="515"/>
      <c r="BSV1737" s="515"/>
      <c r="BSW1737" s="515"/>
      <c r="BSX1737" s="515"/>
      <c r="BSY1737" s="515"/>
      <c r="BSZ1737" s="515"/>
      <c r="BTA1737" s="515"/>
      <c r="BTB1737" s="515"/>
      <c r="BTC1737" s="515"/>
      <c r="BTD1737" s="515"/>
      <c r="BTE1737" s="515"/>
      <c r="BTF1737" s="515"/>
      <c r="BTG1737" s="515"/>
      <c r="BTH1737" s="515"/>
      <c r="BTI1737" s="515"/>
      <c r="BTJ1737" s="515"/>
      <c r="BTK1737" s="515"/>
      <c r="BTL1737" s="515"/>
      <c r="BTM1737" s="515"/>
      <c r="BTN1737" s="515"/>
      <c r="BTO1737" s="515"/>
      <c r="BTP1737" s="515"/>
      <c r="BTQ1737" s="515"/>
      <c r="BTR1737" s="515"/>
      <c r="BTS1737" s="515"/>
      <c r="BTT1737" s="515"/>
      <c r="BTU1737" s="515"/>
      <c r="BTV1737" s="515"/>
      <c r="BTW1737" s="515"/>
      <c r="BTX1737" s="515"/>
      <c r="BTY1737" s="515"/>
      <c r="BTZ1737" s="515"/>
      <c r="BUA1737" s="515"/>
      <c r="BUB1737" s="515"/>
      <c r="BUC1737" s="515"/>
      <c r="BUD1737" s="515"/>
      <c r="BUE1737" s="515"/>
      <c r="BUF1737" s="515"/>
      <c r="BUG1737" s="515"/>
      <c r="BUH1737" s="515"/>
      <c r="BUI1737" s="515"/>
      <c r="BUJ1737" s="515"/>
      <c r="BUK1737" s="515"/>
      <c r="BUL1737" s="515"/>
      <c r="BUM1737" s="515"/>
      <c r="BUN1737" s="515"/>
      <c r="BUO1737" s="515"/>
      <c r="BUP1737" s="515"/>
      <c r="BUQ1737" s="515"/>
      <c r="BUR1737" s="515"/>
      <c r="BUS1737" s="515"/>
      <c r="BUT1737" s="515"/>
      <c r="BUU1737" s="515"/>
      <c r="BUV1737" s="515"/>
      <c r="BUW1737" s="515"/>
      <c r="BUX1737" s="515"/>
      <c r="BUY1737" s="515"/>
      <c r="BUZ1737" s="515"/>
      <c r="BVA1737" s="515"/>
      <c r="BVB1737" s="515"/>
      <c r="BVC1737" s="515"/>
      <c r="BVD1737" s="515"/>
      <c r="BVE1737" s="515"/>
      <c r="BVF1737" s="515"/>
      <c r="BVG1737" s="515"/>
      <c r="BVH1737" s="515"/>
      <c r="BVI1737" s="515"/>
      <c r="BVJ1737" s="515"/>
      <c r="BVK1737" s="515"/>
      <c r="BVL1737" s="515"/>
      <c r="BVM1737" s="515"/>
      <c r="BVN1737" s="515"/>
      <c r="BVO1737" s="515"/>
      <c r="BVP1737" s="515"/>
      <c r="BVQ1737" s="515"/>
      <c r="BVR1737" s="515"/>
      <c r="BVS1737" s="515"/>
      <c r="BVT1737" s="515"/>
      <c r="BVU1737" s="515"/>
      <c r="BVV1737" s="515"/>
      <c r="BVW1737" s="515"/>
      <c r="BVX1737" s="515"/>
      <c r="BVY1737" s="515"/>
      <c r="BVZ1737" s="515"/>
      <c r="BWA1737" s="515"/>
      <c r="BWB1737" s="515"/>
      <c r="BWC1737" s="515"/>
      <c r="BWD1737" s="515"/>
      <c r="BWE1737" s="515"/>
      <c r="BWF1737" s="515"/>
      <c r="BWG1737" s="515"/>
      <c r="BWH1737" s="515"/>
      <c r="BWI1737" s="515"/>
      <c r="BWJ1737" s="515"/>
      <c r="BWK1737" s="515"/>
      <c r="BWL1737" s="515"/>
      <c r="BWM1737" s="515"/>
      <c r="BWN1737" s="515"/>
      <c r="BWO1737" s="515"/>
      <c r="BWP1737" s="515"/>
      <c r="BWQ1737" s="515"/>
      <c r="BWR1737" s="515"/>
      <c r="BWS1737" s="515"/>
      <c r="BWT1737" s="515"/>
      <c r="BWU1737" s="515"/>
      <c r="BWV1737" s="515"/>
      <c r="BWW1737" s="515"/>
      <c r="BWX1737" s="515"/>
      <c r="BWY1737" s="515"/>
      <c r="BWZ1737" s="515"/>
      <c r="BXA1737" s="515"/>
      <c r="BXB1737" s="515"/>
      <c r="BXC1737" s="515"/>
      <c r="BXD1737" s="515"/>
      <c r="BXE1737" s="515"/>
      <c r="BXF1737" s="515"/>
      <c r="BXG1737" s="515"/>
      <c r="BXH1737" s="515"/>
      <c r="BXI1737" s="515"/>
      <c r="BXJ1737" s="515"/>
      <c r="BXK1737" s="515"/>
      <c r="BXL1737" s="515"/>
      <c r="BXM1737" s="515"/>
      <c r="BXN1737" s="515"/>
      <c r="BXO1737" s="515"/>
      <c r="BXP1737" s="515"/>
      <c r="BXQ1737" s="515"/>
      <c r="BXR1737" s="515"/>
      <c r="BXS1737" s="515"/>
      <c r="BXT1737" s="515"/>
      <c r="BXU1737" s="515"/>
      <c r="BXV1737" s="515"/>
      <c r="BXW1737" s="515"/>
      <c r="BXX1737" s="515"/>
      <c r="BXY1737" s="515"/>
      <c r="BXZ1737" s="515"/>
      <c r="BYA1737" s="515"/>
      <c r="BYB1737" s="515"/>
      <c r="BYC1737" s="515"/>
      <c r="BYD1737" s="515"/>
      <c r="BYE1737" s="515"/>
      <c r="BYF1737" s="515"/>
      <c r="BYG1737" s="515"/>
      <c r="BYH1737" s="515"/>
      <c r="BYI1737" s="515"/>
      <c r="BYJ1737" s="515"/>
      <c r="BYK1737" s="515"/>
      <c r="BYL1737" s="515"/>
      <c r="BYM1737" s="515"/>
      <c r="BYN1737" s="515"/>
      <c r="BYO1737" s="515"/>
      <c r="BYP1737" s="515"/>
      <c r="BYQ1737" s="515"/>
      <c r="BYR1737" s="515"/>
      <c r="BYS1737" s="515"/>
      <c r="BYT1737" s="515"/>
      <c r="BYU1737" s="515"/>
      <c r="BYV1737" s="515"/>
      <c r="BYW1737" s="515"/>
      <c r="BYX1737" s="515"/>
      <c r="BYY1737" s="515"/>
      <c r="BYZ1737" s="515"/>
      <c r="BZA1737" s="515"/>
      <c r="BZB1737" s="515"/>
      <c r="BZC1737" s="515"/>
      <c r="BZD1737" s="515"/>
      <c r="BZE1737" s="515"/>
      <c r="BZF1737" s="515"/>
      <c r="BZG1737" s="515"/>
      <c r="BZH1737" s="515"/>
      <c r="BZI1737" s="515"/>
      <c r="BZJ1737" s="515"/>
      <c r="BZK1737" s="515"/>
      <c r="BZL1737" s="515"/>
      <c r="BZM1737" s="515"/>
      <c r="BZN1737" s="515"/>
      <c r="BZO1737" s="515"/>
      <c r="BZP1737" s="515"/>
      <c r="BZQ1737" s="515"/>
      <c r="BZR1737" s="515"/>
      <c r="BZS1737" s="515"/>
      <c r="BZT1737" s="515"/>
      <c r="BZU1737" s="515"/>
      <c r="BZV1737" s="515"/>
      <c r="BZW1737" s="515"/>
      <c r="BZX1737" s="515"/>
      <c r="BZY1737" s="515"/>
      <c r="BZZ1737" s="515"/>
      <c r="CAA1737" s="515"/>
      <c r="CAB1737" s="515"/>
      <c r="CAC1737" s="515"/>
      <c r="CAD1737" s="515"/>
      <c r="CAE1737" s="515"/>
      <c r="CAF1737" s="515"/>
      <c r="CAG1737" s="515"/>
      <c r="CAH1737" s="515"/>
      <c r="CAI1737" s="515"/>
      <c r="CAJ1737" s="515"/>
      <c r="CAK1737" s="515"/>
      <c r="CAL1737" s="515"/>
      <c r="CAM1737" s="515"/>
      <c r="CAN1737" s="515"/>
      <c r="CAO1737" s="515"/>
      <c r="CAP1737" s="515"/>
      <c r="CAQ1737" s="515"/>
      <c r="CAR1737" s="515"/>
      <c r="CAS1737" s="515"/>
      <c r="CAT1737" s="515"/>
      <c r="CAU1737" s="515"/>
      <c r="CAV1737" s="515"/>
      <c r="CAW1737" s="515"/>
      <c r="CAX1737" s="515"/>
      <c r="CAY1737" s="515"/>
      <c r="CAZ1737" s="515"/>
      <c r="CBA1737" s="515"/>
      <c r="CBB1737" s="515"/>
      <c r="CBC1737" s="515"/>
      <c r="CBD1737" s="515"/>
      <c r="CBE1737" s="515"/>
      <c r="CBF1737" s="515"/>
      <c r="CBG1737" s="515"/>
      <c r="CBH1737" s="515"/>
      <c r="CBI1737" s="515"/>
      <c r="CBJ1737" s="515"/>
      <c r="CBK1737" s="515"/>
      <c r="CBL1737" s="515"/>
      <c r="CBM1737" s="515"/>
      <c r="CBN1737" s="515"/>
      <c r="CBO1737" s="515"/>
      <c r="CBP1737" s="515"/>
      <c r="CBQ1737" s="515"/>
      <c r="CBR1737" s="515"/>
      <c r="CBS1737" s="515"/>
      <c r="CBT1737" s="515"/>
      <c r="CBU1737" s="515"/>
      <c r="CBV1737" s="515"/>
      <c r="CBW1737" s="515"/>
      <c r="CBX1737" s="515"/>
      <c r="CBY1737" s="515"/>
      <c r="CBZ1737" s="515"/>
      <c r="CCA1737" s="515"/>
      <c r="CCB1737" s="515"/>
      <c r="CCC1737" s="515"/>
      <c r="CCD1737" s="515"/>
      <c r="CCE1737" s="515"/>
      <c r="CCF1737" s="515"/>
      <c r="CCG1737" s="515"/>
      <c r="CCH1737" s="515"/>
      <c r="CCI1737" s="515"/>
      <c r="CCJ1737" s="515"/>
      <c r="CCK1737" s="515"/>
      <c r="CCL1737" s="515"/>
      <c r="CCM1737" s="515"/>
      <c r="CCN1737" s="515"/>
      <c r="CCO1737" s="515"/>
      <c r="CCP1737" s="515"/>
      <c r="CCQ1737" s="515"/>
      <c r="CCR1737" s="515"/>
      <c r="CCS1737" s="515"/>
      <c r="CCT1737" s="515"/>
      <c r="CCU1737" s="515"/>
      <c r="CCV1737" s="515"/>
      <c r="CCW1737" s="515"/>
      <c r="CCX1737" s="515"/>
      <c r="CCY1737" s="515"/>
      <c r="CCZ1737" s="515"/>
      <c r="CDA1737" s="515"/>
      <c r="CDB1737" s="515"/>
      <c r="CDC1737" s="515"/>
      <c r="CDD1737" s="515"/>
      <c r="CDE1737" s="515"/>
      <c r="CDF1737" s="515"/>
      <c r="CDG1737" s="515"/>
      <c r="CDH1737" s="515"/>
      <c r="CDI1737" s="515"/>
      <c r="CDJ1737" s="515"/>
      <c r="CDK1737" s="515"/>
      <c r="CDL1737" s="515"/>
      <c r="CDM1737" s="515"/>
      <c r="CDN1737" s="515"/>
      <c r="CDO1737" s="515"/>
      <c r="CDP1737" s="515"/>
      <c r="CDQ1737" s="515"/>
      <c r="CDR1737" s="515"/>
      <c r="CDS1737" s="515"/>
      <c r="CDT1737" s="515"/>
      <c r="CDU1737" s="515"/>
      <c r="CDV1737" s="515"/>
      <c r="CDW1737" s="515"/>
      <c r="CDX1737" s="515"/>
      <c r="CDY1737" s="515"/>
      <c r="CDZ1737" s="515"/>
      <c r="CEA1737" s="515"/>
      <c r="CEB1737" s="515"/>
      <c r="CEC1737" s="515"/>
      <c r="CED1737" s="515"/>
      <c r="CEE1737" s="515"/>
      <c r="CEF1737" s="515"/>
      <c r="CEG1737" s="515"/>
      <c r="CEH1737" s="515"/>
      <c r="CEI1737" s="515"/>
      <c r="CEJ1737" s="515"/>
      <c r="CEK1737" s="515"/>
      <c r="CEL1737" s="515"/>
      <c r="CEM1737" s="515"/>
      <c r="CEN1737" s="515"/>
      <c r="CEO1737" s="515"/>
      <c r="CEP1737" s="515"/>
      <c r="CEQ1737" s="515"/>
      <c r="CER1737" s="515"/>
      <c r="CES1737" s="515"/>
      <c r="CET1737" s="515"/>
      <c r="CEU1737" s="515"/>
      <c r="CEV1737" s="515"/>
      <c r="CEW1737" s="515"/>
      <c r="CEX1737" s="515"/>
      <c r="CEY1737" s="515"/>
      <c r="CEZ1737" s="515"/>
      <c r="CFA1737" s="515"/>
      <c r="CFB1737" s="515"/>
      <c r="CFC1737" s="515"/>
      <c r="CFD1737" s="515"/>
      <c r="CFE1737" s="515"/>
      <c r="CFF1737" s="515"/>
      <c r="CFG1737" s="515"/>
      <c r="CFH1737" s="515"/>
      <c r="CFI1737" s="515"/>
      <c r="CFJ1737" s="515"/>
      <c r="CFK1737" s="515"/>
      <c r="CFL1737" s="515"/>
      <c r="CFM1737" s="515"/>
      <c r="CFN1737" s="515"/>
      <c r="CFO1737" s="515"/>
      <c r="CFP1737" s="515"/>
      <c r="CFQ1737" s="515"/>
      <c r="CFR1737" s="515"/>
      <c r="CFS1737" s="515"/>
      <c r="CFT1737" s="515"/>
      <c r="CFU1737" s="515"/>
      <c r="CFV1737" s="515"/>
      <c r="CFW1737" s="515"/>
      <c r="CFX1737" s="515"/>
      <c r="CFY1737" s="515"/>
      <c r="CFZ1737" s="515"/>
      <c r="CGA1737" s="515"/>
      <c r="CGB1737" s="515"/>
      <c r="CGC1737" s="515"/>
      <c r="CGD1737" s="515"/>
      <c r="CGE1737" s="515"/>
      <c r="CGF1737" s="515"/>
      <c r="CGG1737" s="515"/>
      <c r="CGH1737" s="515"/>
      <c r="CGI1737" s="515"/>
      <c r="CGJ1737" s="515"/>
      <c r="CGK1737" s="515"/>
      <c r="CGL1737" s="515"/>
      <c r="CGM1737" s="515"/>
      <c r="CGN1737" s="515"/>
      <c r="CGO1737" s="515"/>
      <c r="CGP1737" s="515"/>
      <c r="CGQ1737" s="515"/>
      <c r="CGR1737" s="515"/>
      <c r="CGS1737" s="515"/>
      <c r="CGT1737" s="515"/>
      <c r="CGU1737" s="515"/>
      <c r="CGV1737" s="515"/>
      <c r="CGW1737" s="515"/>
      <c r="CGX1737" s="515"/>
      <c r="CGY1737" s="515"/>
      <c r="CGZ1737" s="515"/>
      <c r="CHA1737" s="515"/>
      <c r="CHB1737" s="515"/>
      <c r="CHC1737" s="515"/>
      <c r="CHD1737" s="515"/>
      <c r="CHE1737" s="515"/>
      <c r="CHF1737" s="515"/>
      <c r="CHG1737" s="515"/>
      <c r="CHH1737" s="515"/>
      <c r="CHI1737" s="515"/>
      <c r="CHJ1737" s="515"/>
      <c r="CHK1737" s="515"/>
      <c r="CHL1737" s="515"/>
      <c r="CHM1737" s="515"/>
      <c r="CHN1737" s="515"/>
      <c r="CHO1737" s="515"/>
      <c r="CHP1737" s="515"/>
      <c r="CHQ1737" s="515"/>
      <c r="CHR1737" s="515"/>
      <c r="CHS1737" s="515"/>
      <c r="CHT1737" s="515"/>
      <c r="CHU1737" s="515"/>
      <c r="CHV1737" s="515"/>
      <c r="CHW1737" s="515"/>
      <c r="CHX1737" s="515"/>
      <c r="CHY1737" s="515"/>
      <c r="CHZ1737" s="515"/>
      <c r="CIA1737" s="515"/>
      <c r="CIB1737" s="515"/>
      <c r="CIC1737" s="515"/>
      <c r="CID1737" s="515"/>
      <c r="CIE1737" s="515"/>
      <c r="CIF1737" s="515"/>
      <c r="CIG1737" s="515"/>
      <c r="CIH1737" s="515"/>
      <c r="CII1737" s="515"/>
      <c r="CIJ1737" s="515"/>
      <c r="CIK1737" s="515"/>
      <c r="CIL1737" s="515"/>
      <c r="CIM1737" s="515"/>
      <c r="CIN1737" s="515"/>
      <c r="CIO1737" s="515"/>
      <c r="CIP1737" s="515"/>
      <c r="CIQ1737" s="515"/>
      <c r="CIR1737" s="515"/>
      <c r="CIS1737" s="515"/>
      <c r="CIT1737" s="515"/>
      <c r="CIU1737" s="515"/>
      <c r="CIV1737" s="515"/>
      <c r="CIW1737" s="515"/>
      <c r="CIX1737" s="515"/>
      <c r="CIY1737" s="515"/>
      <c r="CIZ1737" s="515"/>
      <c r="CJA1737" s="515"/>
      <c r="CJB1737" s="515"/>
      <c r="CJC1737" s="515"/>
      <c r="CJD1737" s="515"/>
      <c r="CJE1737" s="515"/>
      <c r="CJF1737" s="515"/>
      <c r="CJG1737" s="515"/>
      <c r="CJH1737" s="515"/>
      <c r="CJI1737" s="515"/>
      <c r="CJJ1737" s="515"/>
      <c r="CJK1737" s="515"/>
      <c r="CJL1737" s="515"/>
      <c r="CJM1737" s="515"/>
      <c r="CJN1737" s="515"/>
      <c r="CJO1737" s="515"/>
      <c r="CJP1737" s="515"/>
      <c r="CJQ1737" s="515"/>
      <c r="CJR1737" s="515"/>
      <c r="CJS1737" s="515"/>
      <c r="CJT1737" s="515"/>
      <c r="CJU1737" s="515"/>
      <c r="CJV1737" s="515"/>
      <c r="CJW1737" s="515"/>
      <c r="CJX1737" s="515"/>
      <c r="CJY1737" s="515"/>
      <c r="CJZ1737" s="515"/>
      <c r="CKA1737" s="515"/>
      <c r="CKB1737" s="515"/>
      <c r="CKC1737" s="515"/>
      <c r="CKD1737" s="515"/>
      <c r="CKE1737" s="515"/>
      <c r="CKF1737" s="515"/>
      <c r="CKG1737" s="515"/>
      <c r="CKH1737" s="515"/>
      <c r="CKI1737" s="515"/>
      <c r="CKJ1737" s="515"/>
      <c r="CKK1737" s="515"/>
      <c r="CKL1737" s="515"/>
      <c r="CKM1737" s="515"/>
      <c r="CKN1737" s="515"/>
      <c r="CKO1737" s="515"/>
      <c r="CKP1737" s="515"/>
      <c r="CKQ1737" s="515"/>
      <c r="CKR1737" s="515"/>
      <c r="CKS1737" s="515"/>
      <c r="CKT1737" s="515"/>
      <c r="CKU1737" s="515"/>
      <c r="CKV1737" s="515"/>
      <c r="CKW1737" s="515"/>
      <c r="CKX1737" s="515"/>
      <c r="CKY1737" s="515"/>
      <c r="CKZ1737" s="515"/>
      <c r="CLA1737" s="515"/>
      <c r="CLB1737" s="515"/>
      <c r="CLC1737" s="515"/>
      <c r="CLD1737" s="515"/>
      <c r="CLE1737" s="515"/>
      <c r="CLF1737" s="515"/>
      <c r="CLG1737" s="515"/>
      <c r="CLH1737" s="515"/>
      <c r="CLI1737" s="515"/>
      <c r="CLJ1737" s="515"/>
      <c r="CLK1737" s="515"/>
      <c r="CLL1737" s="515"/>
      <c r="CLM1737" s="515"/>
      <c r="CLN1737" s="515"/>
      <c r="CLO1737" s="515"/>
      <c r="CLP1737" s="515"/>
      <c r="CLQ1737" s="515"/>
      <c r="CLR1737" s="515"/>
      <c r="CLS1737" s="515"/>
      <c r="CLT1737" s="515"/>
      <c r="CLU1737" s="515"/>
      <c r="CLV1737" s="515"/>
      <c r="CLW1737" s="515"/>
      <c r="CLX1737" s="515"/>
      <c r="CLY1737" s="515"/>
      <c r="CLZ1737" s="515"/>
      <c r="CMA1737" s="515"/>
      <c r="CMB1737" s="515"/>
      <c r="CMC1737" s="515"/>
      <c r="CMD1737" s="515"/>
      <c r="CME1737" s="515"/>
      <c r="CMF1737" s="515"/>
      <c r="CMG1737" s="515"/>
      <c r="CMH1737" s="515"/>
      <c r="CMI1737" s="515"/>
      <c r="CMJ1737" s="515"/>
      <c r="CMK1737" s="515"/>
      <c r="CML1737" s="515"/>
      <c r="CMM1737" s="515"/>
      <c r="CMN1737" s="515"/>
      <c r="CMO1737" s="515"/>
      <c r="CMP1737" s="515"/>
      <c r="CMQ1737" s="515"/>
      <c r="CMR1737" s="515"/>
      <c r="CMS1737" s="515"/>
      <c r="CMT1737" s="515"/>
      <c r="CMU1737" s="515"/>
      <c r="CMV1737" s="515"/>
      <c r="CMW1737" s="515"/>
      <c r="CMX1737" s="515"/>
      <c r="CMY1737" s="515"/>
      <c r="CMZ1737" s="515"/>
      <c r="CNA1737" s="515"/>
      <c r="CNB1737" s="515"/>
      <c r="CNC1737" s="515"/>
      <c r="CND1737" s="515"/>
      <c r="CNE1737" s="515"/>
      <c r="CNF1737" s="515"/>
      <c r="CNG1737" s="515"/>
      <c r="CNH1737" s="515"/>
      <c r="CNI1737" s="515"/>
      <c r="CNJ1737" s="515"/>
      <c r="CNK1737" s="515"/>
      <c r="CNL1737" s="515"/>
      <c r="CNM1737" s="515"/>
      <c r="CNN1737" s="515"/>
      <c r="CNO1737" s="515"/>
      <c r="CNP1737" s="515"/>
      <c r="CNQ1737" s="515"/>
      <c r="CNR1737" s="515"/>
      <c r="CNS1737" s="515"/>
      <c r="CNT1737" s="515"/>
      <c r="CNU1737" s="515"/>
      <c r="CNV1737" s="515"/>
      <c r="CNW1737" s="515"/>
      <c r="CNX1737" s="515"/>
      <c r="CNY1737" s="515"/>
      <c r="CNZ1737" s="515"/>
      <c r="COA1737" s="515"/>
      <c r="COB1737" s="515"/>
      <c r="COC1737" s="515"/>
      <c r="COD1737" s="515"/>
      <c r="COE1737" s="515"/>
      <c r="COF1737" s="515"/>
      <c r="COG1737" s="515"/>
      <c r="COH1737" s="515"/>
      <c r="COI1737" s="515"/>
      <c r="COJ1737" s="515"/>
      <c r="COK1737" s="515"/>
      <c r="COL1737" s="515"/>
      <c r="COM1737" s="515"/>
      <c r="CON1737" s="515"/>
      <c r="COO1737" s="515"/>
      <c r="COP1737" s="515"/>
      <c r="COQ1737" s="515"/>
      <c r="COR1737" s="515"/>
      <c r="COS1737" s="515"/>
      <c r="COT1737" s="515"/>
      <c r="COU1737" s="515"/>
      <c r="COV1737" s="515"/>
      <c r="COW1737" s="515"/>
      <c r="COX1737" s="515"/>
      <c r="COY1737" s="515"/>
      <c r="COZ1737" s="515"/>
      <c r="CPA1737" s="515"/>
      <c r="CPB1737" s="515"/>
      <c r="CPC1737" s="515"/>
      <c r="CPD1737" s="515"/>
      <c r="CPE1737" s="515"/>
      <c r="CPF1737" s="515"/>
      <c r="CPG1737" s="515"/>
      <c r="CPH1737" s="515"/>
      <c r="CPI1737" s="515"/>
      <c r="CPJ1737" s="515"/>
      <c r="CPK1737" s="515"/>
      <c r="CPL1737" s="515"/>
      <c r="CPM1737" s="515"/>
      <c r="CPN1737" s="515"/>
      <c r="CPO1737" s="515"/>
      <c r="CPP1737" s="515"/>
      <c r="CPQ1737" s="515"/>
      <c r="CPR1737" s="515"/>
      <c r="CPS1737" s="515"/>
      <c r="CPT1737" s="515"/>
      <c r="CPU1737" s="515"/>
      <c r="CPV1737" s="515"/>
      <c r="CPW1737" s="515"/>
      <c r="CPX1737" s="515"/>
      <c r="CPY1737" s="515"/>
      <c r="CPZ1737" s="515"/>
      <c r="CQA1737" s="515"/>
      <c r="CQB1737" s="515"/>
      <c r="CQC1737" s="515"/>
      <c r="CQD1737" s="515"/>
      <c r="CQE1737" s="515"/>
      <c r="CQF1737" s="515"/>
      <c r="CQG1737" s="515"/>
      <c r="CQH1737" s="515"/>
      <c r="CQI1737" s="515"/>
      <c r="CQJ1737" s="515"/>
      <c r="CQK1737" s="515"/>
      <c r="CQL1737" s="515"/>
      <c r="CQM1737" s="515"/>
      <c r="CQN1737" s="515"/>
      <c r="CQO1737" s="515"/>
      <c r="CQP1737" s="515"/>
      <c r="CQQ1737" s="515"/>
      <c r="CQR1737" s="515"/>
      <c r="CQS1737" s="515"/>
      <c r="CQT1737" s="515"/>
      <c r="CQU1737" s="515"/>
      <c r="CQV1737" s="515"/>
      <c r="CQW1737" s="515"/>
      <c r="CQX1737" s="515"/>
      <c r="CQY1737" s="515"/>
      <c r="CQZ1737" s="515"/>
      <c r="CRA1737" s="515"/>
      <c r="CRB1737" s="515"/>
      <c r="CRC1737" s="515"/>
      <c r="CRD1737" s="515"/>
      <c r="CRE1737" s="515"/>
      <c r="CRF1737" s="515"/>
      <c r="CRG1737" s="515"/>
      <c r="CRH1737" s="515"/>
      <c r="CRI1737" s="515"/>
      <c r="CRJ1737" s="515"/>
      <c r="CRK1737" s="515"/>
      <c r="CRL1737" s="515"/>
      <c r="CRM1737" s="515"/>
      <c r="CRN1737" s="515"/>
      <c r="CRO1737" s="515"/>
      <c r="CRP1737" s="515"/>
      <c r="CRQ1737" s="515"/>
      <c r="CRR1737" s="515"/>
      <c r="CRS1737" s="515"/>
      <c r="CRT1737" s="515"/>
      <c r="CRU1737" s="515"/>
      <c r="CRV1737" s="515"/>
      <c r="CRW1737" s="515"/>
      <c r="CRX1737" s="515"/>
      <c r="CRY1737" s="515"/>
      <c r="CRZ1737" s="515"/>
      <c r="CSA1737" s="515"/>
      <c r="CSB1737" s="515"/>
      <c r="CSC1737" s="515"/>
      <c r="CSD1737" s="515"/>
      <c r="CSE1737" s="515"/>
      <c r="CSF1737" s="515"/>
      <c r="CSG1737" s="515"/>
      <c r="CSH1737" s="515"/>
      <c r="CSI1737" s="515"/>
      <c r="CSJ1737" s="515"/>
      <c r="CSK1737" s="515"/>
      <c r="CSL1737" s="515"/>
      <c r="CSM1737" s="515"/>
      <c r="CSN1737" s="515"/>
      <c r="CSO1737" s="515"/>
      <c r="CSP1737" s="515"/>
      <c r="CSQ1737" s="515"/>
      <c r="CSR1737" s="515"/>
      <c r="CSS1737" s="515"/>
      <c r="CST1737" s="515"/>
      <c r="CSU1737" s="515"/>
      <c r="CSV1737" s="515"/>
      <c r="CSW1737" s="515"/>
      <c r="CSX1737" s="515"/>
      <c r="CSY1737" s="515"/>
      <c r="CSZ1737" s="515"/>
      <c r="CTA1737" s="515"/>
      <c r="CTB1737" s="515"/>
      <c r="CTC1737" s="515"/>
      <c r="CTD1737" s="515"/>
      <c r="CTE1737" s="515"/>
      <c r="CTF1737" s="515"/>
      <c r="CTG1737" s="515"/>
      <c r="CTH1737" s="515"/>
      <c r="CTI1737" s="515"/>
      <c r="CTJ1737" s="515"/>
      <c r="CTK1737" s="515"/>
      <c r="CTL1737" s="515"/>
      <c r="CTM1737" s="515"/>
      <c r="CTN1737" s="515"/>
      <c r="CTO1737" s="515"/>
      <c r="CTP1737" s="515"/>
      <c r="CTQ1737" s="515"/>
      <c r="CTR1737" s="515"/>
      <c r="CTS1737" s="515"/>
      <c r="CTT1737" s="515"/>
      <c r="CTU1737" s="515"/>
      <c r="CTV1737" s="515"/>
      <c r="CTW1737" s="515"/>
      <c r="CTX1737" s="515"/>
      <c r="CTY1737" s="515"/>
      <c r="CTZ1737" s="515"/>
      <c r="CUA1737" s="515"/>
      <c r="CUB1737" s="515"/>
      <c r="CUC1737" s="515"/>
      <c r="CUD1737" s="515"/>
      <c r="CUE1737" s="515"/>
      <c r="CUF1737" s="515"/>
      <c r="CUG1737" s="515"/>
      <c r="CUH1737" s="515"/>
      <c r="CUI1737" s="515"/>
      <c r="CUJ1737" s="515"/>
      <c r="CUK1737" s="515"/>
      <c r="CUL1737" s="515"/>
      <c r="CUM1737" s="515"/>
      <c r="CUN1737" s="515"/>
      <c r="CUO1737" s="515"/>
      <c r="CUP1737" s="515"/>
      <c r="CUQ1737" s="515"/>
      <c r="CUR1737" s="515"/>
      <c r="CUS1737" s="515"/>
      <c r="CUT1737" s="515"/>
      <c r="CUU1737" s="515"/>
      <c r="CUV1737" s="515"/>
      <c r="CUW1737" s="515"/>
      <c r="CUX1737" s="515"/>
      <c r="CUY1737" s="515"/>
      <c r="CUZ1737" s="515"/>
      <c r="CVA1737" s="515"/>
      <c r="CVB1737" s="515"/>
      <c r="CVC1737" s="515"/>
      <c r="CVD1737" s="515"/>
      <c r="CVE1737" s="515"/>
      <c r="CVF1737" s="515"/>
      <c r="CVG1737" s="515"/>
      <c r="CVH1737" s="515"/>
      <c r="CVI1737" s="515"/>
      <c r="CVJ1737" s="515"/>
      <c r="CVK1737" s="515"/>
      <c r="CVL1737" s="515"/>
      <c r="CVM1737" s="515"/>
      <c r="CVN1737" s="515"/>
      <c r="CVO1737" s="515"/>
      <c r="CVP1737" s="515"/>
      <c r="CVQ1737" s="515"/>
      <c r="CVR1737" s="515"/>
      <c r="CVS1737" s="515"/>
      <c r="CVT1737" s="515"/>
      <c r="CVU1737" s="515"/>
      <c r="CVV1737" s="515"/>
      <c r="CVW1737" s="515"/>
      <c r="CVX1737" s="515"/>
      <c r="CVY1737" s="515"/>
      <c r="CVZ1737" s="515"/>
      <c r="CWA1737" s="515"/>
      <c r="CWB1737" s="515"/>
      <c r="CWC1737" s="515"/>
      <c r="CWD1737" s="515"/>
      <c r="CWE1737" s="515"/>
      <c r="CWF1737" s="515"/>
      <c r="CWG1737" s="515"/>
      <c r="CWH1737" s="515"/>
      <c r="CWI1737" s="515"/>
      <c r="CWJ1737" s="515"/>
      <c r="CWK1737" s="515"/>
      <c r="CWL1737" s="515"/>
      <c r="CWM1737" s="515"/>
      <c r="CWN1737" s="515"/>
      <c r="CWO1737" s="515"/>
      <c r="CWP1737" s="515"/>
      <c r="CWQ1737" s="515"/>
      <c r="CWR1737" s="515"/>
      <c r="CWS1737" s="515"/>
      <c r="CWT1737" s="515"/>
      <c r="CWU1737" s="515"/>
      <c r="CWV1737" s="515"/>
      <c r="CWW1737" s="515"/>
      <c r="CWX1737" s="515"/>
      <c r="CWY1737" s="515"/>
      <c r="CWZ1737" s="515"/>
      <c r="CXA1737" s="515"/>
      <c r="CXB1737" s="515"/>
      <c r="CXC1737" s="515"/>
      <c r="CXD1737" s="515"/>
      <c r="CXE1737" s="515"/>
      <c r="CXF1737" s="515"/>
      <c r="CXG1737" s="515"/>
      <c r="CXH1737" s="515"/>
      <c r="CXI1737" s="515"/>
      <c r="CXJ1737" s="515"/>
      <c r="CXK1737" s="515"/>
      <c r="CXL1737" s="515"/>
      <c r="CXM1737" s="515"/>
      <c r="CXN1737" s="515"/>
      <c r="CXO1737" s="515"/>
      <c r="CXP1737" s="515"/>
      <c r="CXQ1737" s="515"/>
      <c r="CXR1737" s="515"/>
      <c r="CXS1737" s="515"/>
      <c r="CXT1737" s="515"/>
      <c r="CXU1737" s="515"/>
      <c r="CXV1737" s="515"/>
      <c r="CXW1737" s="515"/>
      <c r="CXX1737" s="515"/>
      <c r="CXY1737" s="515"/>
      <c r="CXZ1737" s="515"/>
      <c r="CYA1737" s="515"/>
      <c r="CYB1737" s="515"/>
      <c r="CYC1737" s="515"/>
      <c r="CYD1737" s="515"/>
      <c r="CYE1737" s="515"/>
      <c r="CYF1737" s="515"/>
      <c r="CYG1737" s="515"/>
      <c r="CYH1737" s="515"/>
      <c r="CYI1737" s="515"/>
      <c r="CYJ1737" s="515"/>
      <c r="CYK1737" s="515"/>
      <c r="CYL1737" s="515"/>
      <c r="CYM1737" s="515"/>
      <c r="CYN1737" s="515"/>
      <c r="CYO1737" s="515"/>
      <c r="CYP1737" s="515"/>
      <c r="CYQ1737" s="515"/>
      <c r="CYR1737" s="515"/>
      <c r="CYS1737" s="515"/>
      <c r="CYT1737" s="515"/>
      <c r="CYU1737" s="515"/>
      <c r="CYV1737" s="515"/>
      <c r="CYW1737" s="515"/>
      <c r="CYX1737" s="515"/>
      <c r="CYY1737" s="515"/>
      <c r="CYZ1737" s="515"/>
      <c r="CZA1737" s="515"/>
      <c r="CZB1737" s="515"/>
      <c r="CZC1737" s="515"/>
      <c r="CZD1737" s="515"/>
      <c r="CZE1737" s="515"/>
      <c r="CZF1737" s="515"/>
      <c r="CZG1737" s="515"/>
      <c r="CZH1737" s="515"/>
      <c r="CZI1737" s="515"/>
      <c r="CZJ1737" s="515"/>
      <c r="CZK1737" s="515"/>
      <c r="CZL1737" s="515"/>
      <c r="CZM1737" s="515"/>
      <c r="CZN1737" s="515"/>
      <c r="CZO1737" s="515"/>
      <c r="CZP1737" s="515"/>
      <c r="CZQ1737" s="515"/>
      <c r="CZR1737" s="515"/>
      <c r="CZS1737" s="515"/>
      <c r="CZT1737" s="515"/>
      <c r="CZU1737" s="515"/>
      <c r="CZV1737" s="515"/>
      <c r="CZW1737" s="515"/>
      <c r="CZX1737" s="515"/>
      <c r="CZY1737" s="515"/>
      <c r="CZZ1737" s="515"/>
      <c r="DAA1737" s="515"/>
      <c r="DAB1737" s="515"/>
      <c r="DAC1737" s="515"/>
      <c r="DAD1737" s="515"/>
      <c r="DAE1737" s="515"/>
      <c r="DAF1737" s="515"/>
      <c r="DAG1737" s="515"/>
      <c r="DAH1737" s="515"/>
      <c r="DAI1737" s="515"/>
      <c r="DAJ1737" s="515"/>
      <c r="DAK1737" s="515"/>
      <c r="DAL1737" s="515"/>
      <c r="DAM1737" s="515"/>
      <c r="DAN1737" s="515"/>
      <c r="DAO1737" s="515"/>
      <c r="DAP1737" s="515"/>
      <c r="DAQ1737" s="515"/>
      <c r="DAR1737" s="515"/>
      <c r="DAS1737" s="515"/>
      <c r="DAT1737" s="515"/>
      <c r="DAU1737" s="515"/>
      <c r="DAV1737" s="515"/>
      <c r="DAW1737" s="515"/>
      <c r="DAX1737" s="515"/>
      <c r="DAY1737" s="515"/>
      <c r="DAZ1737" s="515"/>
      <c r="DBA1737" s="515"/>
      <c r="DBB1737" s="515"/>
      <c r="DBC1737" s="515"/>
      <c r="DBD1737" s="515"/>
      <c r="DBE1737" s="515"/>
      <c r="DBF1737" s="515"/>
      <c r="DBG1737" s="515"/>
      <c r="DBH1737" s="515"/>
      <c r="DBI1737" s="515"/>
      <c r="DBJ1737" s="515"/>
      <c r="DBK1737" s="515"/>
      <c r="DBL1737" s="515"/>
      <c r="DBM1737" s="515"/>
      <c r="DBN1737" s="515"/>
      <c r="DBO1737" s="515"/>
      <c r="DBP1737" s="515"/>
      <c r="DBQ1737" s="515"/>
      <c r="DBR1737" s="515"/>
      <c r="DBS1737" s="515"/>
      <c r="DBT1737" s="515"/>
      <c r="DBU1737" s="515"/>
      <c r="DBV1737" s="515"/>
      <c r="DBW1737" s="515"/>
      <c r="DBX1737" s="515"/>
      <c r="DBY1737" s="515"/>
      <c r="DBZ1737" s="515"/>
      <c r="DCA1737" s="515"/>
      <c r="DCB1737" s="515"/>
      <c r="DCC1737" s="515"/>
      <c r="DCD1737" s="515"/>
      <c r="DCE1737" s="515"/>
      <c r="DCF1737" s="515"/>
      <c r="DCG1737" s="515"/>
      <c r="DCH1737" s="515"/>
      <c r="DCI1737" s="515"/>
      <c r="DCJ1737" s="515"/>
      <c r="DCK1737" s="515"/>
      <c r="DCL1737" s="515"/>
      <c r="DCM1737" s="515"/>
      <c r="DCN1737" s="515"/>
      <c r="DCO1737" s="515"/>
      <c r="DCP1737" s="515"/>
      <c r="DCQ1737" s="515"/>
      <c r="DCR1737" s="515"/>
      <c r="DCS1737" s="515"/>
      <c r="DCT1737" s="515"/>
      <c r="DCU1737" s="515"/>
      <c r="DCV1737" s="515"/>
      <c r="DCW1737" s="515"/>
      <c r="DCX1737" s="515"/>
      <c r="DCY1737" s="515"/>
      <c r="DCZ1737" s="515"/>
      <c r="DDA1737" s="515"/>
      <c r="DDB1737" s="515"/>
      <c r="DDC1737" s="515"/>
      <c r="DDD1737" s="515"/>
      <c r="DDE1737" s="515"/>
      <c r="DDF1737" s="515"/>
      <c r="DDG1737" s="515"/>
      <c r="DDH1737" s="515"/>
      <c r="DDI1737" s="515"/>
      <c r="DDJ1737" s="515"/>
      <c r="DDK1737" s="515"/>
      <c r="DDL1737" s="515"/>
      <c r="DDM1737" s="515"/>
      <c r="DDN1737" s="515"/>
      <c r="DDO1737" s="515"/>
      <c r="DDP1737" s="515"/>
      <c r="DDQ1737" s="515"/>
      <c r="DDR1737" s="515"/>
      <c r="DDS1737" s="515"/>
      <c r="DDT1737" s="515"/>
      <c r="DDU1737" s="515"/>
      <c r="DDV1737" s="515"/>
      <c r="DDW1737" s="515"/>
      <c r="DDX1737" s="515"/>
      <c r="DDY1737" s="515"/>
      <c r="DDZ1737" s="515"/>
      <c r="DEA1737" s="515"/>
      <c r="DEB1737" s="515"/>
      <c r="DEC1737" s="515"/>
      <c r="DED1737" s="515"/>
      <c r="DEE1737" s="515"/>
      <c r="DEF1737" s="515"/>
      <c r="DEG1737" s="515"/>
      <c r="DEH1737" s="515"/>
      <c r="DEI1737" s="515"/>
      <c r="DEJ1737" s="515"/>
      <c r="DEK1737" s="515"/>
      <c r="DEL1737" s="515"/>
      <c r="DEM1737" s="515"/>
      <c r="DEN1737" s="515"/>
      <c r="DEO1737" s="515"/>
      <c r="DEP1737" s="515"/>
      <c r="DEQ1737" s="515"/>
      <c r="DER1737" s="515"/>
      <c r="DES1737" s="515"/>
      <c r="DET1737" s="515"/>
      <c r="DEU1737" s="515"/>
      <c r="DEV1737" s="515"/>
      <c r="DEW1737" s="515"/>
      <c r="DEX1737" s="515"/>
      <c r="DEY1737" s="515"/>
      <c r="DEZ1737" s="515"/>
      <c r="DFA1737" s="515"/>
      <c r="DFB1737" s="515"/>
      <c r="DFC1737" s="515"/>
      <c r="DFD1737" s="515"/>
      <c r="DFE1737" s="515"/>
      <c r="DFF1737" s="515"/>
      <c r="DFG1737" s="515"/>
      <c r="DFH1737" s="515"/>
      <c r="DFI1737" s="515"/>
      <c r="DFJ1737" s="515"/>
      <c r="DFK1737" s="515"/>
      <c r="DFL1737" s="515"/>
      <c r="DFM1737" s="515"/>
      <c r="DFN1737" s="515"/>
      <c r="DFO1737" s="515"/>
      <c r="DFP1737" s="515"/>
      <c r="DFQ1737" s="515"/>
      <c r="DFR1737" s="515"/>
      <c r="DFS1737" s="515"/>
      <c r="DFT1737" s="515"/>
      <c r="DFU1737" s="515"/>
      <c r="DFV1737" s="515"/>
      <c r="DFW1737" s="515"/>
      <c r="DFX1737" s="515"/>
      <c r="DFY1737" s="515"/>
      <c r="DFZ1737" s="515"/>
      <c r="DGA1737" s="515"/>
      <c r="DGB1737" s="515"/>
      <c r="DGC1737" s="515"/>
      <c r="DGD1737" s="515"/>
      <c r="DGE1737" s="515"/>
      <c r="DGF1737" s="515"/>
      <c r="DGG1737" s="515"/>
      <c r="DGH1737" s="515"/>
      <c r="DGI1737" s="515"/>
      <c r="DGJ1737" s="515"/>
      <c r="DGK1737" s="515"/>
      <c r="DGL1737" s="515"/>
      <c r="DGM1737" s="515"/>
      <c r="DGN1737" s="515"/>
      <c r="DGO1737" s="515"/>
      <c r="DGP1737" s="515"/>
      <c r="DGQ1737" s="515"/>
      <c r="DGR1737" s="515"/>
      <c r="DGS1737" s="515"/>
      <c r="DGT1737" s="515"/>
      <c r="DGU1737" s="515"/>
      <c r="DGV1737" s="515"/>
      <c r="DGW1737" s="515"/>
      <c r="DGX1737" s="515"/>
      <c r="DGY1737" s="515"/>
      <c r="DGZ1737" s="515"/>
      <c r="DHA1737" s="515"/>
      <c r="DHB1737" s="515"/>
      <c r="DHC1737" s="515"/>
      <c r="DHD1737" s="515"/>
      <c r="DHE1737" s="515"/>
      <c r="DHF1737" s="515"/>
      <c r="DHG1737" s="515"/>
      <c r="DHH1737" s="515"/>
      <c r="DHI1737" s="515"/>
      <c r="DHJ1737" s="515"/>
      <c r="DHK1737" s="515"/>
      <c r="DHL1737" s="515"/>
      <c r="DHM1737" s="515"/>
      <c r="DHN1737" s="515"/>
      <c r="DHO1737" s="515"/>
      <c r="DHP1737" s="515"/>
      <c r="DHQ1737" s="515"/>
      <c r="DHR1737" s="515"/>
      <c r="DHS1737" s="515"/>
      <c r="DHT1737" s="515"/>
      <c r="DHU1737" s="515"/>
      <c r="DHV1737" s="515"/>
      <c r="DHW1737" s="515"/>
      <c r="DHX1737" s="515"/>
      <c r="DHY1737" s="515"/>
      <c r="DHZ1737" s="515"/>
      <c r="DIA1737" s="515"/>
      <c r="DIB1737" s="515"/>
      <c r="DIC1737" s="515"/>
      <c r="DID1737" s="515"/>
      <c r="DIE1737" s="515"/>
      <c r="DIF1737" s="515"/>
      <c r="DIG1737" s="515"/>
      <c r="DIH1737" s="515"/>
      <c r="DII1737" s="515"/>
      <c r="DIJ1737" s="515"/>
      <c r="DIK1737" s="515"/>
      <c r="DIL1737" s="515"/>
      <c r="DIM1737" s="515"/>
      <c r="DIN1737" s="515"/>
      <c r="DIO1737" s="515"/>
      <c r="DIP1737" s="515"/>
      <c r="DIQ1737" s="515"/>
      <c r="DIR1737" s="515"/>
      <c r="DIS1737" s="515"/>
      <c r="DIT1737" s="515"/>
      <c r="DIU1737" s="515"/>
      <c r="DIV1737" s="515"/>
      <c r="DIW1737" s="515"/>
      <c r="DIX1737" s="515"/>
      <c r="DIY1737" s="515"/>
      <c r="DIZ1737" s="515"/>
      <c r="DJA1737" s="515"/>
      <c r="DJB1737" s="515"/>
      <c r="DJC1737" s="515"/>
      <c r="DJD1737" s="515"/>
      <c r="DJE1737" s="515"/>
      <c r="DJF1737" s="515"/>
      <c r="DJG1737" s="515"/>
      <c r="DJH1737" s="515"/>
      <c r="DJI1737" s="515"/>
      <c r="DJJ1737" s="515"/>
      <c r="DJK1737" s="515"/>
      <c r="DJL1737" s="515"/>
      <c r="DJM1737" s="515"/>
      <c r="DJN1737" s="515"/>
      <c r="DJO1737" s="515"/>
      <c r="DJP1737" s="515"/>
      <c r="DJQ1737" s="515"/>
      <c r="DJR1737" s="515"/>
      <c r="DJS1737" s="515"/>
      <c r="DJT1737" s="515"/>
      <c r="DJU1737" s="515"/>
      <c r="DJV1737" s="515"/>
      <c r="DJW1737" s="515"/>
      <c r="DJX1737" s="515"/>
      <c r="DJY1737" s="515"/>
      <c r="DJZ1737" s="515"/>
      <c r="DKA1737" s="515"/>
      <c r="DKB1737" s="515"/>
      <c r="DKC1737" s="515"/>
      <c r="DKD1737" s="515"/>
      <c r="DKE1737" s="515"/>
      <c r="DKF1737" s="515"/>
      <c r="DKG1737" s="515"/>
      <c r="DKH1737" s="515"/>
      <c r="DKI1737" s="515"/>
      <c r="DKJ1737" s="515"/>
      <c r="DKK1737" s="515"/>
      <c r="DKL1737" s="515"/>
      <c r="DKM1737" s="515"/>
      <c r="DKN1737" s="515"/>
      <c r="DKO1737" s="515"/>
      <c r="DKP1737" s="515"/>
      <c r="DKQ1737" s="515"/>
      <c r="DKR1737" s="515"/>
      <c r="DKS1737" s="515"/>
      <c r="DKT1737" s="515"/>
      <c r="DKU1737" s="515"/>
      <c r="DKV1737" s="515"/>
      <c r="DKW1737" s="515"/>
      <c r="DKX1737" s="515"/>
      <c r="DKY1737" s="515"/>
      <c r="DKZ1737" s="515"/>
      <c r="DLA1737" s="515"/>
      <c r="DLB1737" s="515"/>
      <c r="DLC1737" s="515"/>
      <c r="DLD1737" s="515"/>
      <c r="DLE1737" s="515"/>
      <c r="DLF1737" s="515"/>
      <c r="DLG1737" s="515"/>
      <c r="DLH1737" s="515"/>
      <c r="DLI1737" s="515"/>
      <c r="DLJ1737" s="515"/>
      <c r="DLK1737" s="515"/>
      <c r="DLL1737" s="515"/>
      <c r="DLM1737" s="515"/>
      <c r="DLN1737" s="515"/>
      <c r="DLO1737" s="515"/>
      <c r="DLP1737" s="515"/>
      <c r="DLQ1737" s="515"/>
      <c r="DLR1737" s="515"/>
      <c r="DLS1737" s="515"/>
      <c r="DLT1737" s="515"/>
      <c r="DLU1737" s="515"/>
      <c r="DLV1737" s="515"/>
      <c r="DLW1737" s="515"/>
      <c r="DLX1737" s="515"/>
      <c r="DLY1737" s="515"/>
      <c r="DLZ1737" s="515"/>
      <c r="DMA1737" s="515"/>
      <c r="DMB1737" s="515"/>
      <c r="DMC1737" s="515"/>
      <c r="DMD1737" s="515"/>
      <c r="DME1737" s="515"/>
      <c r="DMF1737" s="515"/>
      <c r="DMG1737" s="515"/>
      <c r="DMH1737" s="515"/>
      <c r="DMI1737" s="515"/>
      <c r="DMJ1737" s="515"/>
      <c r="DMK1737" s="515"/>
      <c r="DML1737" s="515"/>
      <c r="DMM1737" s="515"/>
      <c r="DMN1737" s="515"/>
      <c r="DMO1737" s="515"/>
      <c r="DMP1737" s="515"/>
      <c r="DMQ1737" s="515"/>
      <c r="DMR1737" s="515"/>
      <c r="DMS1737" s="515"/>
      <c r="DMT1737" s="515"/>
      <c r="DMU1737" s="515"/>
      <c r="DMV1737" s="515"/>
      <c r="DMW1737" s="515"/>
      <c r="DMX1737" s="515"/>
      <c r="DMY1737" s="515"/>
      <c r="DMZ1737" s="515"/>
      <c r="DNA1737" s="515"/>
      <c r="DNB1737" s="515"/>
      <c r="DNC1737" s="515"/>
      <c r="DND1737" s="515"/>
      <c r="DNE1737" s="515"/>
      <c r="DNF1737" s="515"/>
      <c r="DNG1737" s="515"/>
      <c r="DNH1737" s="515"/>
      <c r="DNI1737" s="515"/>
      <c r="DNJ1737" s="515"/>
      <c r="DNK1737" s="515"/>
      <c r="DNL1737" s="515"/>
      <c r="DNM1737" s="515"/>
      <c r="DNN1737" s="515"/>
      <c r="DNO1737" s="515"/>
      <c r="DNP1737" s="515"/>
      <c r="DNQ1737" s="515"/>
      <c r="DNR1737" s="515"/>
      <c r="DNS1737" s="515"/>
      <c r="DNT1737" s="515"/>
      <c r="DNU1737" s="515"/>
      <c r="DNV1737" s="515"/>
      <c r="DNW1737" s="515"/>
      <c r="DNX1737" s="515"/>
      <c r="DNY1737" s="515"/>
      <c r="DNZ1737" s="515"/>
      <c r="DOA1737" s="515"/>
      <c r="DOB1737" s="515"/>
      <c r="DOC1737" s="515"/>
      <c r="DOD1737" s="515"/>
      <c r="DOE1737" s="515"/>
      <c r="DOF1737" s="515"/>
      <c r="DOG1737" s="515"/>
      <c r="DOH1737" s="515"/>
      <c r="DOI1737" s="515"/>
      <c r="DOJ1737" s="515"/>
      <c r="DOK1737" s="515"/>
      <c r="DOL1737" s="515"/>
      <c r="DOM1737" s="515"/>
      <c r="DON1737" s="515"/>
      <c r="DOO1737" s="515"/>
      <c r="DOP1737" s="515"/>
      <c r="DOQ1737" s="515"/>
      <c r="DOR1737" s="515"/>
      <c r="DOS1737" s="515"/>
      <c r="DOT1737" s="515"/>
      <c r="DOU1737" s="515"/>
      <c r="DOV1737" s="515"/>
      <c r="DOW1737" s="515"/>
      <c r="DOX1737" s="515"/>
      <c r="DOY1737" s="515"/>
      <c r="DOZ1737" s="515"/>
      <c r="DPA1737" s="515"/>
      <c r="DPB1737" s="515"/>
      <c r="DPC1737" s="515"/>
      <c r="DPD1737" s="515"/>
      <c r="DPE1737" s="515"/>
      <c r="DPF1737" s="515"/>
      <c r="DPG1737" s="515"/>
      <c r="DPH1737" s="515"/>
      <c r="DPI1737" s="515"/>
      <c r="DPJ1737" s="515"/>
      <c r="DPK1737" s="515"/>
      <c r="DPL1737" s="515"/>
      <c r="DPM1737" s="515"/>
      <c r="DPN1737" s="515"/>
      <c r="DPO1737" s="515"/>
      <c r="DPP1737" s="515"/>
      <c r="DPQ1737" s="515"/>
      <c r="DPR1737" s="515"/>
      <c r="DPS1737" s="515"/>
      <c r="DPT1737" s="515"/>
      <c r="DPU1737" s="515"/>
      <c r="DPV1737" s="515"/>
      <c r="DPW1737" s="515"/>
      <c r="DPX1737" s="515"/>
      <c r="DPY1737" s="515"/>
      <c r="DPZ1737" s="515"/>
      <c r="DQA1737" s="515"/>
      <c r="DQB1737" s="515"/>
      <c r="DQC1737" s="515"/>
      <c r="DQD1737" s="515"/>
      <c r="DQE1737" s="515"/>
      <c r="DQF1737" s="515"/>
      <c r="DQG1737" s="515"/>
      <c r="DQH1737" s="515"/>
      <c r="DQI1737" s="515"/>
      <c r="DQJ1737" s="515"/>
      <c r="DQK1737" s="515"/>
      <c r="DQL1737" s="515"/>
      <c r="DQM1737" s="515"/>
      <c r="DQN1737" s="515"/>
      <c r="DQO1737" s="515"/>
      <c r="DQP1737" s="515"/>
      <c r="DQQ1737" s="515"/>
      <c r="DQR1737" s="515"/>
      <c r="DQS1737" s="515"/>
      <c r="DQT1737" s="515"/>
      <c r="DQU1737" s="515"/>
      <c r="DQV1737" s="515"/>
      <c r="DQW1737" s="515"/>
      <c r="DQX1737" s="515"/>
      <c r="DQY1737" s="515"/>
      <c r="DQZ1737" s="515"/>
      <c r="DRA1737" s="515"/>
      <c r="DRB1737" s="515"/>
      <c r="DRC1737" s="515"/>
      <c r="DRD1737" s="515"/>
      <c r="DRE1737" s="515"/>
      <c r="DRF1737" s="515"/>
      <c r="DRG1737" s="515"/>
      <c r="DRH1737" s="515"/>
      <c r="DRI1737" s="515"/>
      <c r="DRJ1737" s="515"/>
      <c r="DRK1737" s="515"/>
      <c r="DRL1737" s="515"/>
      <c r="DRM1737" s="515"/>
      <c r="DRN1737" s="515"/>
      <c r="DRO1737" s="515"/>
      <c r="DRP1737" s="515"/>
      <c r="DRQ1737" s="515"/>
      <c r="DRR1737" s="515"/>
      <c r="DRS1737" s="515"/>
      <c r="DRT1737" s="515"/>
      <c r="DRU1737" s="515"/>
      <c r="DRV1737" s="515"/>
      <c r="DRW1737" s="515"/>
      <c r="DRX1737" s="515"/>
      <c r="DRY1737" s="515"/>
      <c r="DRZ1737" s="515"/>
      <c r="DSA1737" s="515"/>
      <c r="DSB1737" s="515"/>
      <c r="DSC1737" s="515"/>
      <c r="DSD1737" s="515"/>
      <c r="DSE1737" s="515"/>
      <c r="DSF1737" s="515"/>
      <c r="DSG1737" s="515"/>
      <c r="DSH1737" s="515"/>
      <c r="DSI1737" s="515"/>
      <c r="DSJ1737" s="515"/>
      <c r="DSK1737" s="515"/>
      <c r="DSL1737" s="515"/>
      <c r="DSM1737" s="515"/>
      <c r="DSN1737" s="515"/>
      <c r="DSO1737" s="515"/>
      <c r="DSP1737" s="515"/>
      <c r="DSQ1737" s="515"/>
      <c r="DSR1737" s="515"/>
      <c r="DSS1737" s="515"/>
      <c r="DST1737" s="515"/>
      <c r="DSU1737" s="515"/>
      <c r="DSV1737" s="515"/>
      <c r="DSW1737" s="515"/>
      <c r="DSX1737" s="515"/>
      <c r="DSY1737" s="515"/>
      <c r="DSZ1737" s="515"/>
      <c r="DTA1737" s="515"/>
      <c r="DTB1737" s="515"/>
      <c r="DTC1737" s="515"/>
      <c r="DTD1737" s="515"/>
      <c r="DTE1737" s="515"/>
      <c r="DTF1737" s="515"/>
      <c r="DTG1737" s="515"/>
      <c r="DTH1737" s="515"/>
      <c r="DTI1737" s="515"/>
      <c r="DTJ1737" s="515"/>
      <c r="DTK1737" s="515"/>
      <c r="DTL1737" s="515"/>
      <c r="DTM1737" s="515"/>
      <c r="DTN1737" s="515"/>
      <c r="DTO1737" s="515"/>
      <c r="DTP1737" s="515"/>
      <c r="DTQ1737" s="515"/>
      <c r="DTR1737" s="515"/>
      <c r="DTS1737" s="515"/>
      <c r="DTT1737" s="515"/>
      <c r="DTU1737" s="515"/>
      <c r="DTV1737" s="515"/>
      <c r="DTW1737" s="515"/>
      <c r="DTX1737" s="515"/>
      <c r="DTY1737" s="515"/>
      <c r="DTZ1737" s="515"/>
      <c r="DUA1737" s="515"/>
      <c r="DUB1737" s="515"/>
      <c r="DUC1737" s="515"/>
      <c r="DUD1737" s="515"/>
      <c r="DUE1737" s="515"/>
      <c r="DUF1737" s="515"/>
      <c r="DUG1737" s="515"/>
      <c r="DUH1737" s="515"/>
      <c r="DUI1737" s="515"/>
      <c r="DUJ1737" s="515"/>
      <c r="DUK1737" s="515"/>
      <c r="DUL1737" s="515"/>
      <c r="DUM1737" s="515"/>
      <c r="DUN1737" s="515"/>
      <c r="DUO1737" s="515"/>
      <c r="DUP1737" s="515"/>
      <c r="DUQ1737" s="515"/>
      <c r="DUR1737" s="515"/>
      <c r="DUS1737" s="515"/>
      <c r="DUT1737" s="515"/>
      <c r="DUU1737" s="515"/>
      <c r="DUV1737" s="515"/>
      <c r="DUW1737" s="515"/>
      <c r="DUX1737" s="515"/>
      <c r="DUY1737" s="515"/>
      <c r="DUZ1737" s="515"/>
      <c r="DVA1737" s="515"/>
      <c r="DVB1737" s="515"/>
      <c r="DVC1737" s="515"/>
      <c r="DVD1737" s="515"/>
      <c r="DVE1737" s="515"/>
      <c r="DVF1737" s="515"/>
      <c r="DVG1737" s="515"/>
      <c r="DVH1737" s="515"/>
      <c r="DVI1737" s="515"/>
      <c r="DVJ1737" s="515"/>
      <c r="DVK1737" s="515"/>
      <c r="DVL1737" s="515"/>
      <c r="DVM1737" s="515"/>
      <c r="DVN1737" s="515"/>
      <c r="DVO1737" s="515"/>
      <c r="DVP1737" s="515"/>
      <c r="DVQ1737" s="515"/>
      <c r="DVR1737" s="515"/>
      <c r="DVS1737" s="515"/>
      <c r="DVT1737" s="515"/>
      <c r="DVU1737" s="515"/>
      <c r="DVV1737" s="515"/>
      <c r="DVW1737" s="515"/>
      <c r="DVX1737" s="515"/>
      <c r="DVY1737" s="515"/>
      <c r="DVZ1737" s="515"/>
      <c r="DWA1737" s="515"/>
      <c r="DWB1737" s="515"/>
      <c r="DWC1737" s="515"/>
      <c r="DWD1737" s="515"/>
      <c r="DWE1737" s="515"/>
      <c r="DWF1737" s="515"/>
      <c r="DWG1737" s="515"/>
      <c r="DWH1737" s="515"/>
      <c r="DWI1737" s="515"/>
      <c r="DWJ1737" s="515"/>
      <c r="DWK1737" s="515"/>
      <c r="DWL1737" s="515"/>
      <c r="DWM1737" s="515"/>
      <c r="DWN1737" s="515"/>
      <c r="DWO1737" s="515"/>
      <c r="DWP1737" s="515"/>
      <c r="DWQ1737" s="515"/>
      <c r="DWR1737" s="515"/>
      <c r="DWS1737" s="515"/>
      <c r="DWT1737" s="515"/>
      <c r="DWU1737" s="515"/>
      <c r="DWV1737" s="515"/>
      <c r="DWW1737" s="515"/>
      <c r="DWX1737" s="515"/>
      <c r="DWY1737" s="515"/>
      <c r="DWZ1737" s="515"/>
      <c r="DXA1737" s="515"/>
      <c r="DXB1737" s="515"/>
      <c r="DXC1737" s="515"/>
      <c r="DXD1737" s="515"/>
      <c r="DXE1737" s="515"/>
      <c r="DXF1737" s="515"/>
      <c r="DXG1737" s="515"/>
      <c r="DXH1737" s="515"/>
      <c r="DXI1737" s="515"/>
      <c r="DXJ1737" s="515"/>
      <c r="DXK1737" s="515"/>
      <c r="DXL1737" s="515"/>
      <c r="DXM1737" s="515"/>
      <c r="DXN1737" s="515"/>
      <c r="DXO1737" s="515"/>
      <c r="DXP1737" s="515"/>
      <c r="DXQ1737" s="515"/>
      <c r="DXR1737" s="515"/>
      <c r="DXS1737" s="515"/>
      <c r="DXT1737" s="515"/>
      <c r="DXU1737" s="515"/>
      <c r="DXV1737" s="515"/>
      <c r="DXW1737" s="515"/>
      <c r="DXX1737" s="515"/>
      <c r="DXY1737" s="515"/>
      <c r="DXZ1737" s="515"/>
      <c r="DYA1737" s="515"/>
      <c r="DYB1737" s="515"/>
      <c r="DYC1737" s="515"/>
      <c r="DYD1737" s="515"/>
      <c r="DYE1737" s="515"/>
      <c r="DYF1737" s="515"/>
      <c r="DYG1737" s="515"/>
      <c r="DYH1737" s="515"/>
      <c r="DYI1737" s="515"/>
      <c r="DYJ1737" s="515"/>
      <c r="DYK1737" s="515"/>
      <c r="DYL1737" s="515"/>
      <c r="DYM1737" s="515"/>
      <c r="DYN1737" s="515"/>
      <c r="DYO1737" s="515"/>
      <c r="DYP1737" s="515"/>
      <c r="DYQ1737" s="515"/>
      <c r="DYR1737" s="515"/>
      <c r="DYS1737" s="515"/>
      <c r="DYT1737" s="515"/>
      <c r="DYU1737" s="515"/>
      <c r="DYV1737" s="515"/>
      <c r="DYW1737" s="515"/>
      <c r="DYX1737" s="515"/>
      <c r="DYY1737" s="515"/>
      <c r="DYZ1737" s="515"/>
      <c r="DZA1737" s="515"/>
      <c r="DZB1737" s="515"/>
      <c r="DZC1737" s="515"/>
      <c r="DZD1737" s="515"/>
      <c r="DZE1737" s="515"/>
      <c r="DZF1737" s="515"/>
      <c r="DZG1737" s="515"/>
      <c r="DZH1737" s="515"/>
      <c r="DZI1737" s="515"/>
      <c r="DZJ1737" s="515"/>
      <c r="DZK1737" s="515"/>
      <c r="DZL1737" s="515"/>
      <c r="DZM1737" s="515"/>
      <c r="DZN1737" s="515"/>
      <c r="DZO1737" s="515"/>
      <c r="DZP1737" s="515"/>
      <c r="DZQ1737" s="515"/>
      <c r="DZR1737" s="515"/>
      <c r="DZS1737" s="515"/>
      <c r="DZT1737" s="515"/>
      <c r="DZU1737" s="515"/>
      <c r="DZV1737" s="515"/>
      <c r="DZW1737" s="515"/>
      <c r="DZX1737" s="515"/>
      <c r="DZY1737" s="515"/>
      <c r="DZZ1737" s="515"/>
      <c r="EAA1737" s="515"/>
      <c r="EAB1737" s="515"/>
      <c r="EAC1737" s="515"/>
      <c r="EAD1737" s="515"/>
      <c r="EAE1737" s="515"/>
      <c r="EAF1737" s="515"/>
      <c r="EAG1737" s="515"/>
      <c r="EAH1737" s="515"/>
      <c r="EAI1737" s="515"/>
      <c r="EAJ1737" s="515"/>
      <c r="EAK1737" s="515"/>
      <c r="EAL1737" s="515"/>
      <c r="EAM1737" s="515"/>
      <c r="EAN1737" s="515"/>
      <c r="EAO1737" s="515"/>
      <c r="EAP1737" s="515"/>
      <c r="EAQ1737" s="515"/>
      <c r="EAR1737" s="515"/>
      <c r="EAS1737" s="515"/>
      <c r="EAT1737" s="515"/>
      <c r="EAU1737" s="515"/>
      <c r="EAV1737" s="515"/>
      <c r="EAW1737" s="515"/>
      <c r="EAX1737" s="515"/>
      <c r="EAY1737" s="515"/>
      <c r="EAZ1737" s="515"/>
      <c r="EBA1737" s="515"/>
      <c r="EBB1737" s="515"/>
      <c r="EBC1737" s="515"/>
      <c r="EBD1737" s="515"/>
      <c r="EBE1737" s="515"/>
      <c r="EBF1737" s="515"/>
      <c r="EBG1737" s="515"/>
      <c r="EBH1737" s="515"/>
      <c r="EBI1737" s="515"/>
      <c r="EBJ1737" s="515"/>
      <c r="EBK1737" s="515"/>
      <c r="EBL1737" s="515"/>
      <c r="EBM1737" s="515"/>
      <c r="EBN1737" s="515"/>
      <c r="EBO1737" s="515"/>
      <c r="EBP1737" s="515"/>
      <c r="EBQ1737" s="515"/>
      <c r="EBR1737" s="515"/>
      <c r="EBS1737" s="515"/>
      <c r="EBT1737" s="515"/>
      <c r="EBU1737" s="515"/>
      <c r="EBV1737" s="515"/>
      <c r="EBW1737" s="515"/>
      <c r="EBX1737" s="515"/>
      <c r="EBY1737" s="515"/>
      <c r="EBZ1737" s="515"/>
      <c r="ECA1737" s="515"/>
      <c r="ECB1737" s="515"/>
      <c r="ECC1737" s="515"/>
      <c r="ECD1737" s="515"/>
      <c r="ECE1737" s="515"/>
      <c r="ECF1737" s="515"/>
      <c r="ECG1737" s="515"/>
      <c r="ECH1737" s="515"/>
      <c r="ECI1737" s="515"/>
      <c r="ECJ1737" s="515"/>
      <c r="ECK1737" s="515"/>
      <c r="ECL1737" s="515"/>
      <c r="ECM1737" s="515"/>
      <c r="ECN1737" s="515"/>
      <c r="ECO1737" s="515"/>
      <c r="ECP1737" s="515"/>
      <c r="ECQ1737" s="515"/>
      <c r="ECR1737" s="515"/>
      <c r="ECS1737" s="515"/>
      <c r="ECT1737" s="515"/>
      <c r="ECU1737" s="515"/>
      <c r="ECV1737" s="515"/>
      <c r="ECW1737" s="515"/>
      <c r="ECX1737" s="515"/>
      <c r="ECY1737" s="515"/>
      <c r="ECZ1737" s="515"/>
      <c r="EDA1737" s="515"/>
      <c r="EDB1737" s="515"/>
      <c r="EDC1737" s="515"/>
      <c r="EDD1737" s="515"/>
      <c r="EDE1737" s="515"/>
      <c r="EDF1737" s="515"/>
      <c r="EDG1737" s="515"/>
      <c r="EDH1737" s="515"/>
      <c r="EDI1737" s="515"/>
      <c r="EDJ1737" s="515"/>
      <c r="EDK1737" s="515"/>
      <c r="EDL1737" s="515"/>
      <c r="EDM1737" s="515"/>
      <c r="EDN1737" s="515"/>
      <c r="EDO1737" s="515"/>
      <c r="EDP1737" s="515"/>
      <c r="EDQ1737" s="515"/>
      <c r="EDR1737" s="515"/>
      <c r="EDS1737" s="515"/>
      <c r="EDT1737" s="515"/>
      <c r="EDU1737" s="515"/>
      <c r="EDV1737" s="515"/>
      <c r="EDW1737" s="515"/>
      <c r="EDX1737" s="515"/>
      <c r="EDY1737" s="515"/>
      <c r="EDZ1737" s="515"/>
      <c r="EEA1737" s="515"/>
      <c r="EEB1737" s="515"/>
      <c r="EEC1737" s="515"/>
      <c r="EED1737" s="515"/>
      <c r="EEE1737" s="515"/>
      <c r="EEF1737" s="515"/>
      <c r="EEG1737" s="515"/>
      <c r="EEH1737" s="515"/>
      <c r="EEI1737" s="515"/>
      <c r="EEJ1737" s="515"/>
      <c r="EEK1737" s="515"/>
      <c r="EEL1737" s="515"/>
      <c r="EEM1737" s="515"/>
      <c r="EEN1737" s="515"/>
      <c r="EEO1737" s="515"/>
      <c r="EEP1737" s="515"/>
      <c r="EEQ1737" s="515"/>
      <c r="EER1737" s="515"/>
      <c r="EES1737" s="515"/>
      <c r="EET1737" s="515"/>
      <c r="EEU1737" s="515"/>
      <c r="EEV1737" s="515"/>
      <c r="EEW1737" s="515"/>
      <c r="EEX1737" s="515"/>
      <c r="EEY1737" s="515"/>
      <c r="EEZ1737" s="515"/>
      <c r="EFA1737" s="515"/>
      <c r="EFB1737" s="515"/>
      <c r="EFC1737" s="515"/>
      <c r="EFD1737" s="515"/>
      <c r="EFE1737" s="515"/>
      <c r="EFF1737" s="515"/>
      <c r="EFG1737" s="515"/>
      <c r="EFH1737" s="515"/>
      <c r="EFI1737" s="515"/>
      <c r="EFJ1737" s="515"/>
      <c r="EFK1737" s="515"/>
      <c r="EFL1737" s="515"/>
      <c r="EFM1737" s="515"/>
      <c r="EFN1737" s="515"/>
      <c r="EFO1737" s="515"/>
      <c r="EFP1737" s="515"/>
      <c r="EFQ1737" s="515"/>
      <c r="EFR1737" s="515"/>
      <c r="EFS1737" s="515"/>
      <c r="EFT1737" s="515"/>
      <c r="EFU1737" s="515"/>
      <c r="EFV1737" s="515"/>
      <c r="EFW1737" s="515"/>
      <c r="EFX1737" s="515"/>
      <c r="EFY1737" s="515"/>
      <c r="EFZ1737" s="515"/>
      <c r="EGA1737" s="515"/>
      <c r="EGB1737" s="515"/>
      <c r="EGC1737" s="515"/>
      <c r="EGD1737" s="515"/>
      <c r="EGE1737" s="515"/>
      <c r="EGF1737" s="515"/>
      <c r="EGG1737" s="515"/>
      <c r="EGH1737" s="515"/>
      <c r="EGI1737" s="515"/>
      <c r="EGJ1737" s="515"/>
      <c r="EGK1737" s="515"/>
      <c r="EGL1737" s="515"/>
      <c r="EGM1737" s="515"/>
      <c r="EGN1737" s="515"/>
      <c r="EGO1737" s="515"/>
      <c r="EGP1737" s="515"/>
      <c r="EGQ1737" s="515"/>
      <c r="EGR1737" s="515"/>
      <c r="EGS1737" s="515"/>
      <c r="EGT1737" s="515"/>
      <c r="EGU1737" s="515"/>
      <c r="EGV1737" s="515"/>
      <c r="EGW1737" s="515"/>
      <c r="EGX1737" s="515"/>
      <c r="EGY1737" s="515"/>
      <c r="EGZ1737" s="515"/>
      <c r="EHA1737" s="515"/>
      <c r="EHB1737" s="515"/>
      <c r="EHC1737" s="515"/>
      <c r="EHD1737" s="515"/>
      <c r="EHE1737" s="515"/>
      <c r="EHF1737" s="515"/>
      <c r="EHG1737" s="515"/>
      <c r="EHH1737" s="515"/>
      <c r="EHI1737" s="515"/>
      <c r="EHJ1737" s="515"/>
      <c r="EHK1737" s="515"/>
      <c r="EHL1737" s="515"/>
      <c r="EHM1737" s="515"/>
      <c r="EHN1737" s="515"/>
      <c r="EHO1737" s="515"/>
      <c r="EHP1737" s="515"/>
      <c r="EHQ1737" s="515"/>
      <c r="EHR1737" s="515"/>
      <c r="EHS1737" s="515"/>
      <c r="EHT1737" s="515"/>
      <c r="EHU1737" s="515"/>
      <c r="EHV1737" s="515"/>
      <c r="EHW1737" s="515"/>
      <c r="EHX1737" s="515"/>
      <c r="EHY1737" s="515"/>
      <c r="EHZ1737" s="515"/>
      <c r="EIA1737" s="515"/>
      <c r="EIB1737" s="515"/>
      <c r="EIC1737" s="515"/>
      <c r="EID1737" s="515"/>
      <c r="EIE1737" s="515"/>
      <c r="EIF1737" s="515"/>
      <c r="EIG1737" s="515"/>
      <c r="EIH1737" s="515"/>
      <c r="EII1737" s="515"/>
      <c r="EIJ1737" s="515"/>
      <c r="EIK1737" s="515"/>
      <c r="EIL1737" s="515"/>
      <c r="EIM1737" s="515"/>
      <c r="EIN1737" s="515"/>
      <c r="EIO1737" s="515"/>
      <c r="EIP1737" s="515"/>
      <c r="EIQ1737" s="515"/>
      <c r="EIR1737" s="515"/>
      <c r="EIS1737" s="515"/>
      <c r="EIT1737" s="515"/>
      <c r="EIU1737" s="515"/>
      <c r="EIV1737" s="515"/>
      <c r="EIW1737" s="515"/>
      <c r="EIX1737" s="515"/>
      <c r="EIY1737" s="515"/>
      <c r="EIZ1737" s="515"/>
      <c r="EJA1737" s="515"/>
      <c r="EJB1737" s="515"/>
      <c r="EJC1737" s="515"/>
      <c r="EJD1737" s="515"/>
      <c r="EJE1737" s="515"/>
      <c r="EJF1737" s="515"/>
      <c r="EJG1737" s="515"/>
      <c r="EJH1737" s="515"/>
      <c r="EJI1737" s="515"/>
      <c r="EJJ1737" s="515"/>
      <c r="EJK1737" s="515"/>
      <c r="EJL1737" s="515"/>
      <c r="EJM1737" s="515"/>
      <c r="EJN1737" s="515"/>
      <c r="EJO1737" s="515"/>
      <c r="EJP1737" s="515"/>
      <c r="EJQ1737" s="515"/>
      <c r="EJR1737" s="515"/>
      <c r="EJS1737" s="515"/>
      <c r="EJT1737" s="515"/>
      <c r="EJU1737" s="515"/>
      <c r="EJV1737" s="515"/>
      <c r="EJW1737" s="515"/>
      <c r="EJX1737" s="515"/>
      <c r="EJY1737" s="515"/>
      <c r="EJZ1737" s="515"/>
      <c r="EKA1737" s="515"/>
      <c r="EKB1737" s="515"/>
      <c r="EKC1737" s="515"/>
      <c r="EKD1737" s="515"/>
      <c r="EKE1737" s="515"/>
      <c r="EKF1737" s="515"/>
      <c r="EKG1737" s="515"/>
      <c r="EKH1737" s="515"/>
      <c r="EKI1737" s="515"/>
      <c r="EKJ1737" s="515"/>
      <c r="EKK1737" s="515"/>
      <c r="EKL1737" s="515"/>
      <c r="EKM1737" s="515"/>
      <c r="EKN1737" s="515"/>
      <c r="EKO1737" s="515"/>
      <c r="EKP1737" s="515"/>
      <c r="EKQ1737" s="515"/>
      <c r="EKR1737" s="515"/>
      <c r="EKS1737" s="515"/>
      <c r="EKT1737" s="515"/>
      <c r="EKU1737" s="515"/>
      <c r="EKV1737" s="515"/>
      <c r="EKW1737" s="515"/>
      <c r="EKX1737" s="515"/>
      <c r="EKY1737" s="515"/>
      <c r="EKZ1737" s="515"/>
      <c r="ELA1737" s="515"/>
      <c r="ELB1737" s="515"/>
      <c r="ELC1737" s="515"/>
      <c r="ELD1737" s="515"/>
      <c r="ELE1737" s="515"/>
      <c r="ELF1737" s="515"/>
      <c r="ELG1737" s="515"/>
      <c r="ELH1737" s="515"/>
      <c r="ELI1737" s="515"/>
      <c r="ELJ1737" s="515"/>
      <c r="ELK1737" s="515"/>
      <c r="ELL1737" s="515"/>
      <c r="ELM1737" s="515"/>
      <c r="ELN1737" s="515"/>
      <c r="ELO1737" s="515"/>
      <c r="ELP1737" s="515"/>
      <c r="ELQ1737" s="515"/>
      <c r="ELR1737" s="515"/>
      <c r="ELS1737" s="515"/>
      <c r="ELT1737" s="515"/>
      <c r="ELU1737" s="515"/>
      <c r="ELV1737" s="515"/>
      <c r="ELW1737" s="515"/>
      <c r="ELX1737" s="515"/>
      <c r="ELY1737" s="515"/>
      <c r="ELZ1737" s="515"/>
      <c r="EMA1737" s="515"/>
      <c r="EMB1737" s="515"/>
      <c r="EMC1737" s="515"/>
      <c r="EMD1737" s="515"/>
      <c r="EME1737" s="515"/>
      <c r="EMF1737" s="515"/>
      <c r="EMG1737" s="515"/>
      <c r="EMH1737" s="515"/>
      <c r="EMI1737" s="515"/>
      <c r="EMJ1737" s="515"/>
      <c r="EMK1737" s="515"/>
      <c r="EML1737" s="515"/>
      <c r="EMM1737" s="515"/>
      <c r="EMN1737" s="515"/>
      <c r="EMO1737" s="515"/>
      <c r="EMP1737" s="515"/>
      <c r="EMQ1737" s="515"/>
      <c r="EMR1737" s="515"/>
      <c r="EMS1737" s="515"/>
      <c r="EMT1737" s="515"/>
      <c r="EMU1737" s="515"/>
      <c r="EMV1737" s="515"/>
      <c r="EMW1737" s="515"/>
      <c r="EMX1737" s="515"/>
      <c r="EMY1737" s="515"/>
      <c r="EMZ1737" s="515"/>
      <c r="ENA1737" s="515"/>
      <c r="ENB1737" s="515"/>
      <c r="ENC1737" s="515"/>
      <c r="END1737" s="515"/>
      <c r="ENE1737" s="515"/>
      <c r="ENF1737" s="515"/>
      <c r="ENG1737" s="515"/>
      <c r="ENH1737" s="515"/>
      <c r="ENI1737" s="515"/>
      <c r="ENJ1737" s="515"/>
      <c r="ENK1737" s="515"/>
      <c r="ENL1737" s="515"/>
      <c r="ENM1737" s="515"/>
      <c r="ENN1737" s="515"/>
      <c r="ENO1737" s="515"/>
      <c r="ENP1737" s="515"/>
      <c r="ENQ1737" s="515"/>
      <c r="ENR1737" s="515"/>
      <c r="ENS1737" s="515"/>
      <c r="ENT1737" s="515"/>
      <c r="ENU1737" s="515"/>
      <c r="ENV1737" s="515"/>
      <c r="ENW1737" s="515"/>
      <c r="ENX1737" s="515"/>
      <c r="ENY1737" s="515"/>
      <c r="ENZ1737" s="515"/>
      <c r="EOA1737" s="515"/>
      <c r="EOB1737" s="515"/>
      <c r="EOC1737" s="515"/>
      <c r="EOD1737" s="515"/>
      <c r="EOE1737" s="515"/>
      <c r="EOF1737" s="515"/>
      <c r="EOG1737" s="515"/>
      <c r="EOH1737" s="515"/>
      <c r="EOI1737" s="515"/>
      <c r="EOJ1737" s="515"/>
      <c r="EOK1737" s="515"/>
      <c r="EOL1737" s="515"/>
      <c r="EOM1737" s="515"/>
      <c r="EON1737" s="515"/>
      <c r="EOO1737" s="515"/>
      <c r="EOP1737" s="515"/>
      <c r="EOQ1737" s="515"/>
      <c r="EOR1737" s="515"/>
      <c r="EOS1737" s="515"/>
      <c r="EOT1737" s="515"/>
      <c r="EOU1737" s="515"/>
      <c r="EOV1737" s="515"/>
      <c r="EOW1737" s="515"/>
      <c r="EOX1737" s="515"/>
      <c r="EOY1737" s="515"/>
      <c r="EOZ1737" s="515"/>
      <c r="EPA1737" s="515"/>
      <c r="EPB1737" s="515"/>
      <c r="EPC1737" s="515"/>
      <c r="EPD1737" s="515"/>
      <c r="EPE1737" s="515"/>
      <c r="EPF1737" s="515"/>
      <c r="EPG1737" s="515"/>
      <c r="EPH1737" s="515"/>
      <c r="EPI1737" s="515"/>
      <c r="EPJ1737" s="515"/>
      <c r="EPK1737" s="515"/>
      <c r="EPL1737" s="515"/>
      <c r="EPM1737" s="515"/>
      <c r="EPN1737" s="515"/>
      <c r="EPO1737" s="515"/>
      <c r="EPP1737" s="515"/>
      <c r="EPQ1737" s="515"/>
      <c r="EPR1737" s="515"/>
      <c r="EPS1737" s="515"/>
      <c r="EPT1737" s="515"/>
      <c r="EPU1737" s="515"/>
      <c r="EPV1737" s="515"/>
      <c r="EPW1737" s="515"/>
      <c r="EPX1737" s="515"/>
      <c r="EPY1737" s="515"/>
      <c r="EPZ1737" s="515"/>
      <c r="EQA1737" s="515"/>
      <c r="EQB1737" s="515"/>
      <c r="EQC1737" s="515"/>
      <c r="EQD1737" s="515"/>
      <c r="EQE1737" s="515"/>
      <c r="EQF1737" s="515"/>
      <c r="EQG1737" s="515"/>
      <c r="EQH1737" s="515"/>
      <c r="EQI1737" s="515"/>
      <c r="EQJ1737" s="515"/>
      <c r="EQK1737" s="515"/>
      <c r="EQL1737" s="515"/>
      <c r="EQM1737" s="515"/>
      <c r="EQN1737" s="515"/>
      <c r="EQO1737" s="515"/>
      <c r="EQP1737" s="515"/>
      <c r="EQQ1737" s="515"/>
      <c r="EQR1737" s="515"/>
      <c r="EQS1737" s="515"/>
      <c r="EQT1737" s="515"/>
      <c r="EQU1737" s="515"/>
      <c r="EQV1737" s="515"/>
      <c r="EQW1737" s="515"/>
      <c r="EQX1737" s="515"/>
      <c r="EQY1737" s="515"/>
      <c r="EQZ1737" s="515"/>
      <c r="ERA1737" s="515"/>
      <c r="ERB1737" s="515"/>
      <c r="ERC1737" s="515"/>
      <c r="ERD1737" s="515"/>
      <c r="ERE1737" s="515"/>
      <c r="ERF1737" s="515"/>
      <c r="ERG1737" s="515"/>
      <c r="ERH1737" s="515"/>
      <c r="ERI1737" s="515"/>
      <c r="ERJ1737" s="515"/>
      <c r="ERK1737" s="515"/>
      <c r="ERL1737" s="515"/>
      <c r="ERM1737" s="515"/>
      <c r="ERN1737" s="515"/>
      <c r="ERO1737" s="515"/>
      <c r="ERP1737" s="515"/>
      <c r="ERQ1737" s="515"/>
      <c r="ERR1737" s="515"/>
      <c r="ERS1737" s="515"/>
      <c r="ERT1737" s="515"/>
      <c r="ERU1737" s="515"/>
      <c r="ERV1737" s="515"/>
      <c r="ERW1737" s="515"/>
      <c r="ERX1737" s="515"/>
      <c r="ERY1737" s="515"/>
      <c r="ERZ1737" s="515"/>
      <c r="ESA1737" s="515"/>
      <c r="ESB1737" s="515"/>
      <c r="ESC1737" s="515"/>
      <c r="ESD1737" s="515"/>
      <c r="ESE1737" s="515"/>
      <c r="ESF1737" s="515"/>
      <c r="ESG1737" s="515"/>
      <c r="ESH1737" s="515"/>
      <c r="ESI1737" s="515"/>
      <c r="ESJ1737" s="515"/>
      <c r="ESK1737" s="515"/>
      <c r="ESL1737" s="515"/>
      <c r="ESM1737" s="515"/>
      <c r="ESN1737" s="515"/>
      <c r="ESO1737" s="515"/>
      <c r="ESP1737" s="515"/>
      <c r="ESQ1737" s="515"/>
      <c r="ESR1737" s="515"/>
      <c r="ESS1737" s="515"/>
      <c r="EST1737" s="515"/>
      <c r="ESU1737" s="515"/>
      <c r="ESV1737" s="515"/>
      <c r="ESW1737" s="515"/>
      <c r="ESX1737" s="515"/>
      <c r="ESY1737" s="515"/>
      <c r="ESZ1737" s="515"/>
      <c r="ETA1737" s="515"/>
      <c r="ETB1737" s="515"/>
      <c r="ETC1737" s="515"/>
      <c r="ETD1737" s="515"/>
      <c r="ETE1737" s="515"/>
      <c r="ETF1737" s="515"/>
      <c r="ETG1737" s="515"/>
      <c r="ETH1737" s="515"/>
      <c r="ETI1737" s="515"/>
      <c r="ETJ1737" s="515"/>
      <c r="ETK1737" s="515"/>
      <c r="ETL1737" s="515"/>
      <c r="ETM1737" s="515"/>
      <c r="ETN1737" s="515"/>
      <c r="ETO1737" s="515"/>
      <c r="ETP1737" s="515"/>
      <c r="ETQ1737" s="515"/>
      <c r="ETR1737" s="515"/>
      <c r="ETS1737" s="515"/>
      <c r="ETT1737" s="515"/>
      <c r="ETU1737" s="515"/>
      <c r="ETV1737" s="515"/>
      <c r="ETW1737" s="515"/>
      <c r="ETX1737" s="515"/>
      <c r="ETY1737" s="515"/>
      <c r="ETZ1737" s="515"/>
      <c r="EUA1737" s="515"/>
      <c r="EUB1737" s="515"/>
      <c r="EUC1737" s="515"/>
      <c r="EUD1737" s="515"/>
      <c r="EUE1737" s="515"/>
      <c r="EUF1737" s="515"/>
      <c r="EUG1737" s="515"/>
      <c r="EUH1737" s="515"/>
      <c r="EUI1737" s="515"/>
      <c r="EUJ1737" s="515"/>
      <c r="EUK1737" s="515"/>
      <c r="EUL1737" s="515"/>
      <c r="EUM1737" s="515"/>
      <c r="EUN1737" s="515"/>
      <c r="EUO1737" s="515"/>
      <c r="EUP1737" s="515"/>
      <c r="EUQ1737" s="515"/>
      <c r="EUR1737" s="515"/>
      <c r="EUS1737" s="515"/>
      <c r="EUT1737" s="515"/>
      <c r="EUU1737" s="515"/>
      <c r="EUV1737" s="515"/>
      <c r="EUW1737" s="515"/>
      <c r="EUX1737" s="515"/>
      <c r="EUY1737" s="515"/>
      <c r="EUZ1737" s="515"/>
      <c r="EVA1737" s="515"/>
      <c r="EVB1737" s="515"/>
      <c r="EVC1737" s="515"/>
      <c r="EVD1737" s="515"/>
      <c r="EVE1737" s="515"/>
      <c r="EVF1737" s="515"/>
      <c r="EVG1737" s="515"/>
      <c r="EVH1737" s="515"/>
      <c r="EVI1737" s="515"/>
      <c r="EVJ1737" s="515"/>
      <c r="EVK1737" s="515"/>
      <c r="EVL1737" s="515"/>
      <c r="EVM1737" s="515"/>
      <c r="EVN1737" s="515"/>
      <c r="EVO1737" s="515"/>
      <c r="EVP1737" s="515"/>
      <c r="EVQ1737" s="515"/>
      <c r="EVR1737" s="515"/>
      <c r="EVS1737" s="515"/>
      <c r="EVT1737" s="515"/>
      <c r="EVU1737" s="515"/>
      <c r="EVV1737" s="515"/>
      <c r="EVW1737" s="515"/>
      <c r="EVX1737" s="515"/>
      <c r="EVY1737" s="515"/>
      <c r="EVZ1737" s="515"/>
      <c r="EWA1737" s="515"/>
      <c r="EWB1737" s="515"/>
      <c r="EWC1737" s="515"/>
      <c r="EWD1737" s="515"/>
      <c r="EWE1737" s="515"/>
      <c r="EWF1737" s="515"/>
      <c r="EWG1737" s="515"/>
      <c r="EWH1737" s="515"/>
      <c r="EWI1737" s="515"/>
      <c r="EWJ1737" s="515"/>
      <c r="EWK1737" s="515"/>
      <c r="EWL1737" s="515"/>
      <c r="EWM1737" s="515"/>
      <c r="EWN1737" s="515"/>
      <c r="EWO1737" s="515"/>
      <c r="EWP1737" s="515"/>
      <c r="EWQ1737" s="515"/>
      <c r="EWR1737" s="515"/>
      <c r="EWS1737" s="515"/>
      <c r="EWT1737" s="515"/>
      <c r="EWU1737" s="515"/>
      <c r="EWV1737" s="515"/>
      <c r="EWW1737" s="515"/>
      <c r="EWX1737" s="515"/>
      <c r="EWY1737" s="515"/>
      <c r="EWZ1737" s="515"/>
      <c r="EXA1737" s="515"/>
      <c r="EXB1737" s="515"/>
      <c r="EXC1737" s="515"/>
      <c r="EXD1737" s="515"/>
      <c r="EXE1737" s="515"/>
      <c r="EXF1737" s="515"/>
      <c r="EXG1737" s="515"/>
      <c r="EXH1737" s="515"/>
      <c r="EXI1737" s="515"/>
      <c r="EXJ1737" s="515"/>
      <c r="EXK1737" s="515"/>
      <c r="EXL1737" s="515"/>
      <c r="EXM1737" s="515"/>
      <c r="EXN1737" s="515"/>
      <c r="EXO1737" s="515"/>
      <c r="EXP1737" s="515"/>
      <c r="EXQ1737" s="515"/>
      <c r="EXR1737" s="515"/>
      <c r="EXS1737" s="515"/>
      <c r="EXT1737" s="515"/>
      <c r="EXU1737" s="515"/>
      <c r="EXV1737" s="515"/>
      <c r="EXW1737" s="515"/>
      <c r="EXX1737" s="515"/>
      <c r="EXY1737" s="515"/>
      <c r="EXZ1737" s="515"/>
      <c r="EYA1737" s="515"/>
      <c r="EYB1737" s="515"/>
      <c r="EYC1737" s="515"/>
      <c r="EYD1737" s="515"/>
      <c r="EYE1737" s="515"/>
      <c r="EYF1737" s="515"/>
      <c r="EYG1737" s="515"/>
      <c r="EYH1737" s="515"/>
      <c r="EYI1737" s="515"/>
      <c r="EYJ1737" s="515"/>
      <c r="EYK1737" s="515"/>
      <c r="EYL1737" s="515"/>
      <c r="EYM1737" s="515"/>
      <c r="EYN1737" s="515"/>
      <c r="EYO1737" s="515"/>
      <c r="EYP1737" s="515"/>
      <c r="EYQ1737" s="515"/>
      <c r="EYR1737" s="515"/>
      <c r="EYS1737" s="515"/>
      <c r="EYT1737" s="515"/>
      <c r="EYU1737" s="515"/>
      <c r="EYV1737" s="515"/>
      <c r="EYW1737" s="515"/>
      <c r="EYX1737" s="515"/>
      <c r="EYY1737" s="515"/>
      <c r="EYZ1737" s="515"/>
      <c r="EZA1737" s="515"/>
      <c r="EZB1737" s="515"/>
      <c r="EZC1737" s="515"/>
      <c r="EZD1737" s="515"/>
      <c r="EZE1737" s="515"/>
      <c r="EZF1737" s="515"/>
      <c r="EZG1737" s="515"/>
      <c r="EZH1737" s="515"/>
      <c r="EZI1737" s="515"/>
      <c r="EZJ1737" s="515"/>
      <c r="EZK1737" s="515"/>
      <c r="EZL1737" s="515"/>
      <c r="EZM1737" s="515"/>
      <c r="EZN1737" s="515"/>
      <c r="EZO1737" s="515"/>
      <c r="EZP1737" s="515"/>
      <c r="EZQ1737" s="515"/>
      <c r="EZR1737" s="515"/>
      <c r="EZS1737" s="515"/>
      <c r="EZT1737" s="515"/>
      <c r="EZU1737" s="515"/>
      <c r="EZV1737" s="515"/>
      <c r="EZW1737" s="515"/>
      <c r="EZX1737" s="515"/>
      <c r="EZY1737" s="515"/>
      <c r="EZZ1737" s="515"/>
      <c r="FAA1737" s="515"/>
      <c r="FAB1737" s="515"/>
      <c r="FAC1737" s="515"/>
      <c r="FAD1737" s="515"/>
      <c r="FAE1737" s="515"/>
      <c r="FAF1737" s="515"/>
      <c r="FAG1737" s="515"/>
      <c r="FAH1737" s="515"/>
      <c r="FAI1737" s="515"/>
      <c r="FAJ1737" s="515"/>
      <c r="FAK1737" s="515"/>
      <c r="FAL1737" s="515"/>
      <c r="FAM1737" s="515"/>
      <c r="FAN1737" s="515"/>
      <c r="FAO1737" s="515"/>
      <c r="FAP1737" s="515"/>
      <c r="FAQ1737" s="515"/>
      <c r="FAR1737" s="515"/>
      <c r="FAS1737" s="515"/>
      <c r="FAT1737" s="515"/>
      <c r="FAU1737" s="515"/>
      <c r="FAV1737" s="515"/>
      <c r="FAW1737" s="515"/>
      <c r="FAX1737" s="515"/>
      <c r="FAY1737" s="515"/>
      <c r="FAZ1737" s="515"/>
      <c r="FBA1737" s="515"/>
      <c r="FBB1737" s="515"/>
      <c r="FBC1737" s="515"/>
      <c r="FBD1737" s="515"/>
      <c r="FBE1737" s="515"/>
      <c r="FBF1737" s="515"/>
      <c r="FBG1737" s="515"/>
      <c r="FBH1737" s="515"/>
      <c r="FBI1737" s="515"/>
      <c r="FBJ1737" s="515"/>
      <c r="FBK1737" s="515"/>
      <c r="FBL1737" s="515"/>
      <c r="FBM1737" s="515"/>
      <c r="FBN1737" s="515"/>
      <c r="FBO1737" s="515"/>
      <c r="FBP1737" s="515"/>
      <c r="FBQ1737" s="515"/>
      <c r="FBR1737" s="515"/>
      <c r="FBS1737" s="515"/>
      <c r="FBT1737" s="515"/>
      <c r="FBU1737" s="515"/>
      <c r="FBV1737" s="515"/>
      <c r="FBW1737" s="515"/>
      <c r="FBX1737" s="515"/>
      <c r="FBY1737" s="515"/>
      <c r="FBZ1737" s="515"/>
      <c r="FCA1737" s="515"/>
      <c r="FCB1737" s="515"/>
      <c r="FCC1737" s="515"/>
      <c r="FCD1737" s="515"/>
      <c r="FCE1737" s="515"/>
      <c r="FCF1737" s="515"/>
      <c r="FCG1737" s="515"/>
      <c r="FCH1737" s="515"/>
      <c r="FCI1737" s="515"/>
      <c r="FCJ1737" s="515"/>
      <c r="FCK1737" s="515"/>
      <c r="FCL1737" s="515"/>
      <c r="FCM1737" s="515"/>
      <c r="FCN1737" s="515"/>
      <c r="FCO1737" s="515"/>
      <c r="FCP1737" s="515"/>
      <c r="FCQ1737" s="515"/>
      <c r="FCR1737" s="515"/>
      <c r="FCS1737" s="515"/>
      <c r="FCT1737" s="515"/>
      <c r="FCU1737" s="515"/>
      <c r="FCV1737" s="515"/>
      <c r="FCW1737" s="515"/>
      <c r="FCX1737" s="515"/>
      <c r="FCY1737" s="515"/>
      <c r="FCZ1737" s="515"/>
      <c r="FDA1737" s="515"/>
      <c r="FDB1737" s="515"/>
      <c r="FDC1737" s="515"/>
      <c r="FDD1737" s="515"/>
      <c r="FDE1737" s="515"/>
      <c r="FDF1737" s="515"/>
      <c r="FDG1737" s="515"/>
      <c r="FDH1737" s="515"/>
      <c r="FDI1737" s="515"/>
      <c r="FDJ1737" s="515"/>
      <c r="FDK1737" s="515"/>
      <c r="FDL1737" s="515"/>
      <c r="FDM1737" s="515"/>
      <c r="FDN1737" s="515"/>
      <c r="FDO1737" s="515"/>
      <c r="FDP1737" s="515"/>
      <c r="FDQ1737" s="515"/>
      <c r="FDR1737" s="515"/>
      <c r="FDS1737" s="515"/>
      <c r="FDT1737" s="515"/>
      <c r="FDU1737" s="515"/>
      <c r="FDV1737" s="515"/>
      <c r="FDW1737" s="515"/>
      <c r="FDX1737" s="515"/>
      <c r="FDY1737" s="515"/>
      <c r="FDZ1737" s="515"/>
      <c r="FEA1737" s="515"/>
      <c r="FEB1737" s="515"/>
      <c r="FEC1737" s="515"/>
      <c r="FED1737" s="515"/>
      <c r="FEE1737" s="515"/>
      <c r="FEF1737" s="515"/>
      <c r="FEG1737" s="515"/>
      <c r="FEH1737" s="515"/>
      <c r="FEI1737" s="515"/>
      <c r="FEJ1737" s="515"/>
      <c r="FEK1737" s="515"/>
      <c r="FEL1737" s="515"/>
      <c r="FEM1737" s="515"/>
      <c r="FEN1737" s="515"/>
      <c r="FEO1737" s="515"/>
      <c r="FEP1737" s="515"/>
      <c r="FEQ1737" s="515"/>
      <c r="FER1737" s="515"/>
      <c r="FES1737" s="515"/>
      <c r="FET1737" s="515"/>
      <c r="FEU1737" s="515"/>
      <c r="FEV1737" s="515"/>
      <c r="FEW1737" s="515"/>
      <c r="FEX1737" s="515"/>
      <c r="FEY1737" s="515"/>
      <c r="FEZ1737" s="515"/>
      <c r="FFA1737" s="515"/>
      <c r="FFB1737" s="515"/>
      <c r="FFC1737" s="515"/>
      <c r="FFD1737" s="515"/>
      <c r="FFE1737" s="515"/>
      <c r="FFF1737" s="515"/>
      <c r="FFG1737" s="515"/>
      <c r="FFH1737" s="515"/>
      <c r="FFI1737" s="515"/>
      <c r="FFJ1737" s="515"/>
      <c r="FFK1737" s="515"/>
      <c r="FFL1737" s="515"/>
      <c r="FFM1737" s="515"/>
      <c r="FFN1737" s="515"/>
      <c r="FFO1737" s="515"/>
      <c r="FFP1737" s="515"/>
      <c r="FFQ1737" s="515"/>
      <c r="FFR1737" s="515"/>
      <c r="FFS1737" s="515"/>
      <c r="FFT1737" s="515"/>
      <c r="FFU1737" s="515"/>
      <c r="FFV1737" s="515"/>
      <c r="FFW1737" s="515"/>
      <c r="FFX1737" s="515"/>
      <c r="FFY1737" s="515"/>
      <c r="FFZ1737" s="515"/>
      <c r="FGA1737" s="515"/>
      <c r="FGB1737" s="515"/>
      <c r="FGC1737" s="515"/>
      <c r="FGD1737" s="515"/>
      <c r="FGE1737" s="515"/>
      <c r="FGF1737" s="515"/>
      <c r="FGG1737" s="515"/>
      <c r="FGH1737" s="515"/>
      <c r="FGI1737" s="515"/>
      <c r="FGJ1737" s="515"/>
      <c r="FGK1737" s="515"/>
      <c r="FGL1737" s="515"/>
      <c r="FGM1737" s="515"/>
      <c r="FGN1737" s="515"/>
      <c r="FGO1737" s="515"/>
      <c r="FGP1737" s="515"/>
      <c r="FGQ1737" s="515"/>
      <c r="FGR1737" s="515"/>
      <c r="FGS1737" s="515"/>
      <c r="FGT1737" s="515"/>
      <c r="FGU1737" s="515"/>
      <c r="FGV1737" s="515"/>
      <c r="FGW1737" s="515"/>
      <c r="FGX1737" s="515"/>
      <c r="FGY1737" s="515"/>
      <c r="FGZ1737" s="515"/>
      <c r="FHA1737" s="515"/>
      <c r="FHB1737" s="515"/>
      <c r="FHC1737" s="515"/>
      <c r="FHD1737" s="515"/>
      <c r="FHE1737" s="515"/>
      <c r="FHF1737" s="515"/>
      <c r="FHG1737" s="515"/>
      <c r="FHH1737" s="515"/>
      <c r="FHI1737" s="515"/>
      <c r="FHJ1737" s="515"/>
      <c r="FHK1737" s="515"/>
      <c r="FHL1737" s="515"/>
      <c r="FHM1737" s="515"/>
      <c r="FHN1737" s="515"/>
      <c r="FHO1737" s="515"/>
      <c r="FHP1737" s="515"/>
      <c r="FHQ1737" s="515"/>
      <c r="FHR1737" s="515"/>
      <c r="FHS1737" s="515"/>
      <c r="FHT1737" s="515"/>
      <c r="FHU1737" s="515"/>
      <c r="FHV1737" s="515"/>
      <c r="FHW1737" s="515"/>
      <c r="FHX1737" s="515"/>
      <c r="FHY1737" s="515"/>
      <c r="FHZ1737" s="515"/>
      <c r="FIA1737" s="515"/>
      <c r="FIB1737" s="515"/>
      <c r="FIC1737" s="515"/>
      <c r="FID1737" s="515"/>
      <c r="FIE1737" s="515"/>
      <c r="FIF1737" s="515"/>
      <c r="FIG1737" s="515"/>
      <c r="FIH1737" s="515"/>
      <c r="FII1737" s="515"/>
      <c r="FIJ1737" s="515"/>
      <c r="FIK1737" s="515"/>
      <c r="FIL1737" s="515"/>
      <c r="FIM1737" s="515"/>
      <c r="FIN1737" s="515"/>
      <c r="FIO1737" s="515"/>
      <c r="FIP1737" s="515"/>
      <c r="FIQ1737" s="515"/>
      <c r="FIR1737" s="515"/>
      <c r="FIS1737" s="515"/>
      <c r="FIT1737" s="515"/>
      <c r="FIU1737" s="515"/>
      <c r="FIV1737" s="515"/>
      <c r="FIW1737" s="515"/>
      <c r="FIX1737" s="515"/>
      <c r="FIY1737" s="515"/>
      <c r="FIZ1737" s="515"/>
      <c r="FJA1737" s="515"/>
      <c r="FJB1737" s="515"/>
      <c r="FJC1737" s="515"/>
      <c r="FJD1737" s="515"/>
      <c r="FJE1737" s="515"/>
      <c r="FJF1737" s="515"/>
      <c r="FJG1737" s="515"/>
      <c r="FJH1737" s="515"/>
      <c r="FJI1737" s="515"/>
      <c r="FJJ1737" s="515"/>
      <c r="FJK1737" s="515"/>
      <c r="FJL1737" s="515"/>
      <c r="FJM1737" s="515"/>
      <c r="FJN1737" s="515"/>
      <c r="FJO1737" s="515"/>
      <c r="FJP1737" s="515"/>
      <c r="FJQ1737" s="515"/>
      <c r="FJR1737" s="515"/>
      <c r="FJS1737" s="515"/>
      <c r="FJT1737" s="515"/>
      <c r="FJU1737" s="515"/>
      <c r="FJV1737" s="515"/>
      <c r="FJW1737" s="515"/>
      <c r="FJX1737" s="515"/>
      <c r="FJY1737" s="515"/>
      <c r="FJZ1737" s="515"/>
      <c r="FKA1737" s="515"/>
      <c r="FKB1737" s="515"/>
      <c r="FKC1737" s="515"/>
      <c r="FKD1737" s="515"/>
      <c r="FKE1737" s="515"/>
      <c r="FKF1737" s="515"/>
      <c r="FKG1737" s="515"/>
      <c r="FKH1737" s="515"/>
      <c r="FKI1737" s="515"/>
      <c r="FKJ1737" s="515"/>
      <c r="FKK1737" s="515"/>
      <c r="FKL1737" s="515"/>
      <c r="FKM1737" s="515"/>
      <c r="FKN1737" s="515"/>
      <c r="FKO1737" s="515"/>
      <c r="FKP1737" s="515"/>
      <c r="FKQ1737" s="515"/>
      <c r="FKR1737" s="515"/>
      <c r="FKS1737" s="515"/>
      <c r="FKT1737" s="515"/>
      <c r="FKU1737" s="515"/>
      <c r="FKV1737" s="515"/>
      <c r="FKW1737" s="515"/>
      <c r="FKX1737" s="515"/>
      <c r="FKY1737" s="515"/>
      <c r="FKZ1737" s="515"/>
      <c r="FLA1737" s="515"/>
      <c r="FLB1737" s="515"/>
      <c r="FLC1737" s="515"/>
      <c r="FLD1737" s="515"/>
      <c r="FLE1737" s="515"/>
      <c r="FLF1737" s="515"/>
      <c r="FLG1737" s="515"/>
      <c r="FLH1737" s="515"/>
      <c r="FLI1737" s="515"/>
      <c r="FLJ1737" s="515"/>
      <c r="FLK1737" s="515"/>
      <c r="FLL1737" s="515"/>
      <c r="FLM1737" s="515"/>
      <c r="FLN1737" s="515"/>
      <c r="FLO1737" s="515"/>
      <c r="FLP1737" s="515"/>
      <c r="FLQ1737" s="515"/>
      <c r="FLR1737" s="515"/>
      <c r="FLS1737" s="515"/>
      <c r="FLT1737" s="515"/>
      <c r="FLU1737" s="515"/>
      <c r="FLV1737" s="515"/>
      <c r="FLW1737" s="515"/>
      <c r="FLX1737" s="515"/>
      <c r="FLY1737" s="515"/>
      <c r="FLZ1737" s="515"/>
      <c r="FMA1737" s="515"/>
      <c r="FMB1737" s="515"/>
      <c r="FMC1737" s="515"/>
      <c r="FMD1737" s="515"/>
      <c r="FME1737" s="515"/>
      <c r="FMF1737" s="515"/>
      <c r="FMG1737" s="515"/>
      <c r="FMH1737" s="515"/>
      <c r="FMI1737" s="515"/>
      <c r="FMJ1737" s="515"/>
      <c r="FMK1737" s="515"/>
      <c r="FML1737" s="515"/>
      <c r="FMM1737" s="515"/>
      <c r="FMN1737" s="515"/>
      <c r="FMO1737" s="515"/>
      <c r="FMP1737" s="515"/>
      <c r="FMQ1737" s="515"/>
      <c r="FMR1737" s="515"/>
      <c r="FMS1737" s="515"/>
      <c r="FMT1737" s="515"/>
      <c r="FMU1737" s="515"/>
      <c r="FMV1737" s="515"/>
      <c r="FMW1737" s="515"/>
      <c r="FMX1737" s="515"/>
      <c r="FMY1737" s="515"/>
      <c r="FMZ1737" s="515"/>
      <c r="FNA1737" s="515"/>
      <c r="FNB1737" s="515"/>
      <c r="FNC1737" s="515"/>
      <c r="FND1737" s="515"/>
      <c r="FNE1737" s="515"/>
      <c r="FNF1737" s="515"/>
      <c r="FNG1737" s="515"/>
      <c r="FNH1737" s="515"/>
      <c r="FNI1737" s="515"/>
      <c r="FNJ1737" s="515"/>
      <c r="FNK1737" s="515"/>
      <c r="FNL1737" s="515"/>
      <c r="FNM1737" s="515"/>
      <c r="FNN1737" s="515"/>
      <c r="FNO1737" s="515"/>
      <c r="FNP1737" s="515"/>
      <c r="FNQ1737" s="515"/>
      <c r="FNR1737" s="515"/>
      <c r="FNS1737" s="515"/>
      <c r="FNT1737" s="515"/>
      <c r="FNU1737" s="515"/>
      <c r="FNV1737" s="515"/>
      <c r="FNW1737" s="515"/>
      <c r="FNX1737" s="515"/>
      <c r="FNY1737" s="515"/>
      <c r="FNZ1737" s="515"/>
      <c r="FOA1737" s="515"/>
      <c r="FOB1737" s="515"/>
      <c r="FOC1737" s="515"/>
      <c r="FOD1737" s="515"/>
      <c r="FOE1737" s="515"/>
      <c r="FOF1737" s="515"/>
      <c r="FOG1737" s="515"/>
      <c r="FOH1737" s="515"/>
      <c r="FOI1737" s="515"/>
      <c r="FOJ1737" s="515"/>
      <c r="FOK1737" s="515"/>
      <c r="FOL1737" s="515"/>
      <c r="FOM1737" s="515"/>
      <c r="FON1737" s="515"/>
      <c r="FOO1737" s="515"/>
      <c r="FOP1737" s="515"/>
      <c r="FOQ1737" s="515"/>
      <c r="FOR1737" s="515"/>
      <c r="FOS1737" s="515"/>
      <c r="FOT1737" s="515"/>
      <c r="FOU1737" s="515"/>
      <c r="FOV1737" s="515"/>
      <c r="FOW1737" s="515"/>
      <c r="FOX1737" s="515"/>
      <c r="FOY1737" s="515"/>
      <c r="FOZ1737" s="515"/>
      <c r="FPA1737" s="515"/>
      <c r="FPB1737" s="515"/>
      <c r="FPC1737" s="515"/>
      <c r="FPD1737" s="515"/>
      <c r="FPE1737" s="515"/>
      <c r="FPF1737" s="515"/>
      <c r="FPG1737" s="515"/>
      <c r="FPH1737" s="515"/>
      <c r="FPI1737" s="515"/>
      <c r="FPJ1737" s="515"/>
      <c r="FPK1737" s="515"/>
      <c r="FPL1737" s="515"/>
      <c r="FPM1737" s="515"/>
      <c r="FPN1737" s="515"/>
      <c r="FPO1737" s="515"/>
      <c r="FPP1737" s="515"/>
      <c r="FPQ1737" s="515"/>
      <c r="FPR1737" s="515"/>
      <c r="FPS1737" s="515"/>
      <c r="FPT1737" s="515"/>
      <c r="FPU1737" s="515"/>
      <c r="FPV1737" s="515"/>
      <c r="FPW1737" s="515"/>
      <c r="FPX1737" s="515"/>
      <c r="FPY1737" s="515"/>
      <c r="FPZ1737" s="515"/>
      <c r="FQA1737" s="515"/>
      <c r="FQB1737" s="515"/>
      <c r="FQC1737" s="515"/>
      <c r="FQD1737" s="515"/>
      <c r="FQE1737" s="515"/>
      <c r="FQF1737" s="515"/>
      <c r="FQG1737" s="515"/>
      <c r="FQH1737" s="515"/>
      <c r="FQI1737" s="515"/>
      <c r="FQJ1737" s="515"/>
      <c r="FQK1737" s="515"/>
      <c r="FQL1737" s="515"/>
      <c r="FQM1737" s="515"/>
      <c r="FQN1737" s="515"/>
      <c r="FQO1737" s="515"/>
      <c r="FQP1737" s="515"/>
      <c r="FQQ1737" s="515"/>
      <c r="FQR1737" s="515"/>
      <c r="FQS1737" s="515"/>
      <c r="FQT1737" s="515"/>
      <c r="FQU1737" s="515"/>
      <c r="FQV1737" s="515"/>
      <c r="FQW1737" s="515"/>
      <c r="FQX1737" s="515"/>
      <c r="FQY1737" s="515"/>
      <c r="FQZ1737" s="515"/>
      <c r="FRA1737" s="515"/>
      <c r="FRB1737" s="515"/>
      <c r="FRC1737" s="515"/>
      <c r="FRD1737" s="515"/>
      <c r="FRE1737" s="515"/>
      <c r="FRF1737" s="515"/>
      <c r="FRG1737" s="515"/>
      <c r="FRH1737" s="515"/>
      <c r="FRI1737" s="515"/>
      <c r="FRJ1737" s="515"/>
      <c r="FRK1737" s="515"/>
      <c r="FRL1737" s="515"/>
      <c r="FRM1737" s="515"/>
      <c r="FRN1737" s="515"/>
      <c r="FRO1737" s="515"/>
      <c r="FRP1737" s="515"/>
      <c r="FRQ1737" s="515"/>
      <c r="FRR1737" s="515"/>
      <c r="FRS1737" s="515"/>
      <c r="FRT1737" s="515"/>
      <c r="FRU1737" s="515"/>
      <c r="FRV1737" s="515"/>
      <c r="FRW1737" s="515"/>
      <c r="FRX1737" s="515"/>
      <c r="FRY1737" s="515"/>
      <c r="FRZ1737" s="515"/>
      <c r="FSA1737" s="515"/>
      <c r="FSB1737" s="515"/>
      <c r="FSC1737" s="515"/>
      <c r="FSD1737" s="515"/>
      <c r="FSE1737" s="515"/>
      <c r="FSF1737" s="515"/>
      <c r="FSG1737" s="515"/>
      <c r="FSH1737" s="515"/>
      <c r="FSI1737" s="515"/>
      <c r="FSJ1737" s="515"/>
      <c r="FSK1737" s="515"/>
      <c r="FSL1737" s="515"/>
      <c r="FSM1737" s="515"/>
      <c r="FSN1737" s="515"/>
      <c r="FSO1737" s="515"/>
      <c r="FSP1737" s="515"/>
      <c r="FSQ1737" s="515"/>
      <c r="FSR1737" s="515"/>
      <c r="FSS1737" s="515"/>
      <c r="FST1737" s="515"/>
      <c r="FSU1737" s="515"/>
      <c r="FSV1737" s="515"/>
      <c r="FSW1737" s="515"/>
      <c r="FSX1737" s="515"/>
      <c r="FSY1737" s="515"/>
      <c r="FSZ1737" s="515"/>
      <c r="FTA1737" s="515"/>
      <c r="FTB1737" s="515"/>
      <c r="FTC1737" s="515"/>
      <c r="FTD1737" s="515"/>
      <c r="FTE1737" s="515"/>
      <c r="FTF1737" s="515"/>
      <c r="FTG1737" s="515"/>
      <c r="FTH1737" s="515"/>
      <c r="FTI1737" s="515"/>
      <c r="FTJ1737" s="515"/>
      <c r="FTK1737" s="515"/>
      <c r="FTL1737" s="515"/>
      <c r="FTM1737" s="515"/>
      <c r="FTN1737" s="515"/>
      <c r="FTO1737" s="515"/>
      <c r="FTP1737" s="515"/>
      <c r="FTQ1737" s="515"/>
      <c r="FTR1737" s="515"/>
      <c r="FTS1737" s="515"/>
      <c r="FTT1737" s="515"/>
      <c r="FTU1737" s="515"/>
      <c r="FTV1737" s="515"/>
      <c r="FTW1737" s="515"/>
      <c r="FTX1737" s="515"/>
      <c r="FTY1737" s="515"/>
      <c r="FTZ1737" s="515"/>
      <c r="FUA1737" s="515"/>
      <c r="FUB1737" s="515"/>
      <c r="FUC1737" s="515"/>
      <c r="FUD1737" s="515"/>
      <c r="FUE1737" s="515"/>
      <c r="FUF1737" s="515"/>
      <c r="FUG1737" s="515"/>
      <c r="FUH1737" s="515"/>
      <c r="FUI1737" s="515"/>
      <c r="FUJ1737" s="515"/>
      <c r="FUK1737" s="515"/>
      <c r="FUL1737" s="515"/>
      <c r="FUM1737" s="515"/>
      <c r="FUN1737" s="515"/>
      <c r="FUO1737" s="515"/>
      <c r="FUP1737" s="515"/>
      <c r="FUQ1737" s="515"/>
      <c r="FUR1737" s="515"/>
      <c r="FUS1737" s="515"/>
      <c r="FUT1737" s="515"/>
      <c r="FUU1737" s="515"/>
      <c r="FUV1737" s="515"/>
      <c r="FUW1737" s="515"/>
      <c r="FUX1737" s="515"/>
      <c r="FUY1737" s="515"/>
      <c r="FUZ1737" s="515"/>
      <c r="FVA1737" s="515"/>
      <c r="FVB1737" s="515"/>
      <c r="FVC1737" s="515"/>
      <c r="FVD1737" s="515"/>
      <c r="FVE1737" s="515"/>
      <c r="FVF1737" s="515"/>
      <c r="FVG1737" s="515"/>
      <c r="FVH1737" s="515"/>
      <c r="FVI1737" s="515"/>
      <c r="FVJ1737" s="515"/>
      <c r="FVK1737" s="515"/>
      <c r="FVL1737" s="515"/>
      <c r="FVM1737" s="515"/>
      <c r="FVN1737" s="515"/>
      <c r="FVO1737" s="515"/>
      <c r="FVP1737" s="515"/>
      <c r="FVQ1737" s="515"/>
      <c r="FVR1737" s="515"/>
      <c r="FVS1737" s="515"/>
      <c r="FVT1737" s="515"/>
      <c r="FVU1737" s="515"/>
      <c r="FVV1737" s="515"/>
      <c r="FVW1737" s="515"/>
      <c r="FVX1737" s="515"/>
      <c r="FVY1737" s="515"/>
      <c r="FVZ1737" s="515"/>
      <c r="FWA1737" s="515"/>
      <c r="FWB1737" s="515"/>
      <c r="FWC1737" s="515"/>
      <c r="FWD1737" s="515"/>
      <c r="FWE1737" s="515"/>
      <c r="FWF1737" s="515"/>
      <c r="FWG1737" s="515"/>
      <c r="FWH1737" s="515"/>
      <c r="FWI1737" s="515"/>
      <c r="FWJ1737" s="515"/>
      <c r="FWK1737" s="515"/>
      <c r="FWL1737" s="515"/>
      <c r="FWM1737" s="515"/>
      <c r="FWN1737" s="515"/>
      <c r="FWO1737" s="515"/>
      <c r="FWP1737" s="515"/>
      <c r="FWQ1737" s="515"/>
      <c r="FWR1737" s="515"/>
      <c r="FWS1737" s="515"/>
      <c r="FWT1737" s="515"/>
      <c r="FWU1737" s="515"/>
      <c r="FWV1737" s="515"/>
      <c r="FWW1737" s="515"/>
      <c r="FWX1737" s="515"/>
      <c r="FWY1737" s="515"/>
      <c r="FWZ1737" s="515"/>
      <c r="FXA1737" s="515"/>
      <c r="FXB1737" s="515"/>
      <c r="FXC1737" s="515"/>
      <c r="FXD1737" s="515"/>
      <c r="FXE1737" s="515"/>
      <c r="FXF1737" s="515"/>
      <c r="FXG1737" s="515"/>
      <c r="FXH1737" s="515"/>
      <c r="FXI1737" s="515"/>
      <c r="FXJ1737" s="515"/>
      <c r="FXK1737" s="515"/>
      <c r="FXL1737" s="515"/>
      <c r="FXM1737" s="515"/>
      <c r="FXN1737" s="515"/>
      <c r="FXO1737" s="515"/>
      <c r="FXP1737" s="515"/>
      <c r="FXQ1737" s="515"/>
      <c r="FXR1737" s="515"/>
      <c r="FXS1737" s="515"/>
      <c r="FXT1737" s="515"/>
      <c r="FXU1737" s="515"/>
      <c r="FXV1737" s="515"/>
      <c r="FXW1737" s="515"/>
      <c r="FXX1737" s="515"/>
      <c r="FXY1737" s="515"/>
      <c r="FXZ1737" s="515"/>
      <c r="FYA1737" s="515"/>
      <c r="FYB1737" s="515"/>
      <c r="FYC1737" s="515"/>
      <c r="FYD1737" s="515"/>
      <c r="FYE1737" s="515"/>
      <c r="FYF1737" s="515"/>
      <c r="FYG1737" s="515"/>
      <c r="FYH1737" s="515"/>
      <c r="FYI1737" s="515"/>
      <c r="FYJ1737" s="515"/>
      <c r="FYK1737" s="515"/>
      <c r="FYL1737" s="515"/>
      <c r="FYM1737" s="515"/>
      <c r="FYN1737" s="515"/>
      <c r="FYO1737" s="515"/>
      <c r="FYP1737" s="515"/>
      <c r="FYQ1737" s="515"/>
      <c r="FYR1737" s="515"/>
      <c r="FYS1737" s="515"/>
      <c r="FYT1737" s="515"/>
      <c r="FYU1737" s="515"/>
      <c r="FYV1737" s="515"/>
      <c r="FYW1737" s="515"/>
      <c r="FYX1737" s="515"/>
      <c r="FYY1737" s="515"/>
      <c r="FYZ1737" s="515"/>
      <c r="FZA1737" s="515"/>
      <c r="FZB1737" s="515"/>
      <c r="FZC1737" s="515"/>
      <c r="FZD1737" s="515"/>
      <c r="FZE1737" s="515"/>
      <c r="FZF1737" s="515"/>
      <c r="FZG1737" s="515"/>
      <c r="FZH1737" s="515"/>
      <c r="FZI1737" s="515"/>
      <c r="FZJ1737" s="515"/>
      <c r="FZK1737" s="515"/>
      <c r="FZL1737" s="515"/>
      <c r="FZM1737" s="515"/>
      <c r="FZN1737" s="515"/>
      <c r="FZO1737" s="515"/>
      <c r="FZP1737" s="515"/>
      <c r="FZQ1737" s="515"/>
      <c r="FZR1737" s="515"/>
      <c r="FZS1737" s="515"/>
      <c r="FZT1737" s="515"/>
      <c r="FZU1737" s="515"/>
      <c r="FZV1737" s="515"/>
      <c r="FZW1737" s="515"/>
      <c r="FZX1737" s="515"/>
      <c r="FZY1737" s="515"/>
      <c r="FZZ1737" s="515"/>
      <c r="GAA1737" s="515"/>
      <c r="GAB1737" s="515"/>
      <c r="GAC1737" s="515"/>
      <c r="GAD1737" s="515"/>
      <c r="GAE1737" s="515"/>
      <c r="GAF1737" s="515"/>
      <c r="GAG1737" s="515"/>
      <c r="GAH1737" s="515"/>
      <c r="GAI1737" s="515"/>
      <c r="GAJ1737" s="515"/>
      <c r="GAK1737" s="515"/>
      <c r="GAL1737" s="515"/>
      <c r="GAM1737" s="515"/>
      <c r="GAN1737" s="515"/>
      <c r="GAO1737" s="515"/>
      <c r="GAP1737" s="515"/>
      <c r="GAQ1737" s="515"/>
      <c r="GAR1737" s="515"/>
      <c r="GAS1737" s="515"/>
      <c r="GAT1737" s="515"/>
      <c r="GAU1737" s="515"/>
      <c r="GAV1737" s="515"/>
      <c r="GAW1737" s="515"/>
      <c r="GAX1737" s="515"/>
      <c r="GAY1737" s="515"/>
      <c r="GAZ1737" s="515"/>
      <c r="GBA1737" s="515"/>
      <c r="GBB1737" s="515"/>
      <c r="GBC1737" s="515"/>
      <c r="GBD1737" s="515"/>
      <c r="GBE1737" s="515"/>
      <c r="GBF1737" s="515"/>
      <c r="GBG1737" s="515"/>
      <c r="GBH1737" s="515"/>
      <c r="GBI1737" s="515"/>
      <c r="GBJ1737" s="515"/>
      <c r="GBK1737" s="515"/>
      <c r="GBL1737" s="515"/>
      <c r="GBM1737" s="515"/>
      <c r="GBN1737" s="515"/>
      <c r="GBO1737" s="515"/>
      <c r="GBP1737" s="515"/>
      <c r="GBQ1737" s="515"/>
      <c r="GBR1737" s="515"/>
      <c r="GBS1737" s="515"/>
      <c r="GBT1737" s="515"/>
      <c r="GBU1737" s="515"/>
      <c r="GBV1737" s="515"/>
      <c r="GBW1737" s="515"/>
      <c r="GBX1737" s="515"/>
      <c r="GBY1737" s="515"/>
      <c r="GBZ1737" s="515"/>
      <c r="GCA1737" s="515"/>
      <c r="GCB1737" s="515"/>
      <c r="GCC1737" s="515"/>
      <c r="GCD1737" s="515"/>
      <c r="GCE1737" s="515"/>
      <c r="GCF1737" s="515"/>
      <c r="GCG1737" s="515"/>
      <c r="GCH1737" s="515"/>
      <c r="GCI1737" s="515"/>
      <c r="GCJ1737" s="515"/>
      <c r="GCK1737" s="515"/>
      <c r="GCL1737" s="515"/>
      <c r="GCM1737" s="515"/>
      <c r="GCN1737" s="515"/>
      <c r="GCO1737" s="515"/>
      <c r="GCP1737" s="515"/>
      <c r="GCQ1737" s="515"/>
      <c r="GCR1737" s="515"/>
      <c r="GCS1737" s="515"/>
      <c r="GCT1737" s="515"/>
      <c r="GCU1737" s="515"/>
      <c r="GCV1737" s="515"/>
      <c r="GCW1737" s="515"/>
      <c r="GCX1737" s="515"/>
      <c r="GCY1737" s="515"/>
      <c r="GCZ1737" s="515"/>
      <c r="GDA1737" s="515"/>
      <c r="GDB1737" s="515"/>
      <c r="GDC1737" s="515"/>
      <c r="GDD1737" s="515"/>
      <c r="GDE1737" s="515"/>
      <c r="GDF1737" s="515"/>
      <c r="GDG1737" s="515"/>
      <c r="GDH1737" s="515"/>
      <c r="GDI1737" s="515"/>
      <c r="GDJ1737" s="515"/>
      <c r="GDK1737" s="515"/>
      <c r="GDL1737" s="515"/>
      <c r="GDM1737" s="515"/>
      <c r="GDN1737" s="515"/>
      <c r="GDO1737" s="515"/>
      <c r="GDP1737" s="515"/>
      <c r="GDQ1737" s="515"/>
      <c r="GDR1737" s="515"/>
      <c r="GDS1737" s="515"/>
      <c r="GDT1737" s="515"/>
      <c r="GDU1737" s="515"/>
      <c r="GDV1737" s="515"/>
      <c r="GDW1737" s="515"/>
      <c r="GDX1737" s="515"/>
      <c r="GDY1737" s="515"/>
      <c r="GDZ1737" s="515"/>
      <c r="GEA1737" s="515"/>
      <c r="GEB1737" s="515"/>
      <c r="GEC1737" s="515"/>
      <c r="GED1737" s="515"/>
      <c r="GEE1737" s="515"/>
      <c r="GEF1737" s="515"/>
      <c r="GEG1737" s="515"/>
      <c r="GEH1737" s="515"/>
      <c r="GEI1737" s="515"/>
      <c r="GEJ1737" s="515"/>
      <c r="GEK1737" s="515"/>
      <c r="GEL1737" s="515"/>
      <c r="GEM1737" s="515"/>
      <c r="GEN1737" s="515"/>
      <c r="GEO1737" s="515"/>
      <c r="GEP1737" s="515"/>
      <c r="GEQ1737" s="515"/>
      <c r="GER1737" s="515"/>
      <c r="GES1737" s="515"/>
      <c r="GET1737" s="515"/>
      <c r="GEU1737" s="515"/>
      <c r="GEV1737" s="515"/>
      <c r="GEW1737" s="515"/>
      <c r="GEX1737" s="515"/>
      <c r="GEY1737" s="515"/>
      <c r="GEZ1737" s="515"/>
      <c r="GFA1737" s="515"/>
      <c r="GFB1737" s="515"/>
      <c r="GFC1737" s="515"/>
      <c r="GFD1737" s="515"/>
      <c r="GFE1737" s="515"/>
      <c r="GFF1737" s="515"/>
      <c r="GFG1737" s="515"/>
      <c r="GFH1737" s="515"/>
      <c r="GFI1737" s="515"/>
      <c r="GFJ1737" s="515"/>
      <c r="GFK1737" s="515"/>
      <c r="GFL1737" s="515"/>
      <c r="GFM1737" s="515"/>
      <c r="GFN1737" s="515"/>
      <c r="GFO1737" s="515"/>
      <c r="GFP1737" s="515"/>
      <c r="GFQ1737" s="515"/>
      <c r="GFR1737" s="515"/>
      <c r="GFS1737" s="515"/>
      <c r="GFT1737" s="515"/>
      <c r="GFU1737" s="515"/>
      <c r="GFV1737" s="515"/>
      <c r="GFW1737" s="515"/>
      <c r="GFX1737" s="515"/>
      <c r="GFY1737" s="515"/>
      <c r="GFZ1737" s="515"/>
      <c r="GGA1737" s="515"/>
      <c r="GGB1737" s="515"/>
      <c r="GGC1737" s="515"/>
      <c r="GGD1737" s="515"/>
      <c r="GGE1737" s="515"/>
      <c r="GGF1737" s="515"/>
      <c r="GGG1737" s="515"/>
      <c r="GGH1737" s="515"/>
      <c r="GGI1737" s="515"/>
      <c r="GGJ1737" s="515"/>
      <c r="GGK1737" s="515"/>
      <c r="GGL1737" s="515"/>
      <c r="GGM1737" s="515"/>
      <c r="GGN1737" s="515"/>
      <c r="GGO1737" s="515"/>
      <c r="GGP1737" s="515"/>
      <c r="GGQ1737" s="515"/>
      <c r="GGR1737" s="515"/>
      <c r="GGS1737" s="515"/>
      <c r="GGT1737" s="515"/>
      <c r="GGU1737" s="515"/>
      <c r="GGV1737" s="515"/>
      <c r="GGW1737" s="515"/>
      <c r="GGX1737" s="515"/>
      <c r="GGY1737" s="515"/>
      <c r="GGZ1737" s="515"/>
      <c r="GHA1737" s="515"/>
      <c r="GHB1737" s="515"/>
      <c r="GHC1737" s="515"/>
      <c r="GHD1737" s="515"/>
      <c r="GHE1737" s="515"/>
      <c r="GHF1737" s="515"/>
      <c r="GHG1737" s="515"/>
      <c r="GHH1737" s="515"/>
      <c r="GHI1737" s="515"/>
      <c r="GHJ1737" s="515"/>
      <c r="GHK1737" s="515"/>
      <c r="GHL1737" s="515"/>
      <c r="GHM1737" s="515"/>
      <c r="GHN1737" s="515"/>
      <c r="GHO1737" s="515"/>
      <c r="GHP1737" s="515"/>
      <c r="GHQ1737" s="515"/>
      <c r="GHR1737" s="515"/>
      <c r="GHS1737" s="515"/>
      <c r="GHT1737" s="515"/>
      <c r="GHU1737" s="515"/>
      <c r="GHV1737" s="515"/>
      <c r="GHW1737" s="515"/>
      <c r="GHX1737" s="515"/>
      <c r="GHY1737" s="515"/>
      <c r="GHZ1737" s="515"/>
      <c r="GIA1737" s="515"/>
      <c r="GIB1737" s="515"/>
      <c r="GIC1737" s="515"/>
      <c r="GID1737" s="515"/>
      <c r="GIE1737" s="515"/>
      <c r="GIF1737" s="515"/>
      <c r="GIG1737" s="515"/>
      <c r="GIH1737" s="515"/>
      <c r="GII1737" s="515"/>
      <c r="GIJ1737" s="515"/>
      <c r="GIK1737" s="515"/>
      <c r="GIL1737" s="515"/>
      <c r="GIM1737" s="515"/>
      <c r="GIN1737" s="515"/>
      <c r="GIO1737" s="515"/>
      <c r="GIP1737" s="515"/>
      <c r="GIQ1737" s="515"/>
      <c r="GIR1737" s="515"/>
      <c r="GIS1737" s="515"/>
      <c r="GIT1737" s="515"/>
      <c r="GIU1737" s="515"/>
      <c r="GIV1737" s="515"/>
      <c r="GIW1737" s="515"/>
      <c r="GIX1737" s="515"/>
      <c r="GIY1737" s="515"/>
      <c r="GIZ1737" s="515"/>
      <c r="GJA1737" s="515"/>
      <c r="GJB1737" s="515"/>
      <c r="GJC1737" s="515"/>
      <c r="GJD1737" s="515"/>
      <c r="GJE1737" s="515"/>
      <c r="GJF1737" s="515"/>
      <c r="GJG1737" s="515"/>
      <c r="GJH1737" s="515"/>
      <c r="GJI1737" s="515"/>
      <c r="GJJ1737" s="515"/>
      <c r="GJK1737" s="515"/>
      <c r="GJL1737" s="515"/>
      <c r="GJM1737" s="515"/>
      <c r="GJN1737" s="515"/>
      <c r="GJO1737" s="515"/>
      <c r="GJP1737" s="515"/>
      <c r="GJQ1737" s="515"/>
      <c r="GJR1737" s="515"/>
      <c r="GJS1737" s="515"/>
      <c r="GJT1737" s="515"/>
      <c r="GJU1737" s="515"/>
      <c r="GJV1737" s="515"/>
      <c r="GJW1737" s="515"/>
      <c r="GJX1737" s="515"/>
      <c r="GJY1737" s="515"/>
      <c r="GJZ1737" s="515"/>
      <c r="GKA1737" s="515"/>
      <c r="GKB1737" s="515"/>
      <c r="GKC1737" s="515"/>
      <c r="GKD1737" s="515"/>
      <c r="GKE1737" s="515"/>
      <c r="GKF1737" s="515"/>
      <c r="GKG1737" s="515"/>
      <c r="GKH1737" s="515"/>
      <c r="GKI1737" s="515"/>
      <c r="GKJ1737" s="515"/>
      <c r="GKK1737" s="515"/>
      <c r="GKL1737" s="515"/>
      <c r="GKM1737" s="515"/>
      <c r="GKN1737" s="515"/>
      <c r="GKO1737" s="515"/>
      <c r="GKP1737" s="515"/>
      <c r="GKQ1737" s="515"/>
      <c r="GKR1737" s="515"/>
      <c r="GKS1737" s="515"/>
      <c r="GKT1737" s="515"/>
      <c r="GKU1737" s="515"/>
      <c r="GKV1737" s="515"/>
      <c r="GKW1737" s="515"/>
      <c r="GKX1737" s="515"/>
      <c r="GKY1737" s="515"/>
      <c r="GKZ1737" s="515"/>
      <c r="GLA1737" s="515"/>
      <c r="GLB1737" s="515"/>
      <c r="GLC1737" s="515"/>
      <c r="GLD1737" s="515"/>
      <c r="GLE1737" s="515"/>
      <c r="GLF1737" s="515"/>
      <c r="GLG1737" s="515"/>
      <c r="GLH1737" s="515"/>
      <c r="GLI1737" s="515"/>
      <c r="GLJ1737" s="515"/>
      <c r="GLK1737" s="515"/>
      <c r="GLL1737" s="515"/>
      <c r="GLM1737" s="515"/>
      <c r="GLN1737" s="515"/>
      <c r="GLO1737" s="515"/>
      <c r="GLP1737" s="515"/>
      <c r="GLQ1737" s="515"/>
      <c r="GLR1737" s="515"/>
      <c r="GLS1737" s="515"/>
      <c r="GLT1737" s="515"/>
      <c r="GLU1737" s="515"/>
      <c r="GLV1737" s="515"/>
      <c r="GLW1737" s="515"/>
      <c r="GLX1737" s="515"/>
      <c r="GLY1737" s="515"/>
      <c r="GLZ1737" s="515"/>
      <c r="GMA1737" s="515"/>
      <c r="GMB1737" s="515"/>
      <c r="GMC1737" s="515"/>
      <c r="GMD1737" s="515"/>
      <c r="GME1737" s="515"/>
      <c r="GMF1737" s="515"/>
      <c r="GMG1737" s="515"/>
      <c r="GMH1737" s="515"/>
      <c r="GMI1737" s="515"/>
      <c r="GMJ1737" s="515"/>
      <c r="GMK1737" s="515"/>
      <c r="GML1737" s="515"/>
      <c r="GMM1737" s="515"/>
      <c r="GMN1737" s="515"/>
      <c r="GMO1737" s="515"/>
      <c r="GMP1737" s="515"/>
      <c r="GMQ1737" s="515"/>
      <c r="GMR1737" s="515"/>
      <c r="GMS1737" s="515"/>
      <c r="GMT1737" s="515"/>
      <c r="GMU1737" s="515"/>
      <c r="GMV1737" s="515"/>
      <c r="GMW1737" s="515"/>
      <c r="GMX1737" s="515"/>
      <c r="GMY1737" s="515"/>
      <c r="GMZ1737" s="515"/>
      <c r="GNA1737" s="515"/>
      <c r="GNB1737" s="515"/>
      <c r="GNC1737" s="515"/>
      <c r="GND1737" s="515"/>
      <c r="GNE1737" s="515"/>
      <c r="GNF1737" s="515"/>
      <c r="GNG1737" s="515"/>
      <c r="GNH1737" s="515"/>
      <c r="GNI1737" s="515"/>
      <c r="GNJ1737" s="515"/>
      <c r="GNK1737" s="515"/>
      <c r="GNL1737" s="515"/>
      <c r="GNM1737" s="515"/>
      <c r="GNN1737" s="515"/>
      <c r="GNO1737" s="515"/>
      <c r="GNP1737" s="515"/>
      <c r="GNQ1737" s="515"/>
      <c r="GNR1737" s="515"/>
      <c r="GNS1737" s="515"/>
      <c r="GNT1737" s="515"/>
      <c r="GNU1737" s="515"/>
      <c r="GNV1737" s="515"/>
      <c r="GNW1737" s="515"/>
      <c r="GNX1737" s="515"/>
      <c r="GNY1737" s="515"/>
      <c r="GNZ1737" s="515"/>
      <c r="GOA1737" s="515"/>
      <c r="GOB1737" s="515"/>
      <c r="GOC1737" s="515"/>
      <c r="GOD1737" s="515"/>
      <c r="GOE1737" s="515"/>
      <c r="GOF1737" s="515"/>
      <c r="GOG1737" s="515"/>
      <c r="GOH1737" s="515"/>
      <c r="GOI1737" s="515"/>
      <c r="GOJ1737" s="515"/>
      <c r="GOK1737" s="515"/>
      <c r="GOL1737" s="515"/>
      <c r="GOM1737" s="515"/>
      <c r="GON1737" s="515"/>
      <c r="GOO1737" s="515"/>
      <c r="GOP1737" s="515"/>
      <c r="GOQ1737" s="515"/>
      <c r="GOR1737" s="515"/>
      <c r="GOS1737" s="515"/>
      <c r="GOT1737" s="515"/>
      <c r="GOU1737" s="515"/>
      <c r="GOV1737" s="515"/>
      <c r="GOW1737" s="515"/>
      <c r="GOX1737" s="515"/>
      <c r="GOY1737" s="515"/>
      <c r="GOZ1737" s="515"/>
      <c r="GPA1737" s="515"/>
      <c r="GPB1737" s="515"/>
      <c r="GPC1737" s="515"/>
      <c r="GPD1737" s="515"/>
      <c r="GPE1737" s="515"/>
      <c r="GPF1737" s="515"/>
      <c r="GPG1737" s="515"/>
      <c r="GPH1737" s="515"/>
      <c r="GPI1737" s="515"/>
      <c r="GPJ1737" s="515"/>
      <c r="GPK1737" s="515"/>
      <c r="GPL1737" s="515"/>
      <c r="GPM1737" s="515"/>
      <c r="GPN1737" s="515"/>
      <c r="GPO1737" s="515"/>
      <c r="GPP1737" s="515"/>
      <c r="GPQ1737" s="515"/>
      <c r="GPR1737" s="515"/>
      <c r="GPS1737" s="515"/>
      <c r="GPT1737" s="515"/>
      <c r="GPU1737" s="515"/>
      <c r="GPV1737" s="515"/>
      <c r="GPW1737" s="515"/>
      <c r="GPX1737" s="515"/>
      <c r="GPY1737" s="515"/>
      <c r="GPZ1737" s="515"/>
      <c r="GQA1737" s="515"/>
      <c r="GQB1737" s="515"/>
      <c r="GQC1737" s="515"/>
      <c r="GQD1737" s="515"/>
      <c r="GQE1737" s="515"/>
      <c r="GQF1737" s="515"/>
      <c r="GQG1737" s="515"/>
      <c r="GQH1737" s="515"/>
      <c r="GQI1737" s="515"/>
      <c r="GQJ1737" s="515"/>
      <c r="GQK1737" s="515"/>
      <c r="GQL1737" s="515"/>
      <c r="GQM1737" s="515"/>
      <c r="GQN1737" s="515"/>
      <c r="GQO1737" s="515"/>
      <c r="GQP1737" s="515"/>
      <c r="GQQ1737" s="515"/>
      <c r="GQR1737" s="515"/>
      <c r="GQS1737" s="515"/>
      <c r="GQT1737" s="515"/>
      <c r="GQU1737" s="515"/>
      <c r="GQV1737" s="515"/>
      <c r="GQW1737" s="515"/>
      <c r="GQX1737" s="515"/>
      <c r="GQY1737" s="515"/>
      <c r="GQZ1737" s="515"/>
      <c r="GRA1737" s="515"/>
      <c r="GRB1737" s="515"/>
      <c r="GRC1737" s="515"/>
      <c r="GRD1737" s="515"/>
      <c r="GRE1737" s="515"/>
      <c r="GRF1737" s="515"/>
      <c r="GRG1737" s="515"/>
      <c r="GRH1737" s="515"/>
      <c r="GRI1737" s="515"/>
      <c r="GRJ1737" s="515"/>
      <c r="GRK1737" s="515"/>
      <c r="GRL1737" s="515"/>
      <c r="GRM1737" s="515"/>
      <c r="GRN1737" s="515"/>
      <c r="GRO1737" s="515"/>
      <c r="GRP1737" s="515"/>
      <c r="GRQ1737" s="515"/>
      <c r="GRR1737" s="515"/>
      <c r="GRS1737" s="515"/>
      <c r="GRT1737" s="515"/>
      <c r="GRU1737" s="515"/>
      <c r="GRV1737" s="515"/>
      <c r="GRW1737" s="515"/>
      <c r="GRX1737" s="515"/>
      <c r="GRY1737" s="515"/>
      <c r="GRZ1737" s="515"/>
      <c r="GSA1737" s="515"/>
      <c r="GSB1737" s="515"/>
      <c r="GSC1737" s="515"/>
      <c r="GSD1737" s="515"/>
      <c r="GSE1737" s="515"/>
      <c r="GSF1737" s="515"/>
      <c r="GSG1737" s="515"/>
      <c r="GSH1737" s="515"/>
      <c r="GSI1737" s="515"/>
      <c r="GSJ1737" s="515"/>
      <c r="GSK1737" s="515"/>
      <c r="GSL1737" s="515"/>
      <c r="GSM1737" s="515"/>
      <c r="GSN1737" s="515"/>
      <c r="GSO1737" s="515"/>
      <c r="GSP1737" s="515"/>
      <c r="GSQ1737" s="515"/>
      <c r="GSR1737" s="515"/>
      <c r="GSS1737" s="515"/>
      <c r="GST1737" s="515"/>
      <c r="GSU1737" s="515"/>
      <c r="GSV1737" s="515"/>
      <c r="GSW1737" s="515"/>
      <c r="GSX1737" s="515"/>
      <c r="GSY1737" s="515"/>
      <c r="GSZ1737" s="515"/>
      <c r="GTA1737" s="515"/>
      <c r="GTB1737" s="515"/>
      <c r="GTC1737" s="515"/>
      <c r="GTD1737" s="515"/>
      <c r="GTE1737" s="515"/>
      <c r="GTF1737" s="515"/>
      <c r="GTG1737" s="515"/>
      <c r="GTH1737" s="515"/>
      <c r="GTI1737" s="515"/>
      <c r="GTJ1737" s="515"/>
      <c r="GTK1737" s="515"/>
      <c r="GTL1737" s="515"/>
      <c r="GTM1737" s="515"/>
      <c r="GTN1737" s="515"/>
      <c r="GTO1737" s="515"/>
      <c r="GTP1737" s="515"/>
      <c r="GTQ1737" s="515"/>
      <c r="GTR1737" s="515"/>
      <c r="GTS1737" s="515"/>
      <c r="GTT1737" s="515"/>
      <c r="GTU1737" s="515"/>
      <c r="GTV1737" s="515"/>
      <c r="GTW1737" s="515"/>
      <c r="GTX1737" s="515"/>
      <c r="GTY1737" s="515"/>
      <c r="GTZ1737" s="515"/>
      <c r="GUA1737" s="515"/>
      <c r="GUB1737" s="515"/>
      <c r="GUC1737" s="515"/>
      <c r="GUD1737" s="515"/>
      <c r="GUE1737" s="515"/>
      <c r="GUF1737" s="515"/>
      <c r="GUG1737" s="515"/>
      <c r="GUH1737" s="515"/>
      <c r="GUI1737" s="515"/>
      <c r="GUJ1737" s="515"/>
      <c r="GUK1737" s="515"/>
      <c r="GUL1737" s="515"/>
      <c r="GUM1737" s="515"/>
      <c r="GUN1737" s="515"/>
      <c r="GUO1737" s="515"/>
      <c r="GUP1737" s="515"/>
      <c r="GUQ1737" s="515"/>
      <c r="GUR1737" s="515"/>
      <c r="GUS1737" s="515"/>
      <c r="GUT1737" s="515"/>
      <c r="GUU1737" s="515"/>
      <c r="GUV1737" s="515"/>
      <c r="GUW1737" s="515"/>
      <c r="GUX1737" s="515"/>
      <c r="GUY1737" s="515"/>
      <c r="GUZ1737" s="515"/>
      <c r="GVA1737" s="515"/>
      <c r="GVB1737" s="515"/>
      <c r="GVC1737" s="515"/>
      <c r="GVD1737" s="515"/>
      <c r="GVE1737" s="515"/>
      <c r="GVF1737" s="515"/>
      <c r="GVG1737" s="515"/>
      <c r="GVH1737" s="515"/>
      <c r="GVI1737" s="515"/>
      <c r="GVJ1737" s="515"/>
      <c r="GVK1737" s="515"/>
      <c r="GVL1737" s="515"/>
      <c r="GVM1737" s="515"/>
      <c r="GVN1737" s="515"/>
      <c r="GVO1737" s="515"/>
      <c r="GVP1737" s="515"/>
      <c r="GVQ1737" s="515"/>
      <c r="GVR1737" s="515"/>
      <c r="GVS1737" s="515"/>
      <c r="GVT1737" s="515"/>
      <c r="GVU1737" s="515"/>
      <c r="GVV1737" s="515"/>
      <c r="GVW1737" s="515"/>
      <c r="GVX1737" s="515"/>
      <c r="GVY1737" s="515"/>
      <c r="GVZ1737" s="515"/>
      <c r="GWA1737" s="515"/>
      <c r="GWB1737" s="515"/>
      <c r="GWC1737" s="515"/>
      <c r="GWD1737" s="515"/>
      <c r="GWE1737" s="515"/>
      <c r="GWF1737" s="515"/>
      <c r="GWG1737" s="515"/>
      <c r="GWH1737" s="515"/>
      <c r="GWI1737" s="515"/>
      <c r="GWJ1737" s="515"/>
      <c r="GWK1737" s="515"/>
      <c r="GWL1737" s="515"/>
      <c r="GWM1737" s="515"/>
      <c r="GWN1737" s="515"/>
      <c r="GWO1737" s="515"/>
      <c r="GWP1737" s="515"/>
      <c r="GWQ1737" s="515"/>
      <c r="GWR1737" s="515"/>
      <c r="GWS1737" s="515"/>
      <c r="GWT1737" s="515"/>
      <c r="GWU1737" s="515"/>
      <c r="GWV1737" s="515"/>
      <c r="GWW1737" s="515"/>
      <c r="GWX1737" s="515"/>
      <c r="GWY1737" s="515"/>
      <c r="GWZ1737" s="515"/>
      <c r="GXA1737" s="515"/>
      <c r="GXB1737" s="515"/>
      <c r="GXC1737" s="515"/>
      <c r="GXD1737" s="515"/>
      <c r="GXE1737" s="515"/>
      <c r="GXF1737" s="515"/>
      <c r="GXG1737" s="515"/>
      <c r="GXH1737" s="515"/>
      <c r="GXI1737" s="515"/>
      <c r="GXJ1737" s="515"/>
      <c r="GXK1737" s="515"/>
      <c r="GXL1737" s="515"/>
      <c r="GXM1737" s="515"/>
      <c r="GXN1737" s="515"/>
      <c r="GXO1737" s="515"/>
      <c r="GXP1737" s="515"/>
      <c r="GXQ1737" s="515"/>
      <c r="GXR1737" s="515"/>
      <c r="GXS1737" s="515"/>
      <c r="GXT1737" s="515"/>
      <c r="GXU1737" s="515"/>
      <c r="GXV1737" s="515"/>
      <c r="GXW1737" s="515"/>
      <c r="GXX1737" s="515"/>
      <c r="GXY1737" s="515"/>
      <c r="GXZ1737" s="515"/>
      <c r="GYA1737" s="515"/>
      <c r="GYB1737" s="515"/>
      <c r="GYC1737" s="515"/>
      <c r="GYD1737" s="515"/>
      <c r="GYE1737" s="515"/>
      <c r="GYF1737" s="515"/>
      <c r="GYG1737" s="515"/>
      <c r="GYH1737" s="515"/>
      <c r="GYI1737" s="515"/>
      <c r="GYJ1737" s="515"/>
      <c r="GYK1737" s="515"/>
      <c r="GYL1737" s="515"/>
      <c r="GYM1737" s="515"/>
      <c r="GYN1737" s="515"/>
      <c r="GYO1737" s="515"/>
      <c r="GYP1737" s="515"/>
      <c r="GYQ1737" s="515"/>
      <c r="GYR1737" s="515"/>
      <c r="GYS1737" s="515"/>
      <c r="GYT1737" s="515"/>
      <c r="GYU1737" s="515"/>
      <c r="GYV1737" s="515"/>
      <c r="GYW1737" s="515"/>
      <c r="GYX1737" s="515"/>
      <c r="GYY1737" s="515"/>
      <c r="GYZ1737" s="515"/>
      <c r="GZA1737" s="515"/>
      <c r="GZB1737" s="515"/>
      <c r="GZC1737" s="515"/>
      <c r="GZD1737" s="515"/>
      <c r="GZE1737" s="515"/>
      <c r="GZF1737" s="515"/>
      <c r="GZG1737" s="515"/>
      <c r="GZH1737" s="515"/>
      <c r="GZI1737" s="515"/>
      <c r="GZJ1737" s="515"/>
      <c r="GZK1737" s="515"/>
      <c r="GZL1737" s="515"/>
      <c r="GZM1737" s="515"/>
      <c r="GZN1737" s="515"/>
      <c r="GZO1737" s="515"/>
      <c r="GZP1737" s="515"/>
      <c r="GZQ1737" s="515"/>
      <c r="GZR1737" s="515"/>
      <c r="GZS1737" s="515"/>
      <c r="GZT1737" s="515"/>
      <c r="GZU1737" s="515"/>
      <c r="GZV1737" s="515"/>
      <c r="GZW1737" s="515"/>
      <c r="GZX1737" s="515"/>
      <c r="GZY1737" s="515"/>
      <c r="GZZ1737" s="515"/>
      <c r="HAA1737" s="515"/>
      <c r="HAB1737" s="515"/>
      <c r="HAC1737" s="515"/>
      <c r="HAD1737" s="515"/>
      <c r="HAE1737" s="515"/>
      <c r="HAF1737" s="515"/>
      <c r="HAG1737" s="515"/>
      <c r="HAH1737" s="515"/>
      <c r="HAI1737" s="515"/>
      <c r="HAJ1737" s="515"/>
      <c r="HAK1737" s="515"/>
      <c r="HAL1737" s="515"/>
      <c r="HAM1737" s="515"/>
      <c r="HAN1737" s="515"/>
      <c r="HAO1737" s="515"/>
      <c r="HAP1737" s="515"/>
      <c r="HAQ1737" s="515"/>
      <c r="HAR1737" s="515"/>
      <c r="HAS1737" s="515"/>
      <c r="HAT1737" s="515"/>
      <c r="HAU1737" s="515"/>
      <c r="HAV1737" s="515"/>
      <c r="HAW1737" s="515"/>
      <c r="HAX1737" s="515"/>
      <c r="HAY1737" s="515"/>
      <c r="HAZ1737" s="515"/>
      <c r="HBA1737" s="515"/>
      <c r="HBB1737" s="515"/>
      <c r="HBC1737" s="515"/>
      <c r="HBD1737" s="515"/>
      <c r="HBE1737" s="515"/>
      <c r="HBF1737" s="515"/>
      <c r="HBG1737" s="515"/>
      <c r="HBH1737" s="515"/>
      <c r="HBI1737" s="515"/>
      <c r="HBJ1737" s="515"/>
      <c r="HBK1737" s="515"/>
      <c r="HBL1737" s="515"/>
      <c r="HBM1737" s="515"/>
      <c r="HBN1737" s="515"/>
      <c r="HBO1737" s="515"/>
      <c r="HBP1737" s="515"/>
      <c r="HBQ1737" s="515"/>
      <c r="HBR1737" s="515"/>
      <c r="HBS1737" s="515"/>
      <c r="HBT1737" s="515"/>
      <c r="HBU1737" s="515"/>
      <c r="HBV1737" s="515"/>
      <c r="HBW1737" s="515"/>
      <c r="HBX1737" s="515"/>
      <c r="HBY1737" s="515"/>
      <c r="HBZ1737" s="515"/>
      <c r="HCA1737" s="515"/>
      <c r="HCB1737" s="515"/>
      <c r="HCC1737" s="515"/>
      <c r="HCD1737" s="515"/>
      <c r="HCE1737" s="515"/>
      <c r="HCF1737" s="515"/>
      <c r="HCG1737" s="515"/>
      <c r="HCH1737" s="515"/>
      <c r="HCI1737" s="515"/>
      <c r="HCJ1737" s="515"/>
      <c r="HCK1737" s="515"/>
      <c r="HCL1737" s="515"/>
      <c r="HCM1737" s="515"/>
      <c r="HCN1737" s="515"/>
      <c r="HCO1737" s="515"/>
      <c r="HCP1737" s="515"/>
      <c r="HCQ1737" s="515"/>
      <c r="HCR1737" s="515"/>
      <c r="HCS1737" s="515"/>
      <c r="HCT1737" s="515"/>
      <c r="HCU1737" s="515"/>
      <c r="HCV1737" s="515"/>
      <c r="HCW1737" s="515"/>
      <c r="HCX1737" s="515"/>
      <c r="HCY1737" s="515"/>
      <c r="HCZ1737" s="515"/>
      <c r="HDA1737" s="515"/>
      <c r="HDB1737" s="515"/>
      <c r="HDC1737" s="515"/>
      <c r="HDD1737" s="515"/>
      <c r="HDE1737" s="515"/>
      <c r="HDF1737" s="515"/>
      <c r="HDG1737" s="515"/>
      <c r="HDH1737" s="515"/>
      <c r="HDI1737" s="515"/>
      <c r="HDJ1737" s="515"/>
      <c r="HDK1737" s="515"/>
      <c r="HDL1737" s="515"/>
      <c r="HDM1737" s="515"/>
      <c r="HDN1737" s="515"/>
      <c r="HDO1737" s="515"/>
      <c r="HDP1737" s="515"/>
      <c r="HDQ1737" s="515"/>
      <c r="HDR1737" s="515"/>
      <c r="HDS1737" s="515"/>
      <c r="HDT1737" s="515"/>
      <c r="HDU1737" s="515"/>
      <c r="HDV1737" s="515"/>
      <c r="HDW1737" s="515"/>
      <c r="HDX1737" s="515"/>
      <c r="HDY1737" s="515"/>
      <c r="HDZ1737" s="515"/>
      <c r="HEA1737" s="515"/>
      <c r="HEB1737" s="515"/>
      <c r="HEC1737" s="515"/>
      <c r="HED1737" s="515"/>
      <c r="HEE1737" s="515"/>
      <c r="HEF1737" s="515"/>
      <c r="HEG1737" s="515"/>
      <c r="HEH1737" s="515"/>
      <c r="HEI1737" s="515"/>
      <c r="HEJ1737" s="515"/>
      <c r="HEK1737" s="515"/>
      <c r="HEL1737" s="515"/>
      <c r="HEM1737" s="515"/>
      <c r="HEN1737" s="515"/>
      <c r="HEO1737" s="515"/>
      <c r="HEP1737" s="515"/>
      <c r="HEQ1737" s="515"/>
      <c r="HER1737" s="515"/>
      <c r="HES1737" s="515"/>
      <c r="HET1737" s="515"/>
      <c r="HEU1737" s="515"/>
      <c r="HEV1737" s="515"/>
      <c r="HEW1737" s="515"/>
      <c r="HEX1737" s="515"/>
      <c r="HEY1737" s="515"/>
      <c r="HEZ1737" s="515"/>
      <c r="HFA1737" s="515"/>
      <c r="HFB1737" s="515"/>
      <c r="HFC1737" s="515"/>
      <c r="HFD1737" s="515"/>
      <c r="HFE1737" s="515"/>
      <c r="HFF1737" s="515"/>
      <c r="HFG1737" s="515"/>
      <c r="HFH1737" s="515"/>
      <c r="HFI1737" s="515"/>
      <c r="HFJ1737" s="515"/>
      <c r="HFK1737" s="515"/>
      <c r="HFL1737" s="515"/>
      <c r="HFM1737" s="515"/>
      <c r="HFN1737" s="515"/>
      <c r="HFO1737" s="515"/>
      <c r="HFP1737" s="515"/>
      <c r="HFQ1737" s="515"/>
      <c r="HFR1737" s="515"/>
      <c r="HFS1737" s="515"/>
      <c r="HFT1737" s="515"/>
      <c r="HFU1737" s="515"/>
      <c r="HFV1737" s="515"/>
      <c r="HFW1737" s="515"/>
      <c r="HFX1737" s="515"/>
      <c r="HFY1737" s="515"/>
      <c r="HFZ1737" s="515"/>
      <c r="HGA1737" s="515"/>
      <c r="HGB1737" s="515"/>
      <c r="HGC1737" s="515"/>
      <c r="HGD1737" s="515"/>
      <c r="HGE1737" s="515"/>
      <c r="HGF1737" s="515"/>
      <c r="HGG1737" s="515"/>
      <c r="HGH1737" s="515"/>
      <c r="HGI1737" s="515"/>
      <c r="HGJ1737" s="515"/>
      <c r="HGK1737" s="515"/>
      <c r="HGL1737" s="515"/>
      <c r="HGM1737" s="515"/>
      <c r="HGN1737" s="515"/>
      <c r="HGO1737" s="515"/>
      <c r="HGP1737" s="515"/>
      <c r="HGQ1737" s="515"/>
      <c r="HGR1737" s="515"/>
      <c r="HGS1737" s="515"/>
      <c r="HGT1737" s="515"/>
      <c r="HGU1737" s="515"/>
      <c r="HGV1737" s="515"/>
      <c r="HGW1737" s="515"/>
      <c r="HGX1737" s="515"/>
      <c r="HGY1737" s="515"/>
      <c r="HGZ1737" s="515"/>
      <c r="HHA1737" s="515"/>
      <c r="HHB1737" s="515"/>
      <c r="HHC1737" s="515"/>
      <c r="HHD1737" s="515"/>
      <c r="HHE1737" s="515"/>
      <c r="HHF1737" s="515"/>
      <c r="HHG1737" s="515"/>
      <c r="HHH1737" s="515"/>
      <c r="HHI1737" s="515"/>
      <c r="HHJ1737" s="515"/>
      <c r="HHK1737" s="515"/>
      <c r="HHL1737" s="515"/>
      <c r="HHM1737" s="515"/>
      <c r="HHN1737" s="515"/>
      <c r="HHO1737" s="515"/>
      <c r="HHP1737" s="515"/>
      <c r="HHQ1737" s="515"/>
      <c r="HHR1737" s="515"/>
      <c r="HHS1737" s="515"/>
      <c r="HHT1737" s="515"/>
      <c r="HHU1737" s="515"/>
      <c r="HHV1737" s="515"/>
      <c r="HHW1737" s="515"/>
      <c r="HHX1737" s="515"/>
      <c r="HHY1737" s="515"/>
      <c r="HHZ1737" s="515"/>
      <c r="HIA1737" s="515"/>
      <c r="HIB1737" s="515"/>
      <c r="HIC1737" s="515"/>
      <c r="HID1737" s="515"/>
      <c r="HIE1737" s="515"/>
      <c r="HIF1737" s="515"/>
      <c r="HIG1737" s="515"/>
      <c r="HIH1737" s="515"/>
      <c r="HII1737" s="515"/>
      <c r="HIJ1737" s="515"/>
      <c r="HIK1737" s="515"/>
      <c r="HIL1737" s="515"/>
      <c r="HIM1737" s="515"/>
      <c r="HIN1737" s="515"/>
      <c r="HIO1737" s="515"/>
      <c r="HIP1737" s="515"/>
      <c r="HIQ1737" s="515"/>
      <c r="HIR1737" s="515"/>
      <c r="HIS1737" s="515"/>
      <c r="HIT1737" s="515"/>
      <c r="HIU1737" s="515"/>
      <c r="HIV1737" s="515"/>
      <c r="HIW1737" s="515"/>
      <c r="HIX1737" s="515"/>
      <c r="HIY1737" s="515"/>
      <c r="HIZ1737" s="515"/>
      <c r="HJA1737" s="515"/>
      <c r="HJB1737" s="515"/>
      <c r="HJC1737" s="515"/>
      <c r="HJD1737" s="515"/>
      <c r="HJE1737" s="515"/>
      <c r="HJF1737" s="515"/>
      <c r="HJG1737" s="515"/>
      <c r="HJH1737" s="515"/>
      <c r="HJI1737" s="515"/>
      <c r="HJJ1737" s="515"/>
      <c r="HJK1737" s="515"/>
      <c r="HJL1737" s="515"/>
      <c r="HJM1737" s="515"/>
      <c r="HJN1737" s="515"/>
      <c r="HJO1737" s="515"/>
      <c r="HJP1737" s="515"/>
      <c r="HJQ1737" s="515"/>
      <c r="HJR1737" s="515"/>
      <c r="HJS1737" s="515"/>
      <c r="HJT1737" s="515"/>
      <c r="HJU1737" s="515"/>
      <c r="HJV1737" s="515"/>
      <c r="HJW1737" s="515"/>
      <c r="HJX1737" s="515"/>
      <c r="HJY1737" s="515"/>
      <c r="HJZ1737" s="515"/>
      <c r="HKA1737" s="515"/>
      <c r="HKB1737" s="515"/>
      <c r="HKC1737" s="515"/>
      <c r="HKD1737" s="515"/>
      <c r="HKE1737" s="515"/>
      <c r="HKF1737" s="515"/>
      <c r="HKG1737" s="515"/>
      <c r="HKH1737" s="515"/>
      <c r="HKI1737" s="515"/>
      <c r="HKJ1737" s="515"/>
      <c r="HKK1737" s="515"/>
      <c r="HKL1737" s="515"/>
      <c r="HKM1737" s="515"/>
      <c r="HKN1737" s="515"/>
      <c r="HKO1737" s="515"/>
      <c r="HKP1737" s="515"/>
      <c r="HKQ1737" s="515"/>
      <c r="HKR1737" s="515"/>
      <c r="HKS1737" s="515"/>
      <c r="HKT1737" s="515"/>
      <c r="HKU1737" s="515"/>
      <c r="HKV1737" s="515"/>
      <c r="HKW1737" s="515"/>
      <c r="HKX1737" s="515"/>
      <c r="HKY1737" s="515"/>
      <c r="HKZ1737" s="515"/>
      <c r="HLA1737" s="515"/>
      <c r="HLB1737" s="515"/>
      <c r="HLC1737" s="515"/>
      <c r="HLD1737" s="515"/>
      <c r="HLE1737" s="515"/>
      <c r="HLF1737" s="515"/>
      <c r="HLG1737" s="515"/>
      <c r="HLH1737" s="515"/>
      <c r="HLI1737" s="515"/>
      <c r="HLJ1737" s="515"/>
      <c r="HLK1737" s="515"/>
      <c r="HLL1737" s="515"/>
      <c r="HLM1737" s="515"/>
      <c r="HLN1737" s="515"/>
      <c r="HLO1737" s="515"/>
      <c r="HLP1737" s="515"/>
      <c r="HLQ1737" s="515"/>
      <c r="HLR1737" s="515"/>
      <c r="HLS1737" s="515"/>
      <c r="HLT1737" s="515"/>
      <c r="HLU1737" s="515"/>
      <c r="HLV1737" s="515"/>
      <c r="HLW1737" s="515"/>
      <c r="HLX1737" s="515"/>
      <c r="HLY1737" s="515"/>
      <c r="HLZ1737" s="515"/>
      <c r="HMA1737" s="515"/>
      <c r="HMB1737" s="515"/>
      <c r="HMC1737" s="515"/>
      <c r="HMD1737" s="515"/>
      <c r="HME1737" s="515"/>
      <c r="HMF1737" s="515"/>
      <c r="HMG1737" s="515"/>
      <c r="HMH1737" s="515"/>
      <c r="HMI1737" s="515"/>
      <c r="HMJ1737" s="515"/>
      <c r="HMK1737" s="515"/>
      <c r="HML1737" s="515"/>
      <c r="HMM1737" s="515"/>
      <c r="HMN1737" s="515"/>
      <c r="HMO1737" s="515"/>
      <c r="HMP1737" s="515"/>
      <c r="HMQ1737" s="515"/>
      <c r="HMR1737" s="515"/>
      <c r="HMS1737" s="515"/>
      <c r="HMT1737" s="515"/>
      <c r="HMU1737" s="515"/>
      <c r="HMV1737" s="515"/>
      <c r="HMW1737" s="515"/>
      <c r="HMX1737" s="515"/>
      <c r="HMY1737" s="515"/>
      <c r="HMZ1737" s="515"/>
      <c r="HNA1737" s="515"/>
      <c r="HNB1737" s="515"/>
      <c r="HNC1737" s="515"/>
      <c r="HND1737" s="515"/>
      <c r="HNE1737" s="515"/>
      <c r="HNF1737" s="515"/>
      <c r="HNG1737" s="515"/>
      <c r="HNH1737" s="515"/>
      <c r="HNI1737" s="515"/>
      <c r="HNJ1737" s="515"/>
      <c r="HNK1737" s="515"/>
      <c r="HNL1737" s="515"/>
      <c r="HNM1737" s="515"/>
      <c r="HNN1737" s="515"/>
      <c r="HNO1737" s="515"/>
      <c r="HNP1737" s="515"/>
      <c r="HNQ1737" s="515"/>
      <c r="HNR1737" s="515"/>
      <c r="HNS1737" s="515"/>
      <c r="HNT1737" s="515"/>
      <c r="HNU1737" s="515"/>
      <c r="HNV1737" s="515"/>
      <c r="HNW1737" s="515"/>
      <c r="HNX1737" s="515"/>
      <c r="HNY1737" s="515"/>
      <c r="HNZ1737" s="515"/>
      <c r="HOA1737" s="515"/>
      <c r="HOB1737" s="515"/>
      <c r="HOC1737" s="515"/>
      <c r="HOD1737" s="515"/>
      <c r="HOE1737" s="515"/>
      <c r="HOF1737" s="515"/>
      <c r="HOG1737" s="515"/>
      <c r="HOH1737" s="515"/>
      <c r="HOI1737" s="515"/>
      <c r="HOJ1737" s="515"/>
      <c r="HOK1737" s="515"/>
      <c r="HOL1737" s="515"/>
      <c r="HOM1737" s="515"/>
      <c r="HON1737" s="515"/>
      <c r="HOO1737" s="515"/>
      <c r="HOP1737" s="515"/>
      <c r="HOQ1737" s="515"/>
      <c r="HOR1737" s="515"/>
      <c r="HOS1737" s="515"/>
      <c r="HOT1737" s="515"/>
      <c r="HOU1737" s="515"/>
      <c r="HOV1737" s="515"/>
      <c r="HOW1737" s="515"/>
      <c r="HOX1737" s="515"/>
      <c r="HOY1737" s="515"/>
      <c r="HOZ1737" s="515"/>
      <c r="HPA1737" s="515"/>
      <c r="HPB1737" s="515"/>
      <c r="HPC1737" s="515"/>
      <c r="HPD1737" s="515"/>
      <c r="HPE1737" s="515"/>
      <c r="HPF1737" s="515"/>
      <c r="HPG1737" s="515"/>
      <c r="HPH1737" s="515"/>
      <c r="HPI1737" s="515"/>
      <c r="HPJ1737" s="515"/>
      <c r="HPK1737" s="515"/>
      <c r="HPL1737" s="515"/>
      <c r="HPM1737" s="515"/>
      <c r="HPN1737" s="515"/>
      <c r="HPO1737" s="515"/>
      <c r="HPP1737" s="515"/>
      <c r="HPQ1737" s="515"/>
      <c r="HPR1737" s="515"/>
      <c r="HPS1737" s="515"/>
      <c r="HPT1737" s="515"/>
      <c r="HPU1737" s="515"/>
      <c r="HPV1737" s="515"/>
      <c r="HPW1737" s="515"/>
      <c r="HPX1737" s="515"/>
      <c r="HPY1737" s="515"/>
      <c r="HPZ1737" s="515"/>
      <c r="HQA1737" s="515"/>
      <c r="HQB1737" s="515"/>
      <c r="HQC1737" s="515"/>
      <c r="HQD1737" s="515"/>
      <c r="HQE1737" s="515"/>
      <c r="HQF1737" s="515"/>
      <c r="HQG1737" s="515"/>
      <c r="HQH1737" s="515"/>
      <c r="HQI1737" s="515"/>
      <c r="HQJ1737" s="515"/>
      <c r="HQK1737" s="515"/>
      <c r="HQL1737" s="515"/>
      <c r="HQM1737" s="515"/>
      <c r="HQN1737" s="515"/>
      <c r="HQO1737" s="515"/>
      <c r="HQP1737" s="515"/>
      <c r="HQQ1737" s="515"/>
      <c r="HQR1737" s="515"/>
      <c r="HQS1737" s="515"/>
      <c r="HQT1737" s="515"/>
      <c r="HQU1737" s="515"/>
      <c r="HQV1737" s="515"/>
      <c r="HQW1737" s="515"/>
      <c r="HQX1737" s="515"/>
      <c r="HQY1737" s="515"/>
      <c r="HQZ1737" s="515"/>
      <c r="HRA1737" s="515"/>
      <c r="HRB1737" s="515"/>
      <c r="HRC1737" s="515"/>
      <c r="HRD1737" s="515"/>
      <c r="HRE1737" s="515"/>
      <c r="HRF1737" s="515"/>
      <c r="HRG1737" s="515"/>
      <c r="HRH1737" s="515"/>
      <c r="HRI1737" s="515"/>
      <c r="HRJ1737" s="515"/>
      <c r="HRK1737" s="515"/>
      <c r="HRL1737" s="515"/>
      <c r="HRM1737" s="515"/>
      <c r="HRN1737" s="515"/>
      <c r="HRO1737" s="515"/>
      <c r="HRP1737" s="515"/>
      <c r="HRQ1737" s="515"/>
      <c r="HRR1737" s="515"/>
      <c r="HRS1737" s="515"/>
      <c r="HRT1737" s="515"/>
      <c r="HRU1737" s="515"/>
      <c r="HRV1737" s="515"/>
      <c r="HRW1737" s="515"/>
      <c r="HRX1737" s="515"/>
      <c r="HRY1737" s="515"/>
      <c r="HRZ1737" s="515"/>
      <c r="HSA1737" s="515"/>
      <c r="HSB1737" s="515"/>
      <c r="HSC1737" s="515"/>
      <c r="HSD1737" s="515"/>
      <c r="HSE1737" s="515"/>
      <c r="HSF1737" s="515"/>
      <c r="HSG1737" s="515"/>
      <c r="HSH1737" s="515"/>
      <c r="HSI1737" s="515"/>
      <c r="HSJ1737" s="515"/>
      <c r="HSK1737" s="515"/>
      <c r="HSL1737" s="515"/>
      <c r="HSM1737" s="515"/>
      <c r="HSN1737" s="515"/>
      <c r="HSO1737" s="515"/>
      <c r="HSP1737" s="515"/>
      <c r="HSQ1737" s="515"/>
      <c r="HSR1737" s="515"/>
      <c r="HSS1737" s="515"/>
      <c r="HST1737" s="515"/>
      <c r="HSU1737" s="515"/>
      <c r="HSV1737" s="515"/>
      <c r="HSW1737" s="515"/>
      <c r="HSX1737" s="515"/>
      <c r="HSY1737" s="515"/>
      <c r="HSZ1737" s="515"/>
      <c r="HTA1737" s="515"/>
      <c r="HTB1737" s="515"/>
      <c r="HTC1737" s="515"/>
      <c r="HTD1737" s="515"/>
      <c r="HTE1737" s="515"/>
      <c r="HTF1737" s="515"/>
      <c r="HTG1737" s="515"/>
      <c r="HTH1737" s="515"/>
      <c r="HTI1737" s="515"/>
      <c r="HTJ1737" s="515"/>
      <c r="HTK1737" s="515"/>
      <c r="HTL1737" s="515"/>
      <c r="HTM1737" s="515"/>
      <c r="HTN1737" s="515"/>
      <c r="HTO1737" s="515"/>
      <c r="HTP1737" s="515"/>
      <c r="HTQ1737" s="515"/>
      <c r="HTR1737" s="515"/>
      <c r="HTS1737" s="515"/>
      <c r="HTT1737" s="515"/>
      <c r="HTU1737" s="515"/>
      <c r="HTV1737" s="515"/>
      <c r="HTW1737" s="515"/>
      <c r="HTX1737" s="515"/>
      <c r="HTY1737" s="515"/>
      <c r="HTZ1737" s="515"/>
      <c r="HUA1737" s="515"/>
      <c r="HUB1737" s="515"/>
      <c r="HUC1737" s="515"/>
      <c r="HUD1737" s="515"/>
      <c r="HUE1737" s="515"/>
      <c r="HUF1737" s="515"/>
      <c r="HUG1737" s="515"/>
      <c r="HUH1737" s="515"/>
      <c r="HUI1737" s="515"/>
      <c r="HUJ1737" s="515"/>
      <c r="HUK1737" s="515"/>
      <c r="HUL1737" s="515"/>
      <c r="HUM1737" s="515"/>
      <c r="HUN1737" s="515"/>
      <c r="HUO1737" s="515"/>
      <c r="HUP1737" s="515"/>
      <c r="HUQ1737" s="515"/>
      <c r="HUR1737" s="515"/>
      <c r="HUS1737" s="515"/>
      <c r="HUT1737" s="515"/>
      <c r="HUU1737" s="515"/>
      <c r="HUV1737" s="515"/>
      <c r="HUW1737" s="515"/>
      <c r="HUX1737" s="515"/>
      <c r="HUY1737" s="515"/>
      <c r="HUZ1737" s="515"/>
      <c r="HVA1737" s="515"/>
      <c r="HVB1737" s="515"/>
      <c r="HVC1737" s="515"/>
      <c r="HVD1737" s="515"/>
      <c r="HVE1737" s="515"/>
      <c r="HVF1737" s="515"/>
      <c r="HVG1737" s="515"/>
      <c r="HVH1737" s="515"/>
      <c r="HVI1737" s="515"/>
      <c r="HVJ1737" s="515"/>
      <c r="HVK1737" s="515"/>
      <c r="HVL1737" s="515"/>
      <c r="HVM1737" s="515"/>
      <c r="HVN1737" s="515"/>
      <c r="HVO1737" s="515"/>
      <c r="HVP1737" s="515"/>
      <c r="HVQ1737" s="515"/>
      <c r="HVR1737" s="515"/>
      <c r="HVS1737" s="515"/>
      <c r="HVT1737" s="515"/>
      <c r="HVU1737" s="515"/>
      <c r="HVV1737" s="515"/>
      <c r="HVW1737" s="515"/>
      <c r="HVX1737" s="515"/>
      <c r="HVY1737" s="515"/>
      <c r="HVZ1737" s="515"/>
      <c r="HWA1737" s="515"/>
      <c r="HWB1737" s="515"/>
      <c r="HWC1737" s="515"/>
      <c r="HWD1737" s="515"/>
      <c r="HWE1737" s="515"/>
      <c r="HWF1737" s="515"/>
      <c r="HWG1737" s="515"/>
      <c r="HWH1737" s="515"/>
      <c r="HWI1737" s="515"/>
      <c r="HWJ1737" s="515"/>
      <c r="HWK1737" s="515"/>
      <c r="HWL1737" s="515"/>
      <c r="HWM1737" s="515"/>
      <c r="HWN1737" s="515"/>
      <c r="HWO1737" s="515"/>
      <c r="HWP1737" s="515"/>
      <c r="HWQ1737" s="515"/>
      <c r="HWR1737" s="515"/>
      <c r="HWS1737" s="515"/>
      <c r="HWT1737" s="515"/>
      <c r="HWU1737" s="515"/>
      <c r="HWV1737" s="515"/>
      <c r="HWW1737" s="515"/>
      <c r="HWX1737" s="515"/>
      <c r="HWY1737" s="515"/>
      <c r="HWZ1737" s="515"/>
      <c r="HXA1737" s="515"/>
      <c r="HXB1737" s="515"/>
      <c r="HXC1737" s="515"/>
      <c r="HXD1737" s="515"/>
      <c r="HXE1737" s="515"/>
      <c r="HXF1737" s="515"/>
      <c r="HXG1737" s="515"/>
      <c r="HXH1737" s="515"/>
      <c r="HXI1737" s="515"/>
      <c r="HXJ1737" s="515"/>
      <c r="HXK1737" s="515"/>
      <c r="HXL1737" s="515"/>
      <c r="HXM1737" s="515"/>
      <c r="HXN1737" s="515"/>
      <c r="HXO1737" s="515"/>
      <c r="HXP1737" s="515"/>
      <c r="HXQ1737" s="515"/>
      <c r="HXR1737" s="515"/>
      <c r="HXS1737" s="515"/>
      <c r="HXT1737" s="515"/>
      <c r="HXU1737" s="515"/>
      <c r="HXV1737" s="515"/>
      <c r="HXW1737" s="515"/>
      <c r="HXX1737" s="515"/>
      <c r="HXY1737" s="515"/>
      <c r="HXZ1737" s="515"/>
      <c r="HYA1737" s="515"/>
      <c r="HYB1737" s="515"/>
      <c r="HYC1737" s="515"/>
      <c r="HYD1737" s="515"/>
      <c r="HYE1737" s="515"/>
      <c r="HYF1737" s="515"/>
      <c r="HYG1737" s="515"/>
      <c r="HYH1737" s="515"/>
      <c r="HYI1737" s="515"/>
      <c r="HYJ1737" s="515"/>
      <c r="HYK1737" s="515"/>
      <c r="HYL1737" s="515"/>
      <c r="HYM1737" s="515"/>
      <c r="HYN1737" s="515"/>
      <c r="HYO1737" s="515"/>
      <c r="HYP1737" s="515"/>
      <c r="HYQ1737" s="515"/>
      <c r="HYR1737" s="515"/>
      <c r="HYS1737" s="515"/>
      <c r="HYT1737" s="515"/>
      <c r="HYU1737" s="515"/>
      <c r="HYV1737" s="515"/>
      <c r="HYW1737" s="515"/>
      <c r="HYX1737" s="515"/>
      <c r="HYY1737" s="515"/>
      <c r="HYZ1737" s="515"/>
      <c r="HZA1737" s="515"/>
      <c r="HZB1737" s="515"/>
      <c r="HZC1737" s="515"/>
      <c r="HZD1737" s="515"/>
      <c r="HZE1737" s="515"/>
      <c r="HZF1737" s="515"/>
      <c r="HZG1737" s="515"/>
      <c r="HZH1737" s="515"/>
      <c r="HZI1737" s="515"/>
      <c r="HZJ1737" s="515"/>
      <c r="HZK1737" s="515"/>
      <c r="HZL1737" s="515"/>
      <c r="HZM1737" s="515"/>
      <c r="HZN1737" s="515"/>
      <c r="HZO1737" s="515"/>
      <c r="HZP1737" s="515"/>
      <c r="HZQ1737" s="515"/>
      <c r="HZR1737" s="515"/>
      <c r="HZS1737" s="515"/>
      <c r="HZT1737" s="515"/>
      <c r="HZU1737" s="515"/>
      <c r="HZV1737" s="515"/>
      <c r="HZW1737" s="515"/>
      <c r="HZX1737" s="515"/>
      <c r="HZY1737" s="515"/>
      <c r="HZZ1737" s="515"/>
      <c r="IAA1737" s="515"/>
      <c r="IAB1737" s="515"/>
      <c r="IAC1737" s="515"/>
      <c r="IAD1737" s="515"/>
      <c r="IAE1737" s="515"/>
      <c r="IAF1737" s="515"/>
      <c r="IAG1737" s="515"/>
      <c r="IAH1737" s="515"/>
      <c r="IAI1737" s="515"/>
      <c r="IAJ1737" s="515"/>
      <c r="IAK1737" s="515"/>
      <c r="IAL1737" s="515"/>
      <c r="IAM1737" s="515"/>
      <c r="IAN1737" s="515"/>
      <c r="IAO1737" s="515"/>
      <c r="IAP1737" s="515"/>
      <c r="IAQ1737" s="515"/>
      <c r="IAR1737" s="515"/>
      <c r="IAS1737" s="515"/>
      <c r="IAT1737" s="515"/>
      <c r="IAU1737" s="515"/>
      <c r="IAV1737" s="515"/>
      <c r="IAW1737" s="515"/>
      <c r="IAX1737" s="515"/>
      <c r="IAY1737" s="515"/>
      <c r="IAZ1737" s="515"/>
      <c r="IBA1737" s="515"/>
      <c r="IBB1737" s="515"/>
      <c r="IBC1737" s="515"/>
      <c r="IBD1737" s="515"/>
      <c r="IBE1737" s="515"/>
      <c r="IBF1737" s="515"/>
      <c r="IBG1737" s="515"/>
      <c r="IBH1737" s="515"/>
      <c r="IBI1737" s="515"/>
      <c r="IBJ1737" s="515"/>
      <c r="IBK1737" s="515"/>
      <c r="IBL1737" s="515"/>
      <c r="IBM1737" s="515"/>
      <c r="IBN1737" s="515"/>
      <c r="IBO1737" s="515"/>
      <c r="IBP1737" s="515"/>
      <c r="IBQ1737" s="515"/>
      <c r="IBR1737" s="515"/>
      <c r="IBS1737" s="515"/>
      <c r="IBT1737" s="515"/>
      <c r="IBU1737" s="515"/>
      <c r="IBV1737" s="515"/>
      <c r="IBW1737" s="515"/>
      <c r="IBX1737" s="515"/>
      <c r="IBY1737" s="515"/>
      <c r="IBZ1737" s="515"/>
      <c r="ICA1737" s="515"/>
      <c r="ICB1737" s="515"/>
      <c r="ICC1737" s="515"/>
      <c r="ICD1737" s="515"/>
      <c r="ICE1737" s="515"/>
      <c r="ICF1737" s="515"/>
      <c r="ICG1737" s="515"/>
      <c r="ICH1737" s="515"/>
      <c r="ICI1737" s="515"/>
      <c r="ICJ1737" s="515"/>
      <c r="ICK1737" s="515"/>
      <c r="ICL1737" s="515"/>
      <c r="ICM1737" s="515"/>
      <c r="ICN1737" s="515"/>
      <c r="ICO1737" s="515"/>
      <c r="ICP1737" s="515"/>
      <c r="ICQ1737" s="515"/>
      <c r="ICR1737" s="515"/>
      <c r="ICS1737" s="515"/>
      <c r="ICT1737" s="515"/>
      <c r="ICU1737" s="515"/>
      <c r="ICV1737" s="515"/>
      <c r="ICW1737" s="515"/>
      <c r="ICX1737" s="515"/>
      <c r="ICY1737" s="515"/>
      <c r="ICZ1737" s="515"/>
      <c r="IDA1737" s="515"/>
      <c r="IDB1737" s="515"/>
      <c r="IDC1737" s="515"/>
      <c r="IDD1737" s="515"/>
      <c r="IDE1737" s="515"/>
      <c r="IDF1737" s="515"/>
      <c r="IDG1737" s="515"/>
      <c r="IDH1737" s="515"/>
      <c r="IDI1737" s="515"/>
      <c r="IDJ1737" s="515"/>
      <c r="IDK1737" s="515"/>
      <c r="IDL1737" s="515"/>
      <c r="IDM1737" s="515"/>
      <c r="IDN1737" s="515"/>
      <c r="IDO1737" s="515"/>
      <c r="IDP1737" s="515"/>
      <c r="IDQ1737" s="515"/>
      <c r="IDR1737" s="515"/>
      <c r="IDS1737" s="515"/>
      <c r="IDT1737" s="515"/>
      <c r="IDU1737" s="515"/>
      <c r="IDV1737" s="515"/>
      <c r="IDW1737" s="515"/>
      <c r="IDX1737" s="515"/>
      <c r="IDY1737" s="515"/>
      <c r="IDZ1737" s="515"/>
      <c r="IEA1737" s="515"/>
      <c r="IEB1737" s="515"/>
      <c r="IEC1737" s="515"/>
      <c r="IED1737" s="515"/>
      <c r="IEE1737" s="515"/>
      <c r="IEF1737" s="515"/>
      <c r="IEG1737" s="515"/>
      <c r="IEH1737" s="515"/>
      <c r="IEI1737" s="515"/>
      <c r="IEJ1737" s="515"/>
      <c r="IEK1737" s="515"/>
      <c r="IEL1737" s="515"/>
      <c r="IEM1737" s="515"/>
      <c r="IEN1737" s="515"/>
      <c r="IEO1737" s="515"/>
      <c r="IEP1737" s="515"/>
      <c r="IEQ1737" s="515"/>
      <c r="IER1737" s="515"/>
      <c r="IES1737" s="515"/>
      <c r="IET1737" s="515"/>
      <c r="IEU1737" s="515"/>
      <c r="IEV1737" s="515"/>
      <c r="IEW1737" s="515"/>
      <c r="IEX1737" s="515"/>
      <c r="IEY1737" s="515"/>
      <c r="IEZ1737" s="515"/>
      <c r="IFA1737" s="515"/>
      <c r="IFB1737" s="515"/>
      <c r="IFC1737" s="515"/>
      <c r="IFD1737" s="515"/>
      <c r="IFE1737" s="515"/>
      <c r="IFF1737" s="515"/>
      <c r="IFG1737" s="515"/>
      <c r="IFH1737" s="515"/>
      <c r="IFI1737" s="515"/>
      <c r="IFJ1737" s="515"/>
      <c r="IFK1737" s="515"/>
      <c r="IFL1737" s="515"/>
      <c r="IFM1737" s="515"/>
      <c r="IFN1737" s="515"/>
      <c r="IFO1737" s="515"/>
      <c r="IFP1737" s="515"/>
      <c r="IFQ1737" s="515"/>
      <c r="IFR1737" s="515"/>
      <c r="IFS1737" s="515"/>
      <c r="IFT1737" s="515"/>
      <c r="IFU1737" s="515"/>
      <c r="IFV1737" s="515"/>
      <c r="IFW1737" s="515"/>
      <c r="IFX1737" s="515"/>
      <c r="IFY1737" s="515"/>
      <c r="IFZ1737" s="515"/>
      <c r="IGA1737" s="515"/>
      <c r="IGB1737" s="515"/>
      <c r="IGC1737" s="515"/>
      <c r="IGD1737" s="515"/>
      <c r="IGE1737" s="515"/>
      <c r="IGF1737" s="515"/>
      <c r="IGG1737" s="515"/>
      <c r="IGH1737" s="515"/>
      <c r="IGI1737" s="515"/>
      <c r="IGJ1737" s="515"/>
      <c r="IGK1737" s="515"/>
      <c r="IGL1737" s="515"/>
      <c r="IGM1737" s="515"/>
      <c r="IGN1737" s="515"/>
      <c r="IGO1737" s="515"/>
      <c r="IGP1737" s="515"/>
      <c r="IGQ1737" s="515"/>
      <c r="IGR1737" s="515"/>
      <c r="IGS1737" s="515"/>
      <c r="IGT1737" s="515"/>
      <c r="IGU1737" s="515"/>
      <c r="IGV1737" s="515"/>
      <c r="IGW1737" s="515"/>
      <c r="IGX1737" s="515"/>
      <c r="IGY1737" s="515"/>
      <c r="IGZ1737" s="515"/>
      <c r="IHA1737" s="515"/>
      <c r="IHB1737" s="515"/>
      <c r="IHC1737" s="515"/>
      <c r="IHD1737" s="515"/>
      <c r="IHE1737" s="515"/>
      <c r="IHF1737" s="515"/>
      <c r="IHG1737" s="515"/>
      <c r="IHH1737" s="515"/>
      <c r="IHI1737" s="515"/>
      <c r="IHJ1737" s="515"/>
      <c r="IHK1737" s="515"/>
      <c r="IHL1737" s="515"/>
      <c r="IHM1737" s="515"/>
      <c r="IHN1737" s="515"/>
      <c r="IHO1737" s="515"/>
      <c r="IHP1737" s="515"/>
      <c r="IHQ1737" s="515"/>
      <c r="IHR1737" s="515"/>
      <c r="IHS1737" s="515"/>
      <c r="IHT1737" s="515"/>
      <c r="IHU1737" s="515"/>
      <c r="IHV1737" s="515"/>
      <c r="IHW1737" s="515"/>
      <c r="IHX1737" s="515"/>
      <c r="IHY1737" s="515"/>
      <c r="IHZ1737" s="515"/>
      <c r="IIA1737" s="515"/>
      <c r="IIB1737" s="515"/>
      <c r="IIC1737" s="515"/>
      <c r="IID1737" s="515"/>
      <c r="IIE1737" s="515"/>
      <c r="IIF1737" s="515"/>
      <c r="IIG1737" s="515"/>
      <c r="IIH1737" s="515"/>
      <c r="III1737" s="515"/>
      <c r="IIJ1737" s="515"/>
      <c r="IIK1737" s="515"/>
      <c r="IIL1737" s="515"/>
      <c r="IIM1737" s="515"/>
      <c r="IIN1737" s="515"/>
      <c r="IIO1737" s="515"/>
      <c r="IIP1737" s="515"/>
      <c r="IIQ1737" s="515"/>
      <c r="IIR1737" s="515"/>
      <c r="IIS1737" s="515"/>
      <c r="IIT1737" s="515"/>
      <c r="IIU1737" s="515"/>
      <c r="IIV1737" s="515"/>
      <c r="IIW1737" s="515"/>
      <c r="IIX1737" s="515"/>
      <c r="IIY1737" s="515"/>
      <c r="IIZ1737" s="515"/>
      <c r="IJA1737" s="515"/>
      <c r="IJB1737" s="515"/>
      <c r="IJC1737" s="515"/>
      <c r="IJD1737" s="515"/>
      <c r="IJE1737" s="515"/>
      <c r="IJF1737" s="515"/>
      <c r="IJG1737" s="515"/>
      <c r="IJH1737" s="515"/>
      <c r="IJI1737" s="515"/>
      <c r="IJJ1737" s="515"/>
      <c r="IJK1737" s="515"/>
      <c r="IJL1737" s="515"/>
      <c r="IJM1737" s="515"/>
      <c r="IJN1737" s="515"/>
      <c r="IJO1737" s="515"/>
      <c r="IJP1737" s="515"/>
      <c r="IJQ1737" s="515"/>
      <c r="IJR1737" s="515"/>
      <c r="IJS1737" s="515"/>
      <c r="IJT1737" s="515"/>
      <c r="IJU1737" s="515"/>
      <c r="IJV1737" s="515"/>
      <c r="IJW1737" s="515"/>
      <c r="IJX1737" s="515"/>
      <c r="IJY1737" s="515"/>
      <c r="IJZ1737" s="515"/>
      <c r="IKA1737" s="515"/>
      <c r="IKB1737" s="515"/>
      <c r="IKC1737" s="515"/>
      <c r="IKD1737" s="515"/>
      <c r="IKE1737" s="515"/>
      <c r="IKF1737" s="515"/>
      <c r="IKG1737" s="515"/>
      <c r="IKH1737" s="515"/>
      <c r="IKI1737" s="515"/>
      <c r="IKJ1737" s="515"/>
      <c r="IKK1737" s="515"/>
      <c r="IKL1737" s="515"/>
      <c r="IKM1737" s="515"/>
      <c r="IKN1737" s="515"/>
      <c r="IKO1737" s="515"/>
      <c r="IKP1737" s="515"/>
      <c r="IKQ1737" s="515"/>
      <c r="IKR1737" s="515"/>
      <c r="IKS1737" s="515"/>
      <c r="IKT1737" s="515"/>
      <c r="IKU1737" s="515"/>
      <c r="IKV1737" s="515"/>
      <c r="IKW1737" s="515"/>
      <c r="IKX1737" s="515"/>
      <c r="IKY1737" s="515"/>
      <c r="IKZ1737" s="515"/>
      <c r="ILA1737" s="515"/>
      <c r="ILB1737" s="515"/>
      <c r="ILC1737" s="515"/>
      <c r="ILD1737" s="515"/>
      <c r="ILE1737" s="515"/>
      <c r="ILF1737" s="515"/>
      <c r="ILG1737" s="515"/>
      <c r="ILH1737" s="515"/>
      <c r="ILI1737" s="515"/>
      <c r="ILJ1737" s="515"/>
      <c r="ILK1737" s="515"/>
      <c r="ILL1737" s="515"/>
      <c r="ILM1737" s="515"/>
      <c r="ILN1737" s="515"/>
      <c r="ILO1737" s="515"/>
      <c r="ILP1737" s="515"/>
      <c r="ILQ1737" s="515"/>
      <c r="ILR1737" s="515"/>
      <c r="ILS1737" s="515"/>
      <c r="ILT1737" s="515"/>
      <c r="ILU1737" s="515"/>
      <c r="ILV1737" s="515"/>
      <c r="ILW1737" s="515"/>
      <c r="ILX1737" s="515"/>
      <c r="ILY1737" s="515"/>
      <c r="ILZ1737" s="515"/>
      <c r="IMA1737" s="515"/>
      <c r="IMB1737" s="515"/>
      <c r="IMC1737" s="515"/>
      <c r="IMD1737" s="515"/>
      <c r="IME1737" s="515"/>
      <c r="IMF1737" s="515"/>
      <c r="IMG1737" s="515"/>
      <c r="IMH1737" s="515"/>
      <c r="IMI1737" s="515"/>
      <c r="IMJ1737" s="515"/>
      <c r="IMK1737" s="515"/>
      <c r="IML1737" s="515"/>
      <c r="IMM1737" s="515"/>
      <c r="IMN1737" s="515"/>
      <c r="IMO1737" s="515"/>
      <c r="IMP1737" s="515"/>
      <c r="IMQ1737" s="515"/>
      <c r="IMR1737" s="515"/>
      <c r="IMS1737" s="515"/>
      <c r="IMT1737" s="515"/>
      <c r="IMU1737" s="515"/>
      <c r="IMV1737" s="515"/>
      <c r="IMW1737" s="515"/>
      <c r="IMX1737" s="515"/>
      <c r="IMY1737" s="515"/>
      <c r="IMZ1737" s="515"/>
      <c r="INA1737" s="515"/>
      <c r="INB1737" s="515"/>
      <c r="INC1737" s="515"/>
      <c r="IND1737" s="515"/>
      <c r="INE1737" s="515"/>
      <c r="INF1737" s="515"/>
      <c r="ING1737" s="515"/>
      <c r="INH1737" s="515"/>
      <c r="INI1737" s="515"/>
      <c r="INJ1737" s="515"/>
      <c r="INK1737" s="515"/>
      <c r="INL1737" s="515"/>
      <c r="INM1737" s="515"/>
      <c r="INN1737" s="515"/>
      <c r="INO1737" s="515"/>
      <c r="INP1737" s="515"/>
      <c r="INQ1737" s="515"/>
      <c r="INR1737" s="515"/>
      <c r="INS1737" s="515"/>
      <c r="INT1737" s="515"/>
      <c r="INU1737" s="515"/>
      <c r="INV1737" s="515"/>
      <c r="INW1737" s="515"/>
      <c r="INX1737" s="515"/>
      <c r="INY1737" s="515"/>
      <c r="INZ1737" s="515"/>
      <c r="IOA1737" s="515"/>
      <c r="IOB1737" s="515"/>
      <c r="IOC1737" s="515"/>
      <c r="IOD1737" s="515"/>
      <c r="IOE1737" s="515"/>
      <c r="IOF1737" s="515"/>
      <c r="IOG1737" s="515"/>
      <c r="IOH1737" s="515"/>
      <c r="IOI1737" s="515"/>
      <c r="IOJ1737" s="515"/>
      <c r="IOK1737" s="515"/>
      <c r="IOL1737" s="515"/>
      <c r="IOM1737" s="515"/>
      <c r="ION1737" s="515"/>
      <c r="IOO1737" s="515"/>
      <c r="IOP1737" s="515"/>
      <c r="IOQ1737" s="515"/>
      <c r="IOR1737" s="515"/>
      <c r="IOS1737" s="515"/>
      <c r="IOT1737" s="515"/>
      <c r="IOU1737" s="515"/>
      <c r="IOV1737" s="515"/>
      <c r="IOW1737" s="515"/>
      <c r="IOX1737" s="515"/>
      <c r="IOY1737" s="515"/>
      <c r="IOZ1737" s="515"/>
      <c r="IPA1737" s="515"/>
      <c r="IPB1737" s="515"/>
      <c r="IPC1737" s="515"/>
      <c r="IPD1737" s="515"/>
      <c r="IPE1737" s="515"/>
      <c r="IPF1737" s="515"/>
      <c r="IPG1737" s="515"/>
      <c r="IPH1737" s="515"/>
      <c r="IPI1737" s="515"/>
      <c r="IPJ1737" s="515"/>
      <c r="IPK1737" s="515"/>
      <c r="IPL1737" s="515"/>
      <c r="IPM1737" s="515"/>
      <c r="IPN1737" s="515"/>
      <c r="IPO1737" s="515"/>
      <c r="IPP1737" s="515"/>
      <c r="IPQ1737" s="515"/>
      <c r="IPR1737" s="515"/>
      <c r="IPS1737" s="515"/>
      <c r="IPT1737" s="515"/>
      <c r="IPU1737" s="515"/>
      <c r="IPV1737" s="515"/>
      <c r="IPW1737" s="515"/>
      <c r="IPX1737" s="515"/>
      <c r="IPY1737" s="515"/>
      <c r="IPZ1737" s="515"/>
      <c r="IQA1737" s="515"/>
      <c r="IQB1737" s="515"/>
      <c r="IQC1737" s="515"/>
      <c r="IQD1737" s="515"/>
      <c r="IQE1737" s="515"/>
      <c r="IQF1737" s="515"/>
      <c r="IQG1737" s="515"/>
      <c r="IQH1737" s="515"/>
      <c r="IQI1737" s="515"/>
      <c r="IQJ1737" s="515"/>
      <c r="IQK1737" s="515"/>
      <c r="IQL1737" s="515"/>
      <c r="IQM1737" s="515"/>
      <c r="IQN1737" s="515"/>
      <c r="IQO1737" s="515"/>
      <c r="IQP1737" s="515"/>
      <c r="IQQ1737" s="515"/>
      <c r="IQR1737" s="515"/>
      <c r="IQS1737" s="515"/>
      <c r="IQT1737" s="515"/>
      <c r="IQU1737" s="515"/>
      <c r="IQV1737" s="515"/>
      <c r="IQW1737" s="515"/>
      <c r="IQX1737" s="515"/>
      <c r="IQY1737" s="515"/>
      <c r="IQZ1737" s="515"/>
      <c r="IRA1737" s="515"/>
      <c r="IRB1737" s="515"/>
      <c r="IRC1737" s="515"/>
      <c r="IRD1737" s="515"/>
      <c r="IRE1737" s="515"/>
      <c r="IRF1737" s="515"/>
      <c r="IRG1737" s="515"/>
      <c r="IRH1737" s="515"/>
      <c r="IRI1737" s="515"/>
      <c r="IRJ1737" s="515"/>
      <c r="IRK1737" s="515"/>
      <c r="IRL1737" s="515"/>
      <c r="IRM1737" s="515"/>
      <c r="IRN1737" s="515"/>
      <c r="IRO1737" s="515"/>
      <c r="IRP1737" s="515"/>
      <c r="IRQ1737" s="515"/>
      <c r="IRR1737" s="515"/>
      <c r="IRS1737" s="515"/>
      <c r="IRT1737" s="515"/>
      <c r="IRU1737" s="515"/>
      <c r="IRV1737" s="515"/>
      <c r="IRW1737" s="515"/>
      <c r="IRX1737" s="515"/>
      <c r="IRY1737" s="515"/>
      <c r="IRZ1737" s="515"/>
      <c r="ISA1737" s="515"/>
      <c r="ISB1737" s="515"/>
      <c r="ISC1737" s="515"/>
      <c r="ISD1737" s="515"/>
      <c r="ISE1737" s="515"/>
      <c r="ISF1737" s="515"/>
      <c r="ISG1737" s="515"/>
      <c r="ISH1737" s="515"/>
      <c r="ISI1737" s="515"/>
      <c r="ISJ1737" s="515"/>
      <c r="ISK1737" s="515"/>
      <c r="ISL1737" s="515"/>
      <c r="ISM1737" s="515"/>
      <c r="ISN1737" s="515"/>
      <c r="ISO1737" s="515"/>
      <c r="ISP1737" s="515"/>
      <c r="ISQ1737" s="515"/>
      <c r="ISR1737" s="515"/>
      <c r="ISS1737" s="515"/>
      <c r="IST1737" s="515"/>
      <c r="ISU1737" s="515"/>
      <c r="ISV1737" s="515"/>
      <c r="ISW1737" s="515"/>
      <c r="ISX1737" s="515"/>
      <c r="ISY1737" s="515"/>
      <c r="ISZ1737" s="515"/>
      <c r="ITA1737" s="515"/>
      <c r="ITB1737" s="515"/>
      <c r="ITC1737" s="515"/>
      <c r="ITD1737" s="515"/>
      <c r="ITE1737" s="515"/>
      <c r="ITF1737" s="515"/>
      <c r="ITG1737" s="515"/>
      <c r="ITH1737" s="515"/>
      <c r="ITI1737" s="515"/>
      <c r="ITJ1737" s="515"/>
      <c r="ITK1737" s="515"/>
      <c r="ITL1737" s="515"/>
      <c r="ITM1737" s="515"/>
      <c r="ITN1737" s="515"/>
      <c r="ITO1737" s="515"/>
      <c r="ITP1737" s="515"/>
      <c r="ITQ1737" s="515"/>
      <c r="ITR1737" s="515"/>
      <c r="ITS1737" s="515"/>
      <c r="ITT1737" s="515"/>
      <c r="ITU1737" s="515"/>
      <c r="ITV1737" s="515"/>
      <c r="ITW1737" s="515"/>
      <c r="ITX1737" s="515"/>
      <c r="ITY1737" s="515"/>
      <c r="ITZ1737" s="515"/>
      <c r="IUA1737" s="515"/>
      <c r="IUB1737" s="515"/>
      <c r="IUC1737" s="515"/>
      <c r="IUD1737" s="515"/>
      <c r="IUE1737" s="515"/>
      <c r="IUF1737" s="515"/>
      <c r="IUG1737" s="515"/>
      <c r="IUH1737" s="515"/>
      <c r="IUI1737" s="515"/>
      <c r="IUJ1737" s="515"/>
      <c r="IUK1737" s="515"/>
      <c r="IUL1737" s="515"/>
      <c r="IUM1737" s="515"/>
      <c r="IUN1737" s="515"/>
      <c r="IUO1737" s="515"/>
      <c r="IUP1737" s="515"/>
      <c r="IUQ1737" s="515"/>
      <c r="IUR1737" s="515"/>
      <c r="IUS1737" s="515"/>
      <c r="IUT1737" s="515"/>
      <c r="IUU1737" s="515"/>
      <c r="IUV1737" s="515"/>
      <c r="IUW1737" s="515"/>
      <c r="IUX1737" s="515"/>
      <c r="IUY1737" s="515"/>
      <c r="IUZ1737" s="515"/>
      <c r="IVA1737" s="515"/>
      <c r="IVB1737" s="515"/>
      <c r="IVC1737" s="515"/>
      <c r="IVD1737" s="515"/>
      <c r="IVE1737" s="515"/>
      <c r="IVF1737" s="515"/>
      <c r="IVG1737" s="515"/>
      <c r="IVH1737" s="515"/>
      <c r="IVI1737" s="515"/>
      <c r="IVJ1737" s="515"/>
      <c r="IVK1737" s="515"/>
      <c r="IVL1737" s="515"/>
      <c r="IVM1737" s="515"/>
      <c r="IVN1737" s="515"/>
      <c r="IVO1737" s="515"/>
      <c r="IVP1737" s="515"/>
      <c r="IVQ1737" s="515"/>
      <c r="IVR1737" s="515"/>
      <c r="IVS1737" s="515"/>
      <c r="IVT1737" s="515"/>
      <c r="IVU1737" s="515"/>
      <c r="IVV1737" s="515"/>
      <c r="IVW1737" s="515"/>
      <c r="IVX1737" s="515"/>
      <c r="IVY1737" s="515"/>
      <c r="IVZ1737" s="515"/>
      <c r="IWA1737" s="515"/>
      <c r="IWB1737" s="515"/>
      <c r="IWC1737" s="515"/>
      <c r="IWD1737" s="515"/>
      <c r="IWE1737" s="515"/>
      <c r="IWF1737" s="515"/>
      <c r="IWG1737" s="515"/>
      <c r="IWH1737" s="515"/>
      <c r="IWI1737" s="515"/>
      <c r="IWJ1737" s="515"/>
      <c r="IWK1737" s="515"/>
      <c r="IWL1737" s="515"/>
      <c r="IWM1737" s="515"/>
      <c r="IWN1737" s="515"/>
      <c r="IWO1737" s="515"/>
      <c r="IWP1737" s="515"/>
      <c r="IWQ1737" s="515"/>
      <c r="IWR1737" s="515"/>
      <c r="IWS1737" s="515"/>
      <c r="IWT1737" s="515"/>
      <c r="IWU1737" s="515"/>
      <c r="IWV1737" s="515"/>
      <c r="IWW1737" s="515"/>
      <c r="IWX1737" s="515"/>
      <c r="IWY1737" s="515"/>
      <c r="IWZ1737" s="515"/>
      <c r="IXA1737" s="515"/>
      <c r="IXB1737" s="515"/>
      <c r="IXC1737" s="515"/>
      <c r="IXD1737" s="515"/>
      <c r="IXE1737" s="515"/>
      <c r="IXF1737" s="515"/>
      <c r="IXG1737" s="515"/>
      <c r="IXH1737" s="515"/>
      <c r="IXI1737" s="515"/>
      <c r="IXJ1737" s="515"/>
      <c r="IXK1737" s="515"/>
      <c r="IXL1737" s="515"/>
      <c r="IXM1737" s="515"/>
      <c r="IXN1737" s="515"/>
      <c r="IXO1737" s="515"/>
      <c r="IXP1737" s="515"/>
      <c r="IXQ1737" s="515"/>
      <c r="IXR1737" s="515"/>
      <c r="IXS1737" s="515"/>
      <c r="IXT1737" s="515"/>
      <c r="IXU1737" s="515"/>
      <c r="IXV1737" s="515"/>
      <c r="IXW1737" s="515"/>
      <c r="IXX1737" s="515"/>
      <c r="IXY1737" s="515"/>
      <c r="IXZ1737" s="515"/>
      <c r="IYA1737" s="515"/>
      <c r="IYB1737" s="515"/>
      <c r="IYC1737" s="515"/>
      <c r="IYD1737" s="515"/>
      <c r="IYE1737" s="515"/>
      <c r="IYF1737" s="515"/>
      <c r="IYG1737" s="515"/>
      <c r="IYH1737" s="515"/>
      <c r="IYI1737" s="515"/>
      <c r="IYJ1737" s="515"/>
      <c r="IYK1737" s="515"/>
      <c r="IYL1737" s="515"/>
      <c r="IYM1737" s="515"/>
      <c r="IYN1737" s="515"/>
      <c r="IYO1737" s="515"/>
      <c r="IYP1737" s="515"/>
      <c r="IYQ1737" s="515"/>
      <c r="IYR1737" s="515"/>
      <c r="IYS1737" s="515"/>
      <c r="IYT1737" s="515"/>
      <c r="IYU1737" s="515"/>
      <c r="IYV1737" s="515"/>
      <c r="IYW1737" s="515"/>
      <c r="IYX1737" s="515"/>
      <c r="IYY1737" s="515"/>
      <c r="IYZ1737" s="515"/>
      <c r="IZA1737" s="515"/>
      <c r="IZB1737" s="515"/>
      <c r="IZC1737" s="515"/>
      <c r="IZD1737" s="515"/>
      <c r="IZE1737" s="515"/>
      <c r="IZF1737" s="515"/>
      <c r="IZG1737" s="515"/>
      <c r="IZH1737" s="515"/>
      <c r="IZI1737" s="515"/>
      <c r="IZJ1737" s="515"/>
      <c r="IZK1737" s="515"/>
      <c r="IZL1737" s="515"/>
      <c r="IZM1737" s="515"/>
      <c r="IZN1737" s="515"/>
      <c r="IZO1737" s="515"/>
      <c r="IZP1737" s="515"/>
      <c r="IZQ1737" s="515"/>
      <c r="IZR1737" s="515"/>
      <c r="IZS1737" s="515"/>
      <c r="IZT1737" s="515"/>
      <c r="IZU1737" s="515"/>
      <c r="IZV1737" s="515"/>
      <c r="IZW1737" s="515"/>
      <c r="IZX1737" s="515"/>
      <c r="IZY1737" s="515"/>
      <c r="IZZ1737" s="515"/>
      <c r="JAA1737" s="515"/>
      <c r="JAB1737" s="515"/>
      <c r="JAC1737" s="515"/>
      <c r="JAD1737" s="515"/>
      <c r="JAE1737" s="515"/>
      <c r="JAF1737" s="515"/>
      <c r="JAG1737" s="515"/>
      <c r="JAH1737" s="515"/>
      <c r="JAI1737" s="515"/>
      <c r="JAJ1737" s="515"/>
      <c r="JAK1737" s="515"/>
      <c r="JAL1737" s="515"/>
      <c r="JAM1737" s="515"/>
      <c r="JAN1737" s="515"/>
      <c r="JAO1737" s="515"/>
      <c r="JAP1737" s="515"/>
      <c r="JAQ1737" s="515"/>
      <c r="JAR1737" s="515"/>
      <c r="JAS1737" s="515"/>
      <c r="JAT1737" s="515"/>
      <c r="JAU1737" s="515"/>
      <c r="JAV1737" s="515"/>
      <c r="JAW1737" s="515"/>
      <c r="JAX1737" s="515"/>
      <c r="JAY1737" s="515"/>
      <c r="JAZ1737" s="515"/>
      <c r="JBA1737" s="515"/>
      <c r="JBB1737" s="515"/>
      <c r="JBC1737" s="515"/>
      <c r="JBD1737" s="515"/>
      <c r="JBE1737" s="515"/>
      <c r="JBF1737" s="515"/>
      <c r="JBG1737" s="515"/>
      <c r="JBH1737" s="515"/>
      <c r="JBI1737" s="515"/>
      <c r="JBJ1737" s="515"/>
      <c r="JBK1737" s="515"/>
      <c r="JBL1737" s="515"/>
      <c r="JBM1737" s="515"/>
      <c r="JBN1737" s="515"/>
      <c r="JBO1737" s="515"/>
      <c r="JBP1737" s="515"/>
      <c r="JBQ1737" s="515"/>
      <c r="JBR1737" s="515"/>
      <c r="JBS1737" s="515"/>
      <c r="JBT1737" s="515"/>
      <c r="JBU1737" s="515"/>
      <c r="JBV1737" s="515"/>
      <c r="JBW1737" s="515"/>
      <c r="JBX1737" s="515"/>
      <c r="JBY1737" s="515"/>
      <c r="JBZ1737" s="515"/>
      <c r="JCA1737" s="515"/>
      <c r="JCB1737" s="515"/>
      <c r="JCC1737" s="515"/>
      <c r="JCD1737" s="515"/>
      <c r="JCE1737" s="515"/>
      <c r="JCF1737" s="515"/>
      <c r="JCG1737" s="515"/>
      <c r="JCH1737" s="515"/>
      <c r="JCI1737" s="515"/>
      <c r="JCJ1737" s="515"/>
      <c r="JCK1737" s="515"/>
      <c r="JCL1737" s="515"/>
      <c r="JCM1737" s="515"/>
      <c r="JCN1737" s="515"/>
      <c r="JCO1737" s="515"/>
      <c r="JCP1737" s="515"/>
      <c r="JCQ1737" s="515"/>
      <c r="JCR1737" s="515"/>
      <c r="JCS1737" s="515"/>
      <c r="JCT1737" s="515"/>
      <c r="JCU1737" s="515"/>
      <c r="JCV1737" s="515"/>
      <c r="JCW1737" s="515"/>
      <c r="JCX1737" s="515"/>
      <c r="JCY1737" s="515"/>
      <c r="JCZ1737" s="515"/>
      <c r="JDA1737" s="515"/>
      <c r="JDB1737" s="515"/>
      <c r="JDC1737" s="515"/>
      <c r="JDD1737" s="515"/>
      <c r="JDE1737" s="515"/>
      <c r="JDF1737" s="515"/>
      <c r="JDG1737" s="515"/>
      <c r="JDH1737" s="515"/>
      <c r="JDI1737" s="515"/>
      <c r="JDJ1737" s="515"/>
      <c r="JDK1737" s="515"/>
      <c r="JDL1737" s="515"/>
      <c r="JDM1737" s="515"/>
      <c r="JDN1737" s="515"/>
      <c r="JDO1737" s="515"/>
      <c r="JDP1737" s="515"/>
      <c r="JDQ1737" s="515"/>
      <c r="JDR1737" s="515"/>
      <c r="JDS1737" s="515"/>
      <c r="JDT1737" s="515"/>
      <c r="JDU1737" s="515"/>
      <c r="JDV1737" s="515"/>
      <c r="JDW1737" s="515"/>
      <c r="JDX1737" s="515"/>
      <c r="JDY1737" s="515"/>
      <c r="JDZ1737" s="515"/>
      <c r="JEA1737" s="515"/>
      <c r="JEB1737" s="515"/>
      <c r="JEC1737" s="515"/>
      <c r="JED1737" s="515"/>
      <c r="JEE1737" s="515"/>
      <c r="JEF1737" s="515"/>
      <c r="JEG1737" s="515"/>
      <c r="JEH1737" s="515"/>
      <c r="JEI1737" s="515"/>
      <c r="JEJ1737" s="515"/>
      <c r="JEK1737" s="515"/>
      <c r="JEL1737" s="515"/>
      <c r="JEM1737" s="515"/>
      <c r="JEN1737" s="515"/>
      <c r="JEO1737" s="515"/>
      <c r="JEP1737" s="515"/>
      <c r="JEQ1737" s="515"/>
      <c r="JER1737" s="515"/>
      <c r="JES1737" s="515"/>
      <c r="JET1737" s="515"/>
      <c r="JEU1737" s="515"/>
      <c r="JEV1737" s="515"/>
      <c r="JEW1737" s="515"/>
      <c r="JEX1737" s="515"/>
      <c r="JEY1737" s="515"/>
      <c r="JEZ1737" s="515"/>
      <c r="JFA1737" s="515"/>
      <c r="JFB1737" s="515"/>
      <c r="JFC1737" s="515"/>
      <c r="JFD1737" s="515"/>
      <c r="JFE1737" s="515"/>
      <c r="JFF1737" s="515"/>
      <c r="JFG1737" s="515"/>
      <c r="JFH1737" s="515"/>
      <c r="JFI1737" s="515"/>
      <c r="JFJ1737" s="515"/>
      <c r="JFK1737" s="515"/>
      <c r="JFL1737" s="515"/>
      <c r="JFM1737" s="515"/>
      <c r="JFN1737" s="515"/>
      <c r="JFO1737" s="515"/>
      <c r="JFP1737" s="515"/>
      <c r="JFQ1737" s="515"/>
      <c r="JFR1737" s="515"/>
      <c r="JFS1737" s="515"/>
      <c r="JFT1737" s="515"/>
      <c r="JFU1737" s="515"/>
      <c r="JFV1737" s="515"/>
      <c r="JFW1737" s="515"/>
      <c r="JFX1737" s="515"/>
      <c r="JFY1737" s="515"/>
      <c r="JFZ1737" s="515"/>
      <c r="JGA1737" s="515"/>
      <c r="JGB1737" s="515"/>
      <c r="JGC1737" s="515"/>
      <c r="JGD1737" s="515"/>
      <c r="JGE1737" s="515"/>
      <c r="JGF1737" s="515"/>
      <c r="JGG1737" s="515"/>
      <c r="JGH1737" s="515"/>
      <c r="JGI1737" s="515"/>
      <c r="JGJ1737" s="515"/>
      <c r="JGK1737" s="515"/>
      <c r="JGL1737" s="515"/>
      <c r="JGM1737" s="515"/>
      <c r="JGN1737" s="515"/>
      <c r="JGO1737" s="515"/>
      <c r="JGP1737" s="515"/>
      <c r="JGQ1737" s="515"/>
      <c r="JGR1737" s="515"/>
      <c r="JGS1737" s="515"/>
      <c r="JGT1737" s="515"/>
      <c r="JGU1737" s="515"/>
      <c r="JGV1737" s="515"/>
      <c r="JGW1737" s="515"/>
      <c r="JGX1737" s="515"/>
      <c r="JGY1737" s="515"/>
      <c r="JGZ1737" s="515"/>
      <c r="JHA1737" s="515"/>
      <c r="JHB1737" s="515"/>
      <c r="JHC1737" s="515"/>
      <c r="JHD1737" s="515"/>
      <c r="JHE1737" s="515"/>
      <c r="JHF1737" s="515"/>
      <c r="JHG1737" s="515"/>
      <c r="JHH1737" s="515"/>
      <c r="JHI1737" s="515"/>
      <c r="JHJ1737" s="515"/>
      <c r="JHK1737" s="515"/>
      <c r="JHL1737" s="515"/>
      <c r="JHM1737" s="515"/>
      <c r="JHN1737" s="515"/>
      <c r="JHO1737" s="515"/>
      <c r="JHP1737" s="515"/>
      <c r="JHQ1737" s="515"/>
      <c r="JHR1737" s="515"/>
      <c r="JHS1737" s="515"/>
      <c r="JHT1737" s="515"/>
      <c r="JHU1737" s="515"/>
      <c r="JHV1737" s="515"/>
      <c r="JHW1737" s="515"/>
      <c r="JHX1737" s="515"/>
      <c r="JHY1737" s="515"/>
      <c r="JHZ1737" s="515"/>
      <c r="JIA1737" s="515"/>
      <c r="JIB1737" s="515"/>
      <c r="JIC1737" s="515"/>
      <c r="JID1737" s="515"/>
      <c r="JIE1737" s="515"/>
      <c r="JIF1737" s="515"/>
      <c r="JIG1737" s="515"/>
      <c r="JIH1737" s="515"/>
      <c r="JII1737" s="515"/>
      <c r="JIJ1737" s="515"/>
      <c r="JIK1737" s="515"/>
      <c r="JIL1737" s="515"/>
      <c r="JIM1737" s="515"/>
      <c r="JIN1737" s="515"/>
      <c r="JIO1737" s="515"/>
      <c r="JIP1737" s="515"/>
      <c r="JIQ1737" s="515"/>
      <c r="JIR1737" s="515"/>
      <c r="JIS1737" s="515"/>
      <c r="JIT1737" s="515"/>
      <c r="JIU1737" s="515"/>
      <c r="JIV1737" s="515"/>
      <c r="JIW1737" s="515"/>
      <c r="JIX1737" s="515"/>
      <c r="JIY1737" s="515"/>
      <c r="JIZ1737" s="515"/>
      <c r="JJA1737" s="515"/>
      <c r="JJB1737" s="515"/>
      <c r="JJC1737" s="515"/>
      <c r="JJD1737" s="515"/>
      <c r="JJE1737" s="515"/>
      <c r="JJF1737" s="515"/>
      <c r="JJG1737" s="515"/>
      <c r="JJH1737" s="515"/>
      <c r="JJI1737" s="515"/>
      <c r="JJJ1737" s="515"/>
      <c r="JJK1737" s="515"/>
      <c r="JJL1737" s="515"/>
      <c r="JJM1737" s="515"/>
      <c r="JJN1737" s="515"/>
      <c r="JJO1737" s="515"/>
      <c r="JJP1737" s="515"/>
      <c r="JJQ1737" s="515"/>
      <c r="JJR1737" s="515"/>
      <c r="JJS1737" s="515"/>
      <c r="JJT1737" s="515"/>
      <c r="JJU1737" s="515"/>
      <c r="JJV1737" s="515"/>
      <c r="JJW1737" s="515"/>
      <c r="JJX1737" s="515"/>
      <c r="JJY1737" s="515"/>
      <c r="JJZ1737" s="515"/>
      <c r="JKA1737" s="515"/>
      <c r="JKB1737" s="515"/>
      <c r="JKC1737" s="515"/>
      <c r="JKD1737" s="515"/>
      <c r="JKE1737" s="515"/>
      <c r="JKF1737" s="515"/>
      <c r="JKG1737" s="515"/>
      <c r="JKH1737" s="515"/>
      <c r="JKI1737" s="515"/>
      <c r="JKJ1737" s="515"/>
      <c r="JKK1737" s="515"/>
      <c r="JKL1737" s="515"/>
      <c r="JKM1737" s="515"/>
      <c r="JKN1737" s="515"/>
      <c r="JKO1737" s="515"/>
      <c r="JKP1737" s="515"/>
      <c r="JKQ1737" s="515"/>
      <c r="JKR1737" s="515"/>
      <c r="JKS1737" s="515"/>
      <c r="JKT1737" s="515"/>
      <c r="JKU1737" s="515"/>
      <c r="JKV1737" s="515"/>
      <c r="JKW1737" s="515"/>
      <c r="JKX1737" s="515"/>
      <c r="JKY1737" s="515"/>
      <c r="JKZ1737" s="515"/>
      <c r="JLA1737" s="515"/>
      <c r="JLB1737" s="515"/>
      <c r="JLC1737" s="515"/>
      <c r="JLD1737" s="515"/>
      <c r="JLE1737" s="515"/>
      <c r="JLF1737" s="515"/>
      <c r="JLG1737" s="515"/>
      <c r="JLH1737" s="515"/>
      <c r="JLI1737" s="515"/>
      <c r="JLJ1737" s="515"/>
      <c r="JLK1737" s="515"/>
      <c r="JLL1737" s="515"/>
      <c r="JLM1737" s="515"/>
      <c r="JLN1737" s="515"/>
      <c r="JLO1737" s="515"/>
      <c r="JLP1737" s="515"/>
      <c r="JLQ1737" s="515"/>
      <c r="JLR1737" s="515"/>
      <c r="JLS1737" s="515"/>
      <c r="JLT1737" s="515"/>
      <c r="JLU1737" s="515"/>
      <c r="JLV1737" s="515"/>
      <c r="JLW1737" s="515"/>
      <c r="JLX1737" s="515"/>
      <c r="JLY1737" s="515"/>
      <c r="JLZ1737" s="515"/>
      <c r="JMA1737" s="515"/>
      <c r="JMB1737" s="515"/>
      <c r="JMC1737" s="515"/>
      <c r="JMD1737" s="515"/>
      <c r="JME1737" s="515"/>
      <c r="JMF1737" s="515"/>
      <c r="JMG1737" s="515"/>
      <c r="JMH1737" s="515"/>
      <c r="JMI1737" s="515"/>
      <c r="JMJ1737" s="515"/>
      <c r="JMK1737" s="515"/>
      <c r="JML1737" s="515"/>
      <c r="JMM1737" s="515"/>
      <c r="JMN1737" s="515"/>
      <c r="JMO1737" s="515"/>
      <c r="JMP1737" s="515"/>
      <c r="JMQ1737" s="515"/>
      <c r="JMR1737" s="515"/>
      <c r="JMS1737" s="515"/>
      <c r="JMT1737" s="515"/>
      <c r="JMU1737" s="515"/>
      <c r="JMV1737" s="515"/>
      <c r="JMW1737" s="515"/>
      <c r="JMX1737" s="515"/>
      <c r="JMY1737" s="515"/>
      <c r="JMZ1737" s="515"/>
      <c r="JNA1737" s="515"/>
      <c r="JNB1737" s="515"/>
      <c r="JNC1737" s="515"/>
      <c r="JND1737" s="515"/>
      <c r="JNE1737" s="515"/>
      <c r="JNF1737" s="515"/>
      <c r="JNG1737" s="515"/>
      <c r="JNH1737" s="515"/>
      <c r="JNI1737" s="515"/>
      <c r="JNJ1737" s="515"/>
      <c r="JNK1737" s="515"/>
      <c r="JNL1737" s="515"/>
      <c r="JNM1737" s="515"/>
      <c r="JNN1737" s="515"/>
      <c r="JNO1737" s="515"/>
      <c r="JNP1737" s="515"/>
      <c r="JNQ1737" s="515"/>
      <c r="JNR1737" s="515"/>
      <c r="JNS1737" s="515"/>
      <c r="JNT1737" s="515"/>
      <c r="JNU1737" s="515"/>
      <c r="JNV1737" s="515"/>
      <c r="JNW1737" s="515"/>
      <c r="JNX1737" s="515"/>
      <c r="JNY1737" s="515"/>
      <c r="JNZ1737" s="515"/>
      <c r="JOA1737" s="515"/>
      <c r="JOB1737" s="515"/>
      <c r="JOC1737" s="515"/>
      <c r="JOD1737" s="515"/>
      <c r="JOE1737" s="515"/>
      <c r="JOF1737" s="515"/>
      <c r="JOG1737" s="515"/>
      <c r="JOH1737" s="515"/>
      <c r="JOI1737" s="515"/>
      <c r="JOJ1737" s="515"/>
      <c r="JOK1737" s="515"/>
      <c r="JOL1737" s="515"/>
      <c r="JOM1737" s="515"/>
      <c r="JON1737" s="515"/>
      <c r="JOO1737" s="515"/>
      <c r="JOP1737" s="515"/>
      <c r="JOQ1737" s="515"/>
      <c r="JOR1737" s="515"/>
      <c r="JOS1737" s="515"/>
      <c r="JOT1737" s="515"/>
      <c r="JOU1737" s="515"/>
      <c r="JOV1737" s="515"/>
      <c r="JOW1737" s="515"/>
      <c r="JOX1737" s="515"/>
      <c r="JOY1737" s="515"/>
      <c r="JOZ1737" s="515"/>
      <c r="JPA1737" s="515"/>
      <c r="JPB1737" s="515"/>
      <c r="JPC1737" s="515"/>
      <c r="JPD1737" s="515"/>
      <c r="JPE1737" s="515"/>
      <c r="JPF1737" s="515"/>
      <c r="JPG1737" s="515"/>
      <c r="JPH1737" s="515"/>
      <c r="JPI1737" s="515"/>
      <c r="JPJ1737" s="515"/>
      <c r="JPK1737" s="515"/>
      <c r="JPL1737" s="515"/>
      <c r="JPM1737" s="515"/>
      <c r="JPN1737" s="515"/>
      <c r="JPO1737" s="515"/>
      <c r="JPP1737" s="515"/>
      <c r="JPQ1737" s="515"/>
      <c r="JPR1737" s="515"/>
      <c r="JPS1737" s="515"/>
      <c r="JPT1737" s="515"/>
      <c r="JPU1737" s="515"/>
      <c r="JPV1737" s="515"/>
      <c r="JPW1737" s="515"/>
      <c r="JPX1737" s="515"/>
      <c r="JPY1737" s="515"/>
      <c r="JPZ1737" s="515"/>
      <c r="JQA1737" s="515"/>
      <c r="JQB1737" s="515"/>
      <c r="JQC1737" s="515"/>
      <c r="JQD1737" s="515"/>
      <c r="JQE1737" s="515"/>
      <c r="JQF1737" s="515"/>
      <c r="JQG1737" s="515"/>
      <c r="JQH1737" s="515"/>
      <c r="JQI1737" s="515"/>
      <c r="JQJ1737" s="515"/>
      <c r="JQK1737" s="515"/>
      <c r="JQL1737" s="515"/>
      <c r="JQM1737" s="515"/>
      <c r="JQN1737" s="515"/>
      <c r="JQO1737" s="515"/>
      <c r="JQP1737" s="515"/>
      <c r="JQQ1737" s="515"/>
      <c r="JQR1737" s="515"/>
      <c r="JQS1737" s="515"/>
      <c r="JQT1737" s="515"/>
      <c r="JQU1737" s="515"/>
      <c r="JQV1737" s="515"/>
      <c r="JQW1737" s="515"/>
      <c r="JQX1737" s="515"/>
      <c r="JQY1737" s="515"/>
      <c r="JQZ1737" s="515"/>
      <c r="JRA1737" s="515"/>
      <c r="JRB1737" s="515"/>
      <c r="JRC1737" s="515"/>
      <c r="JRD1737" s="515"/>
      <c r="JRE1737" s="515"/>
      <c r="JRF1737" s="515"/>
      <c r="JRG1737" s="515"/>
      <c r="JRH1737" s="515"/>
      <c r="JRI1737" s="515"/>
      <c r="JRJ1737" s="515"/>
      <c r="JRK1737" s="515"/>
      <c r="JRL1737" s="515"/>
      <c r="JRM1737" s="515"/>
      <c r="JRN1737" s="515"/>
      <c r="JRO1737" s="515"/>
      <c r="JRP1737" s="515"/>
      <c r="JRQ1737" s="515"/>
      <c r="JRR1737" s="515"/>
      <c r="JRS1737" s="515"/>
      <c r="JRT1737" s="515"/>
      <c r="JRU1737" s="515"/>
      <c r="JRV1737" s="515"/>
      <c r="JRW1737" s="515"/>
      <c r="JRX1737" s="515"/>
      <c r="JRY1737" s="515"/>
      <c r="JRZ1737" s="515"/>
      <c r="JSA1737" s="515"/>
      <c r="JSB1737" s="515"/>
      <c r="JSC1737" s="515"/>
      <c r="JSD1737" s="515"/>
      <c r="JSE1737" s="515"/>
      <c r="JSF1737" s="515"/>
      <c r="JSG1737" s="515"/>
      <c r="JSH1737" s="515"/>
      <c r="JSI1737" s="515"/>
      <c r="JSJ1737" s="515"/>
      <c r="JSK1737" s="515"/>
      <c r="JSL1737" s="515"/>
      <c r="JSM1737" s="515"/>
      <c r="JSN1737" s="515"/>
      <c r="JSO1737" s="515"/>
      <c r="JSP1737" s="515"/>
      <c r="JSQ1737" s="515"/>
      <c r="JSR1737" s="515"/>
      <c r="JSS1737" s="515"/>
      <c r="JST1737" s="515"/>
      <c r="JSU1737" s="515"/>
      <c r="JSV1737" s="515"/>
      <c r="JSW1737" s="515"/>
      <c r="JSX1737" s="515"/>
      <c r="JSY1737" s="515"/>
      <c r="JSZ1737" s="515"/>
      <c r="JTA1737" s="515"/>
      <c r="JTB1737" s="515"/>
      <c r="JTC1737" s="515"/>
      <c r="JTD1737" s="515"/>
      <c r="JTE1737" s="515"/>
      <c r="JTF1737" s="515"/>
      <c r="JTG1737" s="515"/>
      <c r="JTH1737" s="515"/>
      <c r="JTI1737" s="515"/>
      <c r="JTJ1737" s="515"/>
      <c r="JTK1737" s="515"/>
      <c r="JTL1737" s="515"/>
      <c r="JTM1737" s="515"/>
      <c r="JTN1737" s="515"/>
      <c r="JTO1737" s="515"/>
      <c r="JTP1737" s="515"/>
      <c r="JTQ1737" s="515"/>
      <c r="JTR1737" s="515"/>
      <c r="JTS1737" s="515"/>
      <c r="JTT1737" s="515"/>
      <c r="JTU1737" s="515"/>
      <c r="JTV1737" s="515"/>
      <c r="JTW1737" s="515"/>
      <c r="JTX1737" s="515"/>
      <c r="JTY1737" s="515"/>
      <c r="JTZ1737" s="515"/>
      <c r="JUA1737" s="515"/>
      <c r="JUB1737" s="515"/>
      <c r="JUC1737" s="515"/>
      <c r="JUD1737" s="515"/>
      <c r="JUE1737" s="515"/>
      <c r="JUF1737" s="515"/>
      <c r="JUG1737" s="515"/>
      <c r="JUH1737" s="515"/>
      <c r="JUI1737" s="515"/>
      <c r="JUJ1737" s="515"/>
      <c r="JUK1737" s="515"/>
      <c r="JUL1737" s="515"/>
      <c r="JUM1737" s="515"/>
      <c r="JUN1737" s="515"/>
      <c r="JUO1737" s="515"/>
      <c r="JUP1737" s="515"/>
      <c r="JUQ1737" s="515"/>
      <c r="JUR1737" s="515"/>
      <c r="JUS1737" s="515"/>
      <c r="JUT1737" s="515"/>
      <c r="JUU1737" s="515"/>
      <c r="JUV1737" s="515"/>
      <c r="JUW1737" s="515"/>
      <c r="JUX1737" s="515"/>
      <c r="JUY1737" s="515"/>
      <c r="JUZ1737" s="515"/>
      <c r="JVA1737" s="515"/>
      <c r="JVB1737" s="515"/>
      <c r="JVC1737" s="515"/>
      <c r="JVD1737" s="515"/>
      <c r="JVE1737" s="515"/>
      <c r="JVF1737" s="515"/>
      <c r="JVG1737" s="515"/>
      <c r="JVH1737" s="515"/>
      <c r="JVI1737" s="515"/>
      <c r="JVJ1737" s="515"/>
      <c r="JVK1737" s="515"/>
      <c r="JVL1737" s="515"/>
      <c r="JVM1737" s="515"/>
      <c r="JVN1737" s="515"/>
      <c r="JVO1737" s="515"/>
      <c r="JVP1737" s="515"/>
      <c r="JVQ1737" s="515"/>
      <c r="JVR1737" s="515"/>
      <c r="JVS1737" s="515"/>
      <c r="JVT1737" s="515"/>
      <c r="JVU1737" s="515"/>
      <c r="JVV1737" s="515"/>
      <c r="JVW1737" s="515"/>
      <c r="JVX1737" s="515"/>
      <c r="JVY1737" s="515"/>
      <c r="JVZ1737" s="515"/>
      <c r="JWA1737" s="515"/>
      <c r="JWB1737" s="515"/>
      <c r="JWC1737" s="515"/>
      <c r="JWD1737" s="515"/>
      <c r="JWE1737" s="515"/>
      <c r="JWF1737" s="515"/>
      <c r="JWG1737" s="515"/>
      <c r="JWH1737" s="515"/>
      <c r="JWI1737" s="515"/>
      <c r="JWJ1737" s="515"/>
      <c r="JWK1737" s="515"/>
      <c r="JWL1737" s="515"/>
      <c r="JWM1737" s="515"/>
      <c r="JWN1737" s="515"/>
      <c r="JWO1737" s="515"/>
      <c r="JWP1737" s="515"/>
      <c r="JWQ1737" s="515"/>
      <c r="JWR1737" s="515"/>
      <c r="JWS1737" s="515"/>
      <c r="JWT1737" s="515"/>
      <c r="JWU1737" s="515"/>
      <c r="JWV1737" s="515"/>
      <c r="JWW1737" s="515"/>
      <c r="JWX1737" s="515"/>
      <c r="JWY1737" s="515"/>
      <c r="JWZ1737" s="515"/>
      <c r="JXA1737" s="515"/>
      <c r="JXB1737" s="515"/>
      <c r="JXC1737" s="515"/>
      <c r="JXD1737" s="515"/>
      <c r="JXE1737" s="515"/>
      <c r="JXF1737" s="515"/>
      <c r="JXG1737" s="515"/>
      <c r="JXH1737" s="515"/>
      <c r="JXI1737" s="515"/>
      <c r="JXJ1737" s="515"/>
      <c r="JXK1737" s="515"/>
      <c r="JXL1737" s="515"/>
      <c r="JXM1737" s="515"/>
      <c r="JXN1737" s="515"/>
      <c r="JXO1737" s="515"/>
      <c r="JXP1737" s="515"/>
      <c r="JXQ1737" s="515"/>
      <c r="JXR1737" s="515"/>
      <c r="JXS1737" s="515"/>
      <c r="JXT1737" s="515"/>
      <c r="JXU1737" s="515"/>
      <c r="JXV1737" s="515"/>
      <c r="JXW1737" s="515"/>
      <c r="JXX1737" s="515"/>
      <c r="JXY1737" s="515"/>
      <c r="JXZ1737" s="515"/>
      <c r="JYA1737" s="515"/>
      <c r="JYB1737" s="515"/>
      <c r="JYC1737" s="515"/>
      <c r="JYD1737" s="515"/>
      <c r="JYE1737" s="515"/>
      <c r="JYF1737" s="515"/>
      <c r="JYG1737" s="515"/>
      <c r="JYH1737" s="515"/>
      <c r="JYI1737" s="515"/>
      <c r="JYJ1737" s="515"/>
      <c r="JYK1737" s="515"/>
      <c r="JYL1737" s="515"/>
      <c r="JYM1737" s="515"/>
      <c r="JYN1737" s="515"/>
      <c r="JYO1737" s="515"/>
      <c r="JYP1737" s="515"/>
      <c r="JYQ1737" s="515"/>
      <c r="JYR1737" s="515"/>
      <c r="JYS1737" s="515"/>
      <c r="JYT1737" s="515"/>
      <c r="JYU1737" s="515"/>
      <c r="JYV1737" s="515"/>
      <c r="JYW1737" s="515"/>
      <c r="JYX1737" s="515"/>
      <c r="JYY1737" s="515"/>
      <c r="JYZ1737" s="515"/>
      <c r="JZA1737" s="515"/>
      <c r="JZB1737" s="515"/>
      <c r="JZC1737" s="515"/>
      <c r="JZD1737" s="515"/>
      <c r="JZE1737" s="515"/>
      <c r="JZF1737" s="515"/>
      <c r="JZG1737" s="515"/>
      <c r="JZH1737" s="515"/>
      <c r="JZI1737" s="515"/>
      <c r="JZJ1737" s="515"/>
      <c r="JZK1737" s="515"/>
      <c r="JZL1737" s="515"/>
      <c r="JZM1737" s="515"/>
      <c r="JZN1737" s="515"/>
      <c r="JZO1737" s="515"/>
      <c r="JZP1737" s="515"/>
      <c r="JZQ1737" s="515"/>
      <c r="JZR1737" s="515"/>
      <c r="JZS1737" s="515"/>
      <c r="JZT1737" s="515"/>
      <c r="JZU1737" s="515"/>
      <c r="JZV1737" s="515"/>
      <c r="JZW1737" s="515"/>
      <c r="JZX1737" s="515"/>
      <c r="JZY1737" s="515"/>
      <c r="JZZ1737" s="515"/>
      <c r="KAA1737" s="515"/>
      <c r="KAB1737" s="515"/>
      <c r="KAC1737" s="515"/>
      <c r="KAD1737" s="515"/>
      <c r="KAE1737" s="515"/>
      <c r="KAF1737" s="515"/>
      <c r="KAG1737" s="515"/>
      <c r="KAH1737" s="515"/>
      <c r="KAI1737" s="515"/>
      <c r="KAJ1737" s="515"/>
      <c r="KAK1737" s="515"/>
      <c r="KAL1737" s="515"/>
      <c r="KAM1737" s="515"/>
      <c r="KAN1737" s="515"/>
      <c r="KAO1737" s="515"/>
      <c r="KAP1737" s="515"/>
      <c r="KAQ1737" s="515"/>
      <c r="KAR1737" s="515"/>
      <c r="KAS1737" s="515"/>
      <c r="KAT1737" s="515"/>
      <c r="KAU1737" s="515"/>
      <c r="KAV1737" s="515"/>
      <c r="KAW1737" s="515"/>
      <c r="KAX1737" s="515"/>
      <c r="KAY1737" s="515"/>
      <c r="KAZ1737" s="515"/>
      <c r="KBA1737" s="515"/>
      <c r="KBB1737" s="515"/>
      <c r="KBC1737" s="515"/>
      <c r="KBD1737" s="515"/>
      <c r="KBE1737" s="515"/>
      <c r="KBF1737" s="515"/>
      <c r="KBG1737" s="515"/>
      <c r="KBH1737" s="515"/>
      <c r="KBI1737" s="515"/>
      <c r="KBJ1737" s="515"/>
      <c r="KBK1737" s="515"/>
      <c r="KBL1737" s="515"/>
      <c r="KBM1737" s="515"/>
      <c r="KBN1737" s="515"/>
      <c r="KBO1737" s="515"/>
      <c r="KBP1737" s="515"/>
      <c r="KBQ1737" s="515"/>
      <c r="KBR1737" s="515"/>
      <c r="KBS1737" s="515"/>
      <c r="KBT1737" s="515"/>
      <c r="KBU1737" s="515"/>
      <c r="KBV1737" s="515"/>
      <c r="KBW1737" s="515"/>
      <c r="KBX1737" s="515"/>
      <c r="KBY1737" s="515"/>
      <c r="KBZ1737" s="515"/>
      <c r="KCA1737" s="515"/>
      <c r="KCB1737" s="515"/>
      <c r="KCC1737" s="515"/>
      <c r="KCD1737" s="515"/>
      <c r="KCE1737" s="515"/>
      <c r="KCF1737" s="515"/>
      <c r="KCG1737" s="515"/>
      <c r="KCH1737" s="515"/>
      <c r="KCI1737" s="515"/>
      <c r="KCJ1737" s="515"/>
      <c r="KCK1737" s="515"/>
      <c r="KCL1737" s="515"/>
      <c r="KCM1737" s="515"/>
      <c r="KCN1737" s="515"/>
      <c r="KCO1737" s="515"/>
      <c r="KCP1737" s="515"/>
      <c r="KCQ1737" s="515"/>
      <c r="KCR1737" s="515"/>
      <c r="KCS1737" s="515"/>
      <c r="KCT1737" s="515"/>
      <c r="KCU1737" s="515"/>
      <c r="KCV1737" s="515"/>
      <c r="KCW1737" s="515"/>
      <c r="KCX1737" s="515"/>
      <c r="KCY1737" s="515"/>
      <c r="KCZ1737" s="515"/>
      <c r="KDA1737" s="515"/>
      <c r="KDB1737" s="515"/>
      <c r="KDC1737" s="515"/>
      <c r="KDD1737" s="515"/>
      <c r="KDE1737" s="515"/>
      <c r="KDF1737" s="515"/>
      <c r="KDG1737" s="515"/>
      <c r="KDH1737" s="515"/>
      <c r="KDI1737" s="515"/>
      <c r="KDJ1737" s="515"/>
      <c r="KDK1737" s="515"/>
      <c r="KDL1737" s="515"/>
      <c r="KDM1737" s="515"/>
      <c r="KDN1737" s="515"/>
      <c r="KDO1737" s="515"/>
      <c r="KDP1737" s="515"/>
      <c r="KDQ1737" s="515"/>
      <c r="KDR1737" s="515"/>
      <c r="KDS1737" s="515"/>
      <c r="KDT1737" s="515"/>
      <c r="KDU1737" s="515"/>
      <c r="KDV1737" s="515"/>
      <c r="KDW1737" s="515"/>
      <c r="KDX1737" s="515"/>
      <c r="KDY1737" s="515"/>
      <c r="KDZ1737" s="515"/>
      <c r="KEA1737" s="515"/>
      <c r="KEB1737" s="515"/>
      <c r="KEC1737" s="515"/>
      <c r="KED1737" s="515"/>
      <c r="KEE1737" s="515"/>
      <c r="KEF1737" s="515"/>
      <c r="KEG1737" s="515"/>
      <c r="KEH1737" s="515"/>
      <c r="KEI1737" s="515"/>
      <c r="KEJ1737" s="515"/>
      <c r="KEK1737" s="515"/>
      <c r="KEL1737" s="515"/>
      <c r="KEM1737" s="515"/>
      <c r="KEN1737" s="515"/>
      <c r="KEO1737" s="515"/>
      <c r="KEP1737" s="515"/>
      <c r="KEQ1737" s="515"/>
      <c r="KER1737" s="515"/>
      <c r="KES1737" s="515"/>
      <c r="KET1737" s="515"/>
      <c r="KEU1737" s="515"/>
      <c r="KEV1737" s="515"/>
      <c r="KEW1737" s="515"/>
      <c r="KEX1737" s="515"/>
      <c r="KEY1737" s="515"/>
      <c r="KEZ1737" s="515"/>
      <c r="KFA1737" s="515"/>
      <c r="KFB1737" s="515"/>
      <c r="KFC1737" s="515"/>
      <c r="KFD1737" s="515"/>
      <c r="KFE1737" s="515"/>
      <c r="KFF1737" s="515"/>
      <c r="KFG1737" s="515"/>
      <c r="KFH1737" s="515"/>
      <c r="KFI1737" s="515"/>
      <c r="KFJ1737" s="515"/>
      <c r="KFK1737" s="515"/>
      <c r="KFL1737" s="515"/>
      <c r="KFM1737" s="515"/>
      <c r="KFN1737" s="515"/>
      <c r="KFO1737" s="515"/>
      <c r="KFP1737" s="515"/>
      <c r="KFQ1737" s="515"/>
      <c r="KFR1737" s="515"/>
      <c r="KFS1737" s="515"/>
      <c r="KFT1737" s="515"/>
      <c r="KFU1737" s="515"/>
      <c r="KFV1737" s="515"/>
      <c r="KFW1737" s="515"/>
      <c r="KFX1737" s="515"/>
      <c r="KFY1737" s="515"/>
      <c r="KFZ1737" s="515"/>
      <c r="KGA1737" s="515"/>
      <c r="KGB1737" s="515"/>
      <c r="KGC1737" s="515"/>
      <c r="KGD1737" s="515"/>
      <c r="KGE1737" s="515"/>
      <c r="KGF1737" s="515"/>
      <c r="KGG1737" s="515"/>
      <c r="KGH1737" s="515"/>
      <c r="KGI1737" s="515"/>
      <c r="KGJ1737" s="515"/>
      <c r="KGK1737" s="515"/>
      <c r="KGL1737" s="515"/>
      <c r="KGM1737" s="515"/>
      <c r="KGN1737" s="515"/>
      <c r="KGO1737" s="515"/>
      <c r="KGP1737" s="515"/>
      <c r="KGQ1737" s="515"/>
      <c r="KGR1737" s="515"/>
      <c r="KGS1737" s="515"/>
      <c r="KGT1737" s="515"/>
      <c r="KGU1737" s="515"/>
      <c r="KGV1737" s="515"/>
      <c r="KGW1737" s="515"/>
      <c r="KGX1737" s="515"/>
      <c r="KGY1737" s="515"/>
      <c r="KGZ1737" s="515"/>
      <c r="KHA1737" s="515"/>
      <c r="KHB1737" s="515"/>
      <c r="KHC1737" s="515"/>
      <c r="KHD1737" s="515"/>
      <c r="KHE1737" s="515"/>
      <c r="KHF1737" s="515"/>
      <c r="KHG1737" s="515"/>
      <c r="KHH1737" s="515"/>
      <c r="KHI1737" s="515"/>
      <c r="KHJ1737" s="515"/>
      <c r="KHK1737" s="515"/>
      <c r="KHL1737" s="515"/>
      <c r="KHM1737" s="515"/>
      <c r="KHN1737" s="515"/>
      <c r="KHO1737" s="515"/>
      <c r="KHP1737" s="515"/>
      <c r="KHQ1737" s="515"/>
      <c r="KHR1737" s="515"/>
      <c r="KHS1737" s="515"/>
      <c r="KHT1737" s="515"/>
      <c r="KHU1737" s="515"/>
      <c r="KHV1737" s="515"/>
      <c r="KHW1737" s="515"/>
      <c r="KHX1737" s="515"/>
      <c r="KHY1737" s="515"/>
      <c r="KHZ1737" s="515"/>
      <c r="KIA1737" s="515"/>
      <c r="KIB1737" s="515"/>
      <c r="KIC1737" s="515"/>
      <c r="KID1737" s="515"/>
      <c r="KIE1737" s="515"/>
      <c r="KIF1737" s="515"/>
      <c r="KIG1737" s="515"/>
      <c r="KIH1737" s="515"/>
      <c r="KII1737" s="515"/>
      <c r="KIJ1737" s="515"/>
      <c r="KIK1737" s="515"/>
      <c r="KIL1737" s="515"/>
      <c r="KIM1737" s="515"/>
      <c r="KIN1737" s="515"/>
      <c r="KIO1737" s="515"/>
      <c r="KIP1737" s="515"/>
      <c r="KIQ1737" s="515"/>
      <c r="KIR1737" s="515"/>
      <c r="KIS1737" s="515"/>
      <c r="KIT1737" s="515"/>
      <c r="KIU1737" s="515"/>
      <c r="KIV1737" s="515"/>
      <c r="KIW1737" s="515"/>
      <c r="KIX1737" s="515"/>
      <c r="KIY1737" s="515"/>
      <c r="KIZ1737" s="515"/>
      <c r="KJA1737" s="515"/>
      <c r="KJB1737" s="515"/>
      <c r="KJC1737" s="515"/>
      <c r="KJD1737" s="515"/>
      <c r="KJE1737" s="515"/>
      <c r="KJF1737" s="515"/>
      <c r="KJG1737" s="515"/>
      <c r="KJH1737" s="515"/>
      <c r="KJI1737" s="515"/>
      <c r="KJJ1737" s="515"/>
      <c r="KJK1737" s="515"/>
      <c r="KJL1737" s="515"/>
      <c r="KJM1737" s="515"/>
      <c r="KJN1737" s="515"/>
      <c r="KJO1737" s="515"/>
      <c r="KJP1737" s="515"/>
      <c r="KJQ1737" s="515"/>
      <c r="KJR1737" s="515"/>
      <c r="KJS1737" s="515"/>
      <c r="KJT1737" s="515"/>
      <c r="KJU1737" s="515"/>
      <c r="KJV1737" s="515"/>
      <c r="KJW1737" s="515"/>
      <c r="KJX1737" s="515"/>
      <c r="KJY1737" s="515"/>
      <c r="KJZ1737" s="515"/>
      <c r="KKA1737" s="515"/>
      <c r="KKB1737" s="515"/>
      <c r="KKC1737" s="515"/>
      <c r="KKD1737" s="515"/>
      <c r="KKE1737" s="515"/>
      <c r="KKF1737" s="515"/>
      <c r="KKG1737" s="515"/>
      <c r="KKH1737" s="515"/>
      <c r="KKI1737" s="515"/>
      <c r="KKJ1737" s="515"/>
      <c r="KKK1737" s="515"/>
      <c r="KKL1737" s="515"/>
      <c r="KKM1737" s="515"/>
      <c r="KKN1737" s="515"/>
      <c r="KKO1737" s="515"/>
      <c r="KKP1737" s="515"/>
      <c r="KKQ1737" s="515"/>
      <c r="KKR1737" s="515"/>
      <c r="KKS1737" s="515"/>
      <c r="KKT1737" s="515"/>
      <c r="KKU1737" s="515"/>
      <c r="KKV1737" s="515"/>
      <c r="KKW1737" s="515"/>
      <c r="KKX1737" s="515"/>
      <c r="KKY1737" s="515"/>
      <c r="KKZ1737" s="515"/>
      <c r="KLA1737" s="515"/>
      <c r="KLB1737" s="515"/>
      <c r="KLC1737" s="515"/>
      <c r="KLD1737" s="515"/>
      <c r="KLE1737" s="515"/>
      <c r="KLF1737" s="515"/>
      <c r="KLG1737" s="515"/>
      <c r="KLH1737" s="515"/>
      <c r="KLI1737" s="515"/>
      <c r="KLJ1737" s="515"/>
      <c r="KLK1737" s="515"/>
      <c r="KLL1737" s="515"/>
      <c r="KLM1737" s="515"/>
      <c r="KLN1737" s="515"/>
      <c r="KLO1737" s="515"/>
      <c r="KLP1737" s="515"/>
      <c r="KLQ1737" s="515"/>
      <c r="KLR1737" s="515"/>
      <c r="KLS1737" s="515"/>
      <c r="KLT1737" s="515"/>
      <c r="KLU1737" s="515"/>
      <c r="KLV1737" s="515"/>
      <c r="KLW1737" s="515"/>
      <c r="KLX1737" s="515"/>
      <c r="KLY1737" s="515"/>
      <c r="KLZ1737" s="515"/>
      <c r="KMA1737" s="515"/>
      <c r="KMB1737" s="515"/>
      <c r="KMC1737" s="515"/>
      <c r="KMD1737" s="515"/>
      <c r="KME1737" s="515"/>
      <c r="KMF1737" s="515"/>
      <c r="KMG1737" s="515"/>
      <c r="KMH1737" s="515"/>
      <c r="KMI1737" s="515"/>
      <c r="KMJ1737" s="515"/>
      <c r="KMK1737" s="515"/>
      <c r="KML1737" s="515"/>
      <c r="KMM1737" s="515"/>
      <c r="KMN1737" s="515"/>
      <c r="KMO1737" s="515"/>
      <c r="KMP1737" s="515"/>
      <c r="KMQ1737" s="515"/>
      <c r="KMR1737" s="515"/>
      <c r="KMS1737" s="515"/>
      <c r="KMT1737" s="515"/>
      <c r="KMU1737" s="515"/>
      <c r="KMV1737" s="515"/>
      <c r="KMW1737" s="515"/>
      <c r="KMX1737" s="515"/>
      <c r="KMY1737" s="515"/>
      <c r="KMZ1737" s="515"/>
      <c r="KNA1737" s="515"/>
      <c r="KNB1737" s="515"/>
      <c r="KNC1737" s="515"/>
      <c r="KND1737" s="515"/>
      <c r="KNE1737" s="515"/>
      <c r="KNF1737" s="515"/>
      <c r="KNG1737" s="515"/>
      <c r="KNH1737" s="515"/>
      <c r="KNI1737" s="515"/>
      <c r="KNJ1737" s="515"/>
      <c r="KNK1737" s="515"/>
      <c r="KNL1737" s="515"/>
      <c r="KNM1737" s="515"/>
      <c r="KNN1737" s="515"/>
      <c r="KNO1737" s="515"/>
      <c r="KNP1737" s="515"/>
      <c r="KNQ1737" s="515"/>
      <c r="KNR1737" s="515"/>
      <c r="KNS1737" s="515"/>
      <c r="KNT1737" s="515"/>
      <c r="KNU1737" s="515"/>
      <c r="KNV1737" s="515"/>
      <c r="KNW1737" s="515"/>
      <c r="KNX1737" s="515"/>
      <c r="KNY1737" s="515"/>
      <c r="KNZ1737" s="515"/>
      <c r="KOA1737" s="515"/>
      <c r="KOB1737" s="515"/>
      <c r="KOC1737" s="515"/>
      <c r="KOD1737" s="515"/>
      <c r="KOE1737" s="515"/>
      <c r="KOF1737" s="515"/>
      <c r="KOG1737" s="515"/>
      <c r="KOH1737" s="515"/>
      <c r="KOI1737" s="515"/>
      <c r="KOJ1737" s="515"/>
      <c r="KOK1737" s="515"/>
      <c r="KOL1737" s="515"/>
      <c r="KOM1737" s="515"/>
      <c r="KON1737" s="515"/>
      <c r="KOO1737" s="515"/>
      <c r="KOP1737" s="515"/>
      <c r="KOQ1737" s="515"/>
      <c r="KOR1737" s="515"/>
      <c r="KOS1737" s="515"/>
      <c r="KOT1737" s="515"/>
      <c r="KOU1737" s="515"/>
      <c r="KOV1737" s="515"/>
      <c r="KOW1737" s="515"/>
      <c r="KOX1737" s="515"/>
      <c r="KOY1737" s="515"/>
      <c r="KOZ1737" s="515"/>
      <c r="KPA1737" s="515"/>
      <c r="KPB1737" s="515"/>
      <c r="KPC1737" s="515"/>
      <c r="KPD1737" s="515"/>
      <c r="KPE1737" s="515"/>
      <c r="KPF1737" s="515"/>
      <c r="KPG1737" s="515"/>
      <c r="KPH1737" s="515"/>
      <c r="KPI1737" s="515"/>
      <c r="KPJ1737" s="515"/>
      <c r="KPK1737" s="515"/>
      <c r="KPL1737" s="515"/>
      <c r="KPM1737" s="515"/>
      <c r="KPN1737" s="515"/>
      <c r="KPO1737" s="515"/>
      <c r="KPP1737" s="515"/>
      <c r="KPQ1737" s="515"/>
      <c r="KPR1737" s="515"/>
      <c r="KPS1737" s="515"/>
      <c r="KPT1737" s="515"/>
      <c r="KPU1737" s="515"/>
      <c r="KPV1737" s="515"/>
      <c r="KPW1737" s="515"/>
      <c r="KPX1737" s="515"/>
      <c r="KPY1737" s="515"/>
      <c r="KPZ1737" s="515"/>
      <c r="KQA1737" s="515"/>
      <c r="KQB1737" s="515"/>
      <c r="KQC1737" s="515"/>
      <c r="KQD1737" s="515"/>
      <c r="KQE1737" s="515"/>
      <c r="KQF1737" s="515"/>
      <c r="KQG1737" s="515"/>
      <c r="KQH1737" s="515"/>
      <c r="KQI1737" s="515"/>
      <c r="KQJ1737" s="515"/>
      <c r="KQK1737" s="515"/>
      <c r="KQL1737" s="515"/>
      <c r="KQM1737" s="515"/>
      <c r="KQN1737" s="515"/>
      <c r="KQO1737" s="515"/>
      <c r="KQP1737" s="515"/>
      <c r="KQQ1737" s="515"/>
      <c r="KQR1737" s="515"/>
      <c r="KQS1737" s="515"/>
      <c r="KQT1737" s="515"/>
      <c r="KQU1737" s="515"/>
      <c r="KQV1737" s="515"/>
      <c r="KQW1737" s="515"/>
      <c r="KQX1737" s="515"/>
      <c r="KQY1737" s="515"/>
      <c r="KQZ1737" s="515"/>
      <c r="KRA1737" s="515"/>
      <c r="KRB1737" s="515"/>
      <c r="KRC1737" s="515"/>
      <c r="KRD1737" s="515"/>
      <c r="KRE1737" s="515"/>
      <c r="KRF1737" s="515"/>
      <c r="KRG1737" s="515"/>
      <c r="KRH1737" s="515"/>
      <c r="KRI1737" s="515"/>
      <c r="KRJ1737" s="515"/>
      <c r="KRK1737" s="515"/>
      <c r="KRL1737" s="515"/>
      <c r="KRM1737" s="515"/>
      <c r="KRN1737" s="515"/>
      <c r="KRO1737" s="515"/>
      <c r="KRP1737" s="515"/>
      <c r="KRQ1737" s="515"/>
      <c r="KRR1737" s="515"/>
      <c r="KRS1737" s="515"/>
      <c r="KRT1737" s="515"/>
      <c r="KRU1737" s="515"/>
      <c r="KRV1737" s="515"/>
      <c r="KRW1737" s="515"/>
      <c r="KRX1737" s="515"/>
      <c r="KRY1737" s="515"/>
      <c r="KRZ1737" s="515"/>
      <c r="KSA1737" s="515"/>
      <c r="KSB1737" s="515"/>
      <c r="KSC1737" s="515"/>
      <c r="KSD1737" s="515"/>
      <c r="KSE1737" s="515"/>
      <c r="KSF1737" s="515"/>
      <c r="KSG1737" s="515"/>
      <c r="KSH1737" s="515"/>
      <c r="KSI1737" s="515"/>
      <c r="KSJ1737" s="515"/>
      <c r="KSK1737" s="515"/>
      <c r="KSL1737" s="515"/>
      <c r="KSM1737" s="515"/>
      <c r="KSN1737" s="515"/>
      <c r="KSO1737" s="515"/>
      <c r="KSP1737" s="515"/>
      <c r="KSQ1737" s="515"/>
      <c r="KSR1737" s="515"/>
      <c r="KSS1737" s="515"/>
      <c r="KST1737" s="515"/>
      <c r="KSU1737" s="515"/>
      <c r="KSV1737" s="515"/>
      <c r="KSW1737" s="515"/>
      <c r="KSX1737" s="515"/>
      <c r="KSY1737" s="515"/>
      <c r="KSZ1737" s="515"/>
      <c r="KTA1737" s="515"/>
      <c r="KTB1737" s="515"/>
      <c r="KTC1737" s="515"/>
      <c r="KTD1737" s="515"/>
      <c r="KTE1737" s="515"/>
      <c r="KTF1737" s="515"/>
      <c r="KTG1737" s="515"/>
      <c r="KTH1737" s="515"/>
      <c r="KTI1737" s="515"/>
      <c r="KTJ1737" s="515"/>
      <c r="KTK1737" s="515"/>
      <c r="KTL1737" s="515"/>
      <c r="KTM1737" s="515"/>
      <c r="KTN1737" s="515"/>
      <c r="KTO1737" s="515"/>
      <c r="KTP1737" s="515"/>
      <c r="KTQ1737" s="515"/>
      <c r="KTR1737" s="515"/>
      <c r="KTS1737" s="515"/>
      <c r="KTT1737" s="515"/>
      <c r="KTU1737" s="515"/>
      <c r="KTV1737" s="515"/>
      <c r="KTW1737" s="515"/>
      <c r="KTX1737" s="515"/>
      <c r="KTY1737" s="515"/>
      <c r="KTZ1737" s="515"/>
      <c r="KUA1737" s="515"/>
      <c r="KUB1737" s="515"/>
      <c r="KUC1737" s="515"/>
      <c r="KUD1737" s="515"/>
      <c r="KUE1737" s="515"/>
      <c r="KUF1737" s="515"/>
      <c r="KUG1737" s="515"/>
      <c r="KUH1737" s="515"/>
      <c r="KUI1737" s="515"/>
      <c r="KUJ1737" s="515"/>
      <c r="KUK1737" s="515"/>
      <c r="KUL1737" s="515"/>
      <c r="KUM1737" s="515"/>
      <c r="KUN1737" s="515"/>
      <c r="KUO1737" s="515"/>
      <c r="KUP1737" s="515"/>
      <c r="KUQ1737" s="515"/>
      <c r="KUR1737" s="515"/>
      <c r="KUS1737" s="515"/>
      <c r="KUT1737" s="515"/>
      <c r="KUU1737" s="515"/>
      <c r="KUV1737" s="515"/>
      <c r="KUW1737" s="515"/>
      <c r="KUX1737" s="515"/>
      <c r="KUY1737" s="515"/>
      <c r="KUZ1737" s="515"/>
      <c r="KVA1737" s="515"/>
      <c r="KVB1737" s="515"/>
      <c r="KVC1737" s="515"/>
      <c r="KVD1737" s="515"/>
      <c r="KVE1737" s="515"/>
      <c r="KVF1737" s="515"/>
      <c r="KVG1737" s="515"/>
      <c r="KVH1737" s="515"/>
      <c r="KVI1737" s="515"/>
      <c r="KVJ1737" s="515"/>
      <c r="KVK1737" s="515"/>
      <c r="KVL1737" s="515"/>
      <c r="KVM1737" s="515"/>
      <c r="KVN1737" s="515"/>
      <c r="KVO1737" s="515"/>
      <c r="KVP1737" s="515"/>
      <c r="KVQ1737" s="515"/>
      <c r="KVR1737" s="515"/>
      <c r="KVS1737" s="515"/>
      <c r="KVT1737" s="515"/>
      <c r="KVU1737" s="515"/>
      <c r="KVV1737" s="515"/>
      <c r="KVW1737" s="515"/>
      <c r="KVX1737" s="515"/>
      <c r="KVY1737" s="515"/>
      <c r="KVZ1737" s="515"/>
      <c r="KWA1737" s="515"/>
      <c r="KWB1737" s="515"/>
      <c r="KWC1737" s="515"/>
      <c r="KWD1737" s="515"/>
      <c r="KWE1737" s="515"/>
      <c r="KWF1737" s="515"/>
      <c r="KWG1737" s="515"/>
      <c r="KWH1737" s="515"/>
      <c r="KWI1737" s="515"/>
      <c r="KWJ1737" s="515"/>
      <c r="KWK1737" s="515"/>
      <c r="KWL1737" s="515"/>
      <c r="KWM1737" s="515"/>
      <c r="KWN1737" s="515"/>
      <c r="KWO1737" s="515"/>
      <c r="KWP1737" s="515"/>
      <c r="KWQ1737" s="515"/>
      <c r="KWR1737" s="515"/>
      <c r="KWS1737" s="515"/>
      <c r="KWT1737" s="515"/>
      <c r="KWU1737" s="515"/>
      <c r="KWV1737" s="515"/>
      <c r="KWW1737" s="515"/>
      <c r="KWX1737" s="515"/>
      <c r="KWY1737" s="515"/>
      <c r="KWZ1737" s="515"/>
      <c r="KXA1737" s="515"/>
      <c r="KXB1737" s="515"/>
      <c r="KXC1737" s="515"/>
      <c r="KXD1737" s="515"/>
      <c r="KXE1737" s="515"/>
      <c r="KXF1737" s="515"/>
      <c r="KXG1737" s="515"/>
      <c r="KXH1737" s="515"/>
      <c r="KXI1737" s="515"/>
      <c r="KXJ1737" s="515"/>
      <c r="KXK1737" s="515"/>
      <c r="KXL1737" s="515"/>
      <c r="KXM1737" s="515"/>
      <c r="KXN1737" s="515"/>
      <c r="KXO1737" s="515"/>
      <c r="KXP1737" s="515"/>
      <c r="KXQ1737" s="515"/>
      <c r="KXR1737" s="515"/>
      <c r="KXS1737" s="515"/>
      <c r="KXT1737" s="515"/>
      <c r="KXU1737" s="515"/>
      <c r="KXV1737" s="515"/>
      <c r="KXW1737" s="515"/>
      <c r="KXX1737" s="515"/>
      <c r="KXY1737" s="515"/>
      <c r="KXZ1737" s="515"/>
      <c r="KYA1737" s="515"/>
      <c r="KYB1737" s="515"/>
      <c r="KYC1737" s="515"/>
      <c r="KYD1737" s="515"/>
      <c r="KYE1737" s="515"/>
      <c r="KYF1737" s="515"/>
      <c r="KYG1737" s="515"/>
      <c r="KYH1737" s="515"/>
      <c r="KYI1737" s="515"/>
      <c r="KYJ1737" s="515"/>
      <c r="KYK1737" s="515"/>
      <c r="KYL1737" s="515"/>
      <c r="KYM1737" s="515"/>
      <c r="KYN1737" s="515"/>
      <c r="KYO1737" s="515"/>
      <c r="KYP1737" s="515"/>
      <c r="KYQ1737" s="515"/>
      <c r="KYR1737" s="515"/>
      <c r="KYS1737" s="515"/>
      <c r="KYT1737" s="515"/>
      <c r="KYU1737" s="515"/>
      <c r="KYV1737" s="515"/>
      <c r="KYW1737" s="515"/>
      <c r="KYX1737" s="515"/>
      <c r="KYY1737" s="515"/>
      <c r="KYZ1737" s="515"/>
      <c r="KZA1737" s="515"/>
      <c r="KZB1737" s="515"/>
      <c r="KZC1737" s="515"/>
      <c r="KZD1737" s="515"/>
      <c r="KZE1737" s="515"/>
      <c r="KZF1737" s="515"/>
      <c r="KZG1737" s="515"/>
      <c r="KZH1737" s="515"/>
      <c r="KZI1737" s="515"/>
      <c r="KZJ1737" s="515"/>
      <c r="KZK1737" s="515"/>
      <c r="KZL1737" s="515"/>
      <c r="KZM1737" s="515"/>
      <c r="KZN1737" s="515"/>
      <c r="KZO1737" s="515"/>
      <c r="KZP1737" s="515"/>
      <c r="KZQ1737" s="515"/>
      <c r="KZR1737" s="515"/>
      <c r="KZS1737" s="515"/>
      <c r="KZT1737" s="515"/>
      <c r="KZU1737" s="515"/>
      <c r="KZV1737" s="515"/>
      <c r="KZW1737" s="515"/>
      <c r="KZX1737" s="515"/>
      <c r="KZY1737" s="515"/>
      <c r="KZZ1737" s="515"/>
      <c r="LAA1737" s="515"/>
      <c r="LAB1737" s="515"/>
      <c r="LAC1737" s="515"/>
      <c r="LAD1737" s="515"/>
      <c r="LAE1737" s="515"/>
      <c r="LAF1737" s="515"/>
      <c r="LAG1737" s="515"/>
      <c r="LAH1737" s="515"/>
      <c r="LAI1737" s="515"/>
      <c r="LAJ1737" s="515"/>
      <c r="LAK1737" s="515"/>
      <c r="LAL1737" s="515"/>
      <c r="LAM1737" s="515"/>
      <c r="LAN1737" s="515"/>
      <c r="LAO1737" s="515"/>
      <c r="LAP1737" s="515"/>
      <c r="LAQ1737" s="515"/>
      <c r="LAR1737" s="515"/>
      <c r="LAS1737" s="515"/>
      <c r="LAT1737" s="515"/>
      <c r="LAU1737" s="515"/>
      <c r="LAV1737" s="515"/>
      <c r="LAW1737" s="515"/>
      <c r="LAX1737" s="515"/>
      <c r="LAY1737" s="515"/>
      <c r="LAZ1737" s="515"/>
      <c r="LBA1737" s="515"/>
      <c r="LBB1737" s="515"/>
      <c r="LBC1737" s="515"/>
      <c r="LBD1737" s="515"/>
      <c r="LBE1737" s="515"/>
      <c r="LBF1737" s="515"/>
      <c r="LBG1737" s="515"/>
      <c r="LBH1737" s="515"/>
      <c r="LBI1737" s="515"/>
      <c r="LBJ1737" s="515"/>
      <c r="LBK1737" s="515"/>
      <c r="LBL1737" s="515"/>
      <c r="LBM1737" s="515"/>
      <c r="LBN1737" s="515"/>
      <c r="LBO1737" s="515"/>
      <c r="LBP1737" s="515"/>
      <c r="LBQ1737" s="515"/>
      <c r="LBR1737" s="515"/>
      <c r="LBS1737" s="515"/>
      <c r="LBT1737" s="515"/>
      <c r="LBU1737" s="515"/>
      <c r="LBV1737" s="515"/>
      <c r="LBW1737" s="515"/>
      <c r="LBX1737" s="515"/>
      <c r="LBY1737" s="515"/>
      <c r="LBZ1737" s="515"/>
      <c r="LCA1737" s="515"/>
      <c r="LCB1737" s="515"/>
      <c r="LCC1737" s="515"/>
      <c r="LCD1737" s="515"/>
      <c r="LCE1737" s="515"/>
      <c r="LCF1737" s="515"/>
      <c r="LCG1737" s="515"/>
      <c r="LCH1737" s="515"/>
      <c r="LCI1737" s="515"/>
      <c r="LCJ1737" s="515"/>
      <c r="LCK1737" s="515"/>
      <c r="LCL1737" s="515"/>
      <c r="LCM1737" s="515"/>
      <c r="LCN1737" s="515"/>
      <c r="LCO1737" s="515"/>
      <c r="LCP1737" s="515"/>
      <c r="LCQ1737" s="515"/>
      <c r="LCR1737" s="515"/>
      <c r="LCS1737" s="515"/>
      <c r="LCT1737" s="515"/>
      <c r="LCU1737" s="515"/>
      <c r="LCV1737" s="515"/>
      <c r="LCW1737" s="515"/>
      <c r="LCX1737" s="515"/>
      <c r="LCY1737" s="515"/>
      <c r="LCZ1737" s="515"/>
      <c r="LDA1737" s="515"/>
      <c r="LDB1737" s="515"/>
      <c r="LDC1737" s="515"/>
      <c r="LDD1737" s="515"/>
      <c r="LDE1737" s="515"/>
      <c r="LDF1737" s="515"/>
      <c r="LDG1737" s="515"/>
      <c r="LDH1737" s="515"/>
      <c r="LDI1737" s="515"/>
      <c r="LDJ1737" s="515"/>
      <c r="LDK1737" s="515"/>
      <c r="LDL1737" s="515"/>
      <c r="LDM1737" s="515"/>
      <c r="LDN1737" s="515"/>
      <c r="LDO1737" s="515"/>
      <c r="LDP1737" s="515"/>
      <c r="LDQ1737" s="515"/>
      <c r="LDR1737" s="515"/>
      <c r="LDS1737" s="515"/>
      <c r="LDT1737" s="515"/>
      <c r="LDU1737" s="515"/>
      <c r="LDV1737" s="515"/>
      <c r="LDW1737" s="515"/>
      <c r="LDX1737" s="515"/>
      <c r="LDY1737" s="515"/>
      <c r="LDZ1737" s="515"/>
      <c r="LEA1737" s="515"/>
      <c r="LEB1737" s="515"/>
      <c r="LEC1737" s="515"/>
      <c r="LED1737" s="515"/>
      <c r="LEE1737" s="515"/>
      <c r="LEF1737" s="515"/>
      <c r="LEG1737" s="515"/>
      <c r="LEH1737" s="515"/>
      <c r="LEI1737" s="515"/>
      <c r="LEJ1737" s="515"/>
      <c r="LEK1737" s="515"/>
      <c r="LEL1737" s="515"/>
      <c r="LEM1737" s="515"/>
      <c r="LEN1737" s="515"/>
      <c r="LEO1737" s="515"/>
      <c r="LEP1737" s="515"/>
      <c r="LEQ1737" s="515"/>
      <c r="LER1737" s="515"/>
      <c r="LES1737" s="515"/>
      <c r="LET1737" s="515"/>
      <c r="LEU1737" s="515"/>
      <c r="LEV1737" s="515"/>
      <c r="LEW1737" s="515"/>
      <c r="LEX1737" s="515"/>
      <c r="LEY1737" s="515"/>
      <c r="LEZ1737" s="515"/>
      <c r="LFA1737" s="515"/>
      <c r="LFB1737" s="515"/>
      <c r="LFC1737" s="515"/>
      <c r="LFD1737" s="515"/>
      <c r="LFE1737" s="515"/>
      <c r="LFF1737" s="515"/>
      <c r="LFG1737" s="515"/>
      <c r="LFH1737" s="515"/>
      <c r="LFI1737" s="515"/>
      <c r="LFJ1737" s="515"/>
      <c r="LFK1737" s="515"/>
      <c r="LFL1737" s="515"/>
      <c r="LFM1737" s="515"/>
      <c r="LFN1737" s="515"/>
      <c r="LFO1737" s="515"/>
      <c r="LFP1737" s="515"/>
      <c r="LFQ1737" s="515"/>
      <c r="LFR1737" s="515"/>
      <c r="LFS1737" s="515"/>
      <c r="LFT1737" s="515"/>
      <c r="LFU1737" s="515"/>
      <c r="LFV1737" s="515"/>
      <c r="LFW1737" s="515"/>
      <c r="LFX1737" s="515"/>
      <c r="LFY1737" s="515"/>
      <c r="LFZ1737" s="515"/>
      <c r="LGA1737" s="515"/>
      <c r="LGB1737" s="515"/>
      <c r="LGC1737" s="515"/>
      <c r="LGD1737" s="515"/>
      <c r="LGE1737" s="515"/>
      <c r="LGF1737" s="515"/>
      <c r="LGG1737" s="515"/>
      <c r="LGH1737" s="515"/>
      <c r="LGI1737" s="515"/>
      <c r="LGJ1737" s="515"/>
      <c r="LGK1737" s="515"/>
      <c r="LGL1737" s="515"/>
      <c r="LGM1737" s="515"/>
      <c r="LGN1737" s="515"/>
      <c r="LGO1737" s="515"/>
      <c r="LGP1737" s="515"/>
      <c r="LGQ1737" s="515"/>
      <c r="LGR1737" s="515"/>
      <c r="LGS1737" s="515"/>
      <c r="LGT1737" s="515"/>
      <c r="LGU1737" s="515"/>
      <c r="LGV1737" s="515"/>
      <c r="LGW1737" s="515"/>
      <c r="LGX1737" s="515"/>
      <c r="LGY1737" s="515"/>
      <c r="LGZ1737" s="515"/>
      <c r="LHA1737" s="515"/>
      <c r="LHB1737" s="515"/>
      <c r="LHC1737" s="515"/>
      <c r="LHD1737" s="515"/>
      <c r="LHE1737" s="515"/>
      <c r="LHF1737" s="515"/>
      <c r="LHG1737" s="515"/>
      <c r="LHH1737" s="515"/>
      <c r="LHI1737" s="515"/>
      <c r="LHJ1737" s="515"/>
      <c r="LHK1737" s="515"/>
      <c r="LHL1737" s="515"/>
      <c r="LHM1737" s="515"/>
      <c r="LHN1737" s="515"/>
      <c r="LHO1737" s="515"/>
      <c r="LHP1737" s="515"/>
      <c r="LHQ1737" s="515"/>
      <c r="LHR1737" s="515"/>
      <c r="LHS1737" s="515"/>
      <c r="LHT1737" s="515"/>
      <c r="LHU1737" s="515"/>
      <c r="LHV1737" s="515"/>
      <c r="LHW1737" s="515"/>
      <c r="LHX1737" s="515"/>
      <c r="LHY1737" s="515"/>
      <c r="LHZ1737" s="515"/>
      <c r="LIA1737" s="515"/>
      <c r="LIB1737" s="515"/>
      <c r="LIC1737" s="515"/>
      <c r="LID1737" s="515"/>
      <c r="LIE1737" s="515"/>
      <c r="LIF1737" s="515"/>
      <c r="LIG1737" s="515"/>
      <c r="LIH1737" s="515"/>
      <c r="LII1737" s="515"/>
      <c r="LIJ1737" s="515"/>
      <c r="LIK1737" s="515"/>
      <c r="LIL1737" s="515"/>
      <c r="LIM1737" s="515"/>
      <c r="LIN1737" s="515"/>
      <c r="LIO1737" s="515"/>
      <c r="LIP1737" s="515"/>
      <c r="LIQ1737" s="515"/>
      <c r="LIR1737" s="515"/>
      <c r="LIS1737" s="515"/>
      <c r="LIT1737" s="515"/>
      <c r="LIU1737" s="515"/>
      <c r="LIV1737" s="515"/>
      <c r="LIW1737" s="515"/>
      <c r="LIX1737" s="515"/>
      <c r="LIY1737" s="515"/>
      <c r="LIZ1737" s="515"/>
      <c r="LJA1737" s="515"/>
      <c r="LJB1737" s="515"/>
      <c r="LJC1737" s="515"/>
      <c r="LJD1737" s="515"/>
      <c r="LJE1737" s="515"/>
      <c r="LJF1737" s="515"/>
      <c r="LJG1737" s="515"/>
      <c r="LJH1737" s="515"/>
      <c r="LJI1737" s="515"/>
      <c r="LJJ1737" s="515"/>
      <c r="LJK1737" s="515"/>
      <c r="LJL1737" s="515"/>
      <c r="LJM1737" s="515"/>
      <c r="LJN1737" s="515"/>
      <c r="LJO1737" s="515"/>
      <c r="LJP1737" s="515"/>
      <c r="LJQ1737" s="515"/>
      <c r="LJR1737" s="515"/>
      <c r="LJS1737" s="515"/>
      <c r="LJT1737" s="515"/>
      <c r="LJU1737" s="515"/>
      <c r="LJV1737" s="515"/>
      <c r="LJW1737" s="515"/>
      <c r="LJX1737" s="515"/>
      <c r="LJY1737" s="515"/>
      <c r="LJZ1737" s="515"/>
      <c r="LKA1737" s="515"/>
      <c r="LKB1737" s="515"/>
      <c r="LKC1737" s="515"/>
      <c r="LKD1737" s="515"/>
      <c r="LKE1737" s="515"/>
      <c r="LKF1737" s="515"/>
      <c r="LKG1737" s="515"/>
      <c r="LKH1737" s="515"/>
      <c r="LKI1737" s="515"/>
      <c r="LKJ1737" s="515"/>
      <c r="LKK1737" s="515"/>
      <c r="LKL1737" s="515"/>
      <c r="LKM1737" s="515"/>
      <c r="LKN1737" s="515"/>
      <c r="LKO1737" s="515"/>
      <c r="LKP1737" s="515"/>
      <c r="LKQ1737" s="515"/>
      <c r="LKR1737" s="515"/>
      <c r="LKS1737" s="515"/>
      <c r="LKT1737" s="515"/>
      <c r="LKU1737" s="515"/>
      <c r="LKV1737" s="515"/>
      <c r="LKW1737" s="515"/>
      <c r="LKX1737" s="515"/>
      <c r="LKY1737" s="515"/>
      <c r="LKZ1737" s="515"/>
      <c r="LLA1737" s="515"/>
      <c r="LLB1737" s="515"/>
      <c r="LLC1737" s="515"/>
      <c r="LLD1737" s="515"/>
      <c r="LLE1737" s="515"/>
      <c r="LLF1737" s="515"/>
      <c r="LLG1737" s="515"/>
      <c r="LLH1737" s="515"/>
      <c r="LLI1737" s="515"/>
      <c r="LLJ1737" s="515"/>
      <c r="LLK1737" s="515"/>
      <c r="LLL1737" s="515"/>
      <c r="LLM1737" s="515"/>
      <c r="LLN1737" s="515"/>
      <c r="LLO1737" s="515"/>
      <c r="LLP1737" s="515"/>
      <c r="LLQ1737" s="515"/>
      <c r="LLR1737" s="515"/>
      <c r="LLS1737" s="515"/>
      <c r="LLT1737" s="515"/>
      <c r="LLU1737" s="515"/>
      <c r="LLV1737" s="515"/>
      <c r="LLW1737" s="515"/>
      <c r="LLX1737" s="515"/>
      <c r="LLY1737" s="515"/>
      <c r="LLZ1737" s="515"/>
      <c r="LMA1737" s="515"/>
      <c r="LMB1737" s="515"/>
      <c r="LMC1737" s="515"/>
      <c r="LMD1737" s="515"/>
      <c r="LME1737" s="515"/>
      <c r="LMF1737" s="515"/>
      <c r="LMG1737" s="515"/>
      <c r="LMH1737" s="515"/>
      <c r="LMI1737" s="515"/>
      <c r="LMJ1737" s="515"/>
      <c r="LMK1737" s="515"/>
      <c r="LML1737" s="515"/>
      <c r="LMM1737" s="515"/>
      <c r="LMN1737" s="515"/>
      <c r="LMO1737" s="515"/>
      <c r="LMP1737" s="515"/>
      <c r="LMQ1737" s="515"/>
      <c r="LMR1737" s="515"/>
      <c r="LMS1737" s="515"/>
      <c r="LMT1737" s="515"/>
      <c r="LMU1737" s="515"/>
      <c r="LMV1737" s="515"/>
      <c r="LMW1737" s="515"/>
      <c r="LMX1737" s="515"/>
      <c r="LMY1737" s="515"/>
      <c r="LMZ1737" s="515"/>
      <c r="LNA1737" s="515"/>
      <c r="LNB1737" s="515"/>
      <c r="LNC1737" s="515"/>
      <c r="LND1737" s="515"/>
      <c r="LNE1737" s="515"/>
      <c r="LNF1737" s="515"/>
      <c r="LNG1737" s="515"/>
      <c r="LNH1737" s="515"/>
      <c r="LNI1737" s="515"/>
      <c r="LNJ1737" s="515"/>
      <c r="LNK1737" s="515"/>
      <c r="LNL1737" s="515"/>
      <c r="LNM1737" s="515"/>
      <c r="LNN1737" s="515"/>
      <c r="LNO1737" s="515"/>
      <c r="LNP1737" s="515"/>
      <c r="LNQ1737" s="515"/>
      <c r="LNR1737" s="515"/>
      <c r="LNS1737" s="515"/>
      <c r="LNT1737" s="515"/>
      <c r="LNU1737" s="515"/>
      <c r="LNV1737" s="515"/>
      <c r="LNW1737" s="515"/>
      <c r="LNX1737" s="515"/>
      <c r="LNY1737" s="515"/>
      <c r="LNZ1737" s="515"/>
      <c r="LOA1737" s="515"/>
      <c r="LOB1737" s="515"/>
      <c r="LOC1737" s="515"/>
      <c r="LOD1737" s="515"/>
      <c r="LOE1737" s="515"/>
      <c r="LOF1737" s="515"/>
      <c r="LOG1737" s="515"/>
      <c r="LOH1737" s="515"/>
      <c r="LOI1737" s="515"/>
      <c r="LOJ1737" s="515"/>
      <c r="LOK1737" s="515"/>
      <c r="LOL1737" s="515"/>
      <c r="LOM1737" s="515"/>
      <c r="LON1737" s="515"/>
      <c r="LOO1737" s="515"/>
      <c r="LOP1737" s="515"/>
      <c r="LOQ1737" s="515"/>
      <c r="LOR1737" s="515"/>
      <c r="LOS1737" s="515"/>
      <c r="LOT1737" s="515"/>
      <c r="LOU1737" s="515"/>
      <c r="LOV1737" s="515"/>
      <c r="LOW1737" s="515"/>
      <c r="LOX1737" s="515"/>
      <c r="LOY1737" s="515"/>
      <c r="LOZ1737" s="515"/>
      <c r="LPA1737" s="515"/>
      <c r="LPB1737" s="515"/>
      <c r="LPC1737" s="515"/>
      <c r="LPD1737" s="515"/>
      <c r="LPE1737" s="515"/>
      <c r="LPF1737" s="515"/>
      <c r="LPG1737" s="515"/>
      <c r="LPH1737" s="515"/>
      <c r="LPI1737" s="515"/>
      <c r="LPJ1737" s="515"/>
      <c r="LPK1737" s="515"/>
      <c r="LPL1737" s="515"/>
      <c r="LPM1737" s="515"/>
      <c r="LPN1737" s="515"/>
      <c r="LPO1737" s="515"/>
      <c r="LPP1737" s="515"/>
      <c r="LPQ1737" s="515"/>
      <c r="LPR1737" s="515"/>
      <c r="LPS1737" s="515"/>
      <c r="LPT1737" s="515"/>
      <c r="LPU1737" s="515"/>
      <c r="LPV1737" s="515"/>
      <c r="LPW1737" s="515"/>
      <c r="LPX1737" s="515"/>
      <c r="LPY1737" s="515"/>
      <c r="LPZ1737" s="515"/>
      <c r="LQA1737" s="515"/>
      <c r="LQB1737" s="515"/>
      <c r="LQC1737" s="515"/>
      <c r="LQD1737" s="515"/>
      <c r="LQE1737" s="515"/>
      <c r="LQF1737" s="515"/>
      <c r="LQG1737" s="515"/>
      <c r="LQH1737" s="515"/>
      <c r="LQI1737" s="515"/>
      <c r="LQJ1737" s="515"/>
      <c r="LQK1737" s="515"/>
      <c r="LQL1737" s="515"/>
      <c r="LQM1737" s="515"/>
      <c r="LQN1737" s="515"/>
      <c r="LQO1737" s="515"/>
      <c r="LQP1737" s="515"/>
      <c r="LQQ1737" s="515"/>
      <c r="LQR1737" s="515"/>
      <c r="LQS1737" s="515"/>
      <c r="LQT1737" s="515"/>
      <c r="LQU1737" s="515"/>
      <c r="LQV1737" s="515"/>
      <c r="LQW1737" s="515"/>
      <c r="LQX1737" s="515"/>
      <c r="LQY1737" s="515"/>
      <c r="LQZ1737" s="515"/>
      <c r="LRA1737" s="515"/>
      <c r="LRB1737" s="515"/>
      <c r="LRC1737" s="515"/>
      <c r="LRD1737" s="515"/>
      <c r="LRE1737" s="515"/>
      <c r="LRF1737" s="515"/>
      <c r="LRG1737" s="515"/>
      <c r="LRH1737" s="515"/>
      <c r="LRI1737" s="515"/>
      <c r="LRJ1737" s="515"/>
      <c r="LRK1737" s="515"/>
      <c r="LRL1737" s="515"/>
      <c r="LRM1737" s="515"/>
      <c r="LRN1737" s="515"/>
      <c r="LRO1737" s="515"/>
      <c r="LRP1737" s="515"/>
      <c r="LRQ1737" s="515"/>
      <c r="LRR1737" s="515"/>
      <c r="LRS1737" s="515"/>
      <c r="LRT1737" s="515"/>
      <c r="LRU1737" s="515"/>
      <c r="LRV1737" s="515"/>
      <c r="LRW1737" s="515"/>
      <c r="LRX1737" s="515"/>
      <c r="LRY1737" s="515"/>
      <c r="LRZ1737" s="515"/>
      <c r="LSA1737" s="515"/>
      <c r="LSB1737" s="515"/>
      <c r="LSC1737" s="515"/>
      <c r="LSD1737" s="515"/>
      <c r="LSE1737" s="515"/>
      <c r="LSF1737" s="515"/>
      <c r="LSG1737" s="515"/>
      <c r="LSH1737" s="515"/>
      <c r="LSI1737" s="515"/>
      <c r="LSJ1737" s="515"/>
      <c r="LSK1737" s="515"/>
      <c r="LSL1737" s="515"/>
      <c r="LSM1737" s="515"/>
      <c r="LSN1737" s="515"/>
      <c r="LSO1737" s="515"/>
      <c r="LSP1737" s="515"/>
      <c r="LSQ1737" s="515"/>
      <c r="LSR1737" s="515"/>
      <c r="LSS1737" s="515"/>
      <c r="LST1737" s="515"/>
      <c r="LSU1737" s="515"/>
      <c r="LSV1737" s="515"/>
      <c r="LSW1737" s="515"/>
      <c r="LSX1737" s="515"/>
      <c r="LSY1737" s="515"/>
      <c r="LSZ1737" s="515"/>
      <c r="LTA1737" s="515"/>
      <c r="LTB1737" s="515"/>
      <c r="LTC1737" s="515"/>
      <c r="LTD1737" s="515"/>
      <c r="LTE1737" s="515"/>
      <c r="LTF1737" s="515"/>
      <c r="LTG1737" s="515"/>
      <c r="LTH1737" s="515"/>
      <c r="LTI1737" s="515"/>
      <c r="LTJ1737" s="515"/>
      <c r="LTK1737" s="515"/>
      <c r="LTL1737" s="515"/>
      <c r="LTM1737" s="515"/>
      <c r="LTN1737" s="515"/>
      <c r="LTO1737" s="515"/>
      <c r="LTP1737" s="515"/>
      <c r="LTQ1737" s="515"/>
      <c r="LTR1737" s="515"/>
      <c r="LTS1737" s="515"/>
      <c r="LTT1737" s="515"/>
      <c r="LTU1737" s="515"/>
      <c r="LTV1737" s="515"/>
      <c r="LTW1737" s="515"/>
      <c r="LTX1737" s="515"/>
      <c r="LTY1737" s="515"/>
      <c r="LTZ1737" s="515"/>
      <c r="LUA1737" s="515"/>
      <c r="LUB1737" s="515"/>
      <c r="LUC1737" s="515"/>
      <c r="LUD1737" s="515"/>
      <c r="LUE1737" s="515"/>
      <c r="LUF1737" s="515"/>
      <c r="LUG1737" s="515"/>
      <c r="LUH1737" s="515"/>
      <c r="LUI1737" s="515"/>
      <c r="LUJ1737" s="515"/>
      <c r="LUK1737" s="515"/>
      <c r="LUL1737" s="515"/>
      <c r="LUM1737" s="515"/>
      <c r="LUN1737" s="515"/>
      <c r="LUO1737" s="515"/>
      <c r="LUP1737" s="515"/>
      <c r="LUQ1737" s="515"/>
      <c r="LUR1737" s="515"/>
      <c r="LUS1737" s="515"/>
      <c r="LUT1737" s="515"/>
      <c r="LUU1737" s="515"/>
      <c r="LUV1737" s="515"/>
      <c r="LUW1737" s="515"/>
      <c r="LUX1737" s="515"/>
      <c r="LUY1737" s="515"/>
      <c r="LUZ1737" s="515"/>
      <c r="LVA1737" s="515"/>
      <c r="LVB1737" s="515"/>
      <c r="LVC1737" s="515"/>
      <c r="LVD1737" s="515"/>
      <c r="LVE1737" s="515"/>
      <c r="LVF1737" s="515"/>
      <c r="LVG1737" s="515"/>
      <c r="LVH1737" s="515"/>
      <c r="LVI1737" s="515"/>
      <c r="LVJ1737" s="515"/>
      <c r="LVK1737" s="515"/>
      <c r="LVL1737" s="515"/>
      <c r="LVM1737" s="515"/>
      <c r="LVN1737" s="515"/>
      <c r="LVO1737" s="515"/>
      <c r="LVP1737" s="515"/>
      <c r="LVQ1737" s="515"/>
      <c r="LVR1737" s="515"/>
      <c r="LVS1737" s="515"/>
      <c r="LVT1737" s="515"/>
      <c r="LVU1737" s="515"/>
      <c r="LVV1737" s="515"/>
      <c r="LVW1737" s="515"/>
      <c r="LVX1737" s="515"/>
      <c r="LVY1737" s="515"/>
      <c r="LVZ1737" s="515"/>
      <c r="LWA1737" s="515"/>
      <c r="LWB1737" s="515"/>
      <c r="LWC1737" s="515"/>
      <c r="LWD1737" s="515"/>
      <c r="LWE1737" s="515"/>
      <c r="LWF1737" s="515"/>
      <c r="LWG1737" s="515"/>
      <c r="LWH1737" s="515"/>
      <c r="LWI1737" s="515"/>
      <c r="LWJ1737" s="515"/>
      <c r="LWK1737" s="515"/>
      <c r="LWL1737" s="515"/>
      <c r="LWM1737" s="515"/>
      <c r="LWN1737" s="515"/>
      <c r="LWO1737" s="515"/>
      <c r="LWP1737" s="515"/>
      <c r="LWQ1737" s="515"/>
      <c r="LWR1737" s="515"/>
      <c r="LWS1737" s="515"/>
      <c r="LWT1737" s="515"/>
      <c r="LWU1737" s="515"/>
      <c r="LWV1737" s="515"/>
      <c r="LWW1737" s="515"/>
      <c r="LWX1737" s="515"/>
      <c r="LWY1737" s="515"/>
      <c r="LWZ1737" s="515"/>
      <c r="LXA1737" s="515"/>
      <c r="LXB1737" s="515"/>
      <c r="LXC1737" s="515"/>
      <c r="LXD1737" s="515"/>
      <c r="LXE1737" s="515"/>
      <c r="LXF1737" s="515"/>
      <c r="LXG1737" s="515"/>
      <c r="LXH1737" s="515"/>
      <c r="LXI1737" s="515"/>
      <c r="LXJ1737" s="515"/>
      <c r="LXK1737" s="515"/>
      <c r="LXL1737" s="515"/>
      <c r="LXM1737" s="515"/>
      <c r="LXN1737" s="515"/>
      <c r="LXO1737" s="515"/>
      <c r="LXP1737" s="515"/>
      <c r="LXQ1737" s="515"/>
      <c r="LXR1737" s="515"/>
      <c r="LXS1737" s="515"/>
      <c r="LXT1737" s="515"/>
      <c r="LXU1737" s="515"/>
      <c r="LXV1737" s="515"/>
      <c r="LXW1737" s="515"/>
      <c r="LXX1737" s="515"/>
      <c r="LXY1737" s="515"/>
      <c r="LXZ1737" s="515"/>
      <c r="LYA1737" s="515"/>
      <c r="LYB1737" s="515"/>
      <c r="LYC1737" s="515"/>
      <c r="LYD1737" s="515"/>
      <c r="LYE1737" s="515"/>
      <c r="LYF1737" s="515"/>
      <c r="LYG1737" s="515"/>
      <c r="LYH1737" s="515"/>
      <c r="LYI1737" s="515"/>
      <c r="LYJ1737" s="515"/>
      <c r="LYK1737" s="515"/>
      <c r="LYL1737" s="515"/>
      <c r="LYM1737" s="515"/>
      <c r="LYN1737" s="515"/>
      <c r="LYO1737" s="515"/>
      <c r="LYP1737" s="515"/>
      <c r="LYQ1737" s="515"/>
      <c r="LYR1737" s="515"/>
      <c r="LYS1737" s="515"/>
      <c r="LYT1737" s="515"/>
      <c r="LYU1737" s="515"/>
      <c r="LYV1737" s="515"/>
      <c r="LYW1737" s="515"/>
      <c r="LYX1737" s="515"/>
      <c r="LYY1737" s="515"/>
      <c r="LYZ1737" s="515"/>
      <c r="LZA1737" s="515"/>
      <c r="LZB1737" s="515"/>
      <c r="LZC1737" s="515"/>
      <c r="LZD1737" s="515"/>
      <c r="LZE1737" s="515"/>
      <c r="LZF1737" s="515"/>
      <c r="LZG1737" s="515"/>
      <c r="LZH1737" s="515"/>
      <c r="LZI1737" s="515"/>
      <c r="LZJ1737" s="515"/>
      <c r="LZK1737" s="515"/>
      <c r="LZL1737" s="515"/>
      <c r="LZM1737" s="515"/>
      <c r="LZN1737" s="515"/>
      <c r="LZO1737" s="515"/>
      <c r="LZP1737" s="515"/>
      <c r="LZQ1737" s="515"/>
      <c r="LZR1737" s="515"/>
      <c r="LZS1737" s="515"/>
      <c r="LZT1737" s="515"/>
      <c r="LZU1737" s="515"/>
      <c r="LZV1737" s="515"/>
      <c r="LZW1737" s="515"/>
      <c r="LZX1737" s="515"/>
      <c r="LZY1737" s="515"/>
      <c r="LZZ1737" s="515"/>
      <c r="MAA1737" s="515"/>
      <c r="MAB1737" s="515"/>
      <c r="MAC1737" s="515"/>
      <c r="MAD1737" s="515"/>
      <c r="MAE1737" s="515"/>
      <c r="MAF1737" s="515"/>
      <c r="MAG1737" s="515"/>
      <c r="MAH1737" s="515"/>
      <c r="MAI1737" s="515"/>
      <c r="MAJ1737" s="515"/>
      <c r="MAK1737" s="515"/>
      <c r="MAL1737" s="515"/>
      <c r="MAM1737" s="515"/>
      <c r="MAN1737" s="515"/>
      <c r="MAO1737" s="515"/>
      <c r="MAP1737" s="515"/>
      <c r="MAQ1737" s="515"/>
      <c r="MAR1737" s="515"/>
      <c r="MAS1737" s="515"/>
      <c r="MAT1737" s="515"/>
      <c r="MAU1737" s="515"/>
      <c r="MAV1737" s="515"/>
      <c r="MAW1737" s="515"/>
      <c r="MAX1737" s="515"/>
      <c r="MAY1737" s="515"/>
      <c r="MAZ1737" s="515"/>
      <c r="MBA1737" s="515"/>
      <c r="MBB1737" s="515"/>
      <c r="MBC1737" s="515"/>
      <c r="MBD1737" s="515"/>
      <c r="MBE1737" s="515"/>
      <c r="MBF1737" s="515"/>
      <c r="MBG1737" s="515"/>
      <c r="MBH1737" s="515"/>
      <c r="MBI1737" s="515"/>
      <c r="MBJ1737" s="515"/>
      <c r="MBK1737" s="515"/>
      <c r="MBL1737" s="515"/>
      <c r="MBM1737" s="515"/>
      <c r="MBN1737" s="515"/>
      <c r="MBO1737" s="515"/>
      <c r="MBP1737" s="515"/>
      <c r="MBQ1737" s="515"/>
      <c r="MBR1737" s="515"/>
      <c r="MBS1737" s="515"/>
      <c r="MBT1737" s="515"/>
      <c r="MBU1737" s="515"/>
      <c r="MBV1737" s="515"/>
      <c r="MBW1737" s="515"/>
      <c r="MBX1737" s="515"/>
      <c r="MBY1737" s="515"/>
      <c r="MBZ1737" s="515"/>
      <c r="MCA1737" s="515"/>
      <c r="MCB1737" s="515"/>
      <c r="MCC1737" s="515"/>
      <c r="MCD1737" s="515"/>
      <c r="MCE1737" s="515"/>
      <c r="MCF1737" s="515"/>
      <c r="MCG1737" s="515"/>
      <c r="MCH1737" s="515"/>
      <c r="MCI1737" s="515"/>
      <c r="MCJ1737" s="515"/>
      <c r="MCK1737" s="515"/>
      <c r="MCL1737" s="515"/>
      <c r="MCM1737" s="515"/>
      <c r="MCN1737" s="515"/>
      <c r="MCO1737" s="515"/>
      <c r="MCP1737" s="515"/>
      <c r="MCQ1737" s="515"/>
      <c r="MCR1737" s="515"/>
      <c r="MCS1737" s="515"/>
      <c r="MCT1737" s="515"/>
      <c r="MCU1737" s="515"/>
      <c r="MCV1737" s="515"/>
      <c r="MCW1737" s="515"/>
      <c r="MCX1737" s="515"/>
      <c r="MCY1737" s="515"/>
      <c r="MCZ1737" s="515"/>
      <c r="MDA1737" s="515"/>
      <c r="MDB1737" s="515"/>
      <c r="MDC1737" s="515"/>
      <c r="MDD1737" s="515"/>
      <c r="MDE1737" s="515"/>
      <c r="MDF1737" s="515"/>
      <c r="MDG1737" s="515"/>
      <c r="MDH1737" s="515"/>
      <c r="MDI1737" s="515"/>
      <c r="MDJ1737" s="515"/>
      <c r="MDK1737" s="515"/>
      <c r="MDL1737" s="515"/>
      <c r="MDM1737" s="515"/>
      <c r="MDN1737" s="515"/>
      <c r="MDO1737" s="515"/>
      <c r="MDP1737" s="515"/>
      <c r="MDQ1737" s="515"/>
      <c r="MDR1737" s="515"/>
      <c r="MDS1737" s="515"/>
      <c r="MDT1737" s="515"/>
      <c r="MDU1737" s="515"/>
      <c r="MDV1737" s="515"/>
      <c r="MDW1737" s="515"/>
      <c r="MDX1737" s="515"/>
      <c r="MDY1737" s="515"/>
      <c r="MDZ1737" s="515"/>
      <c r="MEA1737" s="515"/>
      <c r="MEB1737" s="515"/>
      <c r="MEC1737" s="515"/>
      <c r="MED1737" s="515"/>
      <c r="MEE1737" s="515"/>
      <c r="MEF1737" s="515"/>
      <c r="MEG1737" s="515"/>
      <c r="MEH1737" s="515"/>
      <c r="MEI1737" s="515"/>
      <c r="MEJ1737" s="515"/>
      <c r="MEK1737" s="515"/>
      <c r="MEL1737" s="515"/>
      <c r="MEM1737" s="515"/>
      <c r="MEN1737" s="515"/>
      <c r="MEO1737" s="515"/>
      <c r="MEP1737" s="515"/>
      <c r="MEQ1737" s="515"/>
      <c r="MER1737" s="515"/>
      <c r="MES1737" s="515"/>
      <c r="MET1737" s="515"/>
      <c r="MEU1737" s="515"/>
      <c r="MEV1737" s="515"/>
      <c r="MEW1737" s="515"/>
      <c r="MEX1737" s="515"/>
      <c r="MEY1737" s="515"/>
      <c r="MEZ1737" s="515"/>
      <c r="MFA1737" s="515"/>
      <c r="MFB1737" s="515"/>
      <c r="MFC1737" s="515"/>
      <c r="MFD1737" s="515"/>
      <c r="MFE1737" s="515"/>
      <c r="MFF1737" s="515"/>
      <c r="MFG1737" s="515"/>
      <c r="MFH1737" s="515"/>
      <c r="MFI1737" s="515"/>
      <c r="MFJ1737" s="515"/>
      <c r="MFK1737" s="515"/>
      <c r="MFL1737" s="515"/>
      <c r="MFM1737" s="515"/>
      <c r="MFN1737" s="515"/>
      <c r="MFO1737" s="515"/>
      <c r="MFP1737" s="515"/>
      <c r="MFQ1737" s="515"/>
      <c r="MFR1737" s="515"/>
      <c r="MFS1737" s="515"/>
      <c r="MFT1737" s="515"/>
      <c r="MFU1737" s="515"/>
      <c r="MFV1737" s="515"/>
      <c r="MFW1737" s="515"/>
      <c r="MFX1737" s="515"/>
      <c r="MFY1737" s="515"/>
      <c r="MFZ1737" s="515"/>
      <c r="MGA1737" s="515"/>
      <c r="MGB1737" s="515"/>
      <c r="MGC1737" s="515"/>
      <c r="MGD1737" s="515"/>
      <c r="MGE1737" s="515"/>
      <c r="MGF1737" s="515"/>
      <c r="MGG1737" s="515"/>
      <c r="MGH1737" s="515"/>
      <c r="MGI1737" s="515"/>
      <c r="MGJ1737" s="515"/>
      <c r="MGK1737" s="515"/>
      <c r="MGL1737" s="515"/>
      <c r="MGM1737" s="515"/>
      <c r="MGN1737" s="515"/>
      <c r="MGO1737" s="515"/>
      <c r="MGP1737" s="515"/>
      <c r="MGQ1737" s="515"/>
      <c r="MGR1737" s="515"/>
      <c r="MGS1737" s="515"/>
      <c r="MGT1737" s="515"/>
      <c r="MGU1737" s="515"/>
      <c r="MGV1737" s="515"/>
      <c r="MGW1737" s="515"/>
      <c r="MGX1737" s="515"/>
      <c r="MGY1737" s="515"/>
      <c r="MGZ1737" s="515"/>
      <c r="MHA1737" s="515"/>
      <c r="MHB1737" s="515"/>
      <c r="MHC1737" s="515"/>
      <c r="MHD1737" s="515"/>
      <c r="MHE1737" s="515"/>
      <c r="MHF1737" s="515"/>
      <c r="MHG1737" s="515"/>
      <c r="MHH1737" s="515"/>
      <c r="MHI1737" s="515"/>
      <c r="MHJ1737" s="515"/>
      <c r="MHK1737" s="515"/>
      <c r="MHL1737" s="515"/>
      <c r="MHM1737" s="515"/>
      <c r="MHN1737" s="515"/>
      <c r="MHO1737" s="515"/>
      <c r="MHP1737" s="515"/>
      <c r="MHQ1737" s="515"/>
      <c r="MHR1737" s="515"/>
      <c r="MHS1737" s="515"/>
      <c r="MHT1737" s="515"/>
      <c r="MHU1737" s="515"/>
      <c r="MHV1737" s="515"/>
      <c r="MHW1737" s="515"/>
      <c r="MHX1737" s="515"/>
      <c r="MHY1737" s="515"/>
      <c r="MHZ1737" s="515"/>
      <c r="MIA1737" s="515"/>
      <c r="MIB1737" s="515"/>
      <c r="MIC1737" s="515"/>
      <c r="MID1737" s="515"/>
      <c r="MIE1737" s="515"/>
      <c r="MIF1737" s="515"/>
      <c r="MIG1737" s="515"/>
      <c r="MIH1737" s="515"/>
      <c r="MII1737" s="515"/>
      <c r="MIJ1737" s="515"/>
      <c r="MIK1737" s="515"/>
      <c r="MIL1737" s="515"/>
      <c r="MIM1737" s="515"/>
      <c r="MIN1737" s="515"/>
      <c r="MIO1737" s="515"/>
      <c r="MIP1737" s="515"/>
      <c r="MIQ1737" s="515"/>
      <c r="MIR1737" s="515"/>
      <c r="MIS1737" s="515"/>
      <c r="MIT1737" s="515"/>
      <c r="MIU1737" s="515"/>
      <c r="MIV1737" s="515"/>
      <c r="MIW1737" s="515"/>
      <c r="MIX1737" s="515"/>
      <c r="MIY1737" s="515"/>
      <c r="MIZ1737" s="515"/>
      <c r="MJA1737" s="515"/>
      <c r="MJB1737" s="515"/>
      <c r="MJC1737" s="515"/>
      <c r="MJD1737" s="515"/>
      <c r="MJE1737" s="515"/>
      <c r="MJF1737" s="515"/>
      <c r="MJG1737" s="515"/>
      <c r="MJH1737" s="515"/>
      <c r="MJI1737" s="515"/>
      <c r="MJJ1737" s="515"/>
      <c r="MJK1737" s="515"/>
      <c r="MJL1737" s="515"/>
      <c r="MJM1737" s="515"/>
      <c r="MJN1737" s="515"/>
      <c r="MJO1737" s="515"/>
      <c r="MJP1737" s="515"/>
      <c r="MJQ1737" s="515"/>
      <c r="MJR1737" s="515"/>
      <c r="MJS1737" s="515"/>
      <c r="MJT1737" s="515"/>
      <c r="MJU1737" s="515"/>
      <c r="MJV1737" s="515"/>
      <c r="MJW1737" s="515"/>
      <c r="MJX1737" s="515"/>
      <c r="MJY1737" s="515"/>
      <c r="MJZ1737" s="515"/>
      <c r="MKA1737" s="515"/>
      <c r="MKB1737" s="515"/>
      <c r="MKC1737" s="515"/>
      <c r="MKD1737" s="515"/>
      <c r="MKE1737" s="515"/>
      <c r="MKF1737" s="515"/>
      <c r="MKG1737" s="515"/>
      <c r="MKH1737" s="515"/>
      <c r="MKI1737" s="515"/>
      <c r="MKJ1737" s="515"/>
      <c r="MKK1737" s="515"/>
      <c r="MKL1737" s="515"/>
      <c r="MKM1737" s="515"/>
      <c r="MKN1737" s="515"/>
      <c r="MKO1737" s="515"/>
      <c r="MKP1737" s="515"/>
      <c r="MKQ1737" s="515"/>
      <c r="MKR1737" s="515"/>
      <c r="MKS1737" s="515"/>
      <c r="MKT1737" s="515"/>
      <c r="MKU1737" s="515"/>
      <c r="MKV1737" s="515"/>
      <c r="MKW1737" s="515"/>
      <c r="MKX1737" s="515"/>
      <c r="MKY1737" s="515"/>
      <c r="MKZ1737" s="515"/>
      <c r="MLA1737" s="515"/>
      <c r="MLB1737" s="515"/>
      <c r="MLC1737" s="515"/>
      <c r="MLD1737" s="515"/>
      <c r="MLE1737" s="515"/>
      <c r="MLF1737" s="515"/>
      <c r="MLG1737" s="515"/>
      <c r="MLH1737" s="515"/>
      <c r="MLI1737" s="515"/>
      <c r="MLJ1737" s="515"/>
      <c r="MLK1737" s="515"/>
      <c r="MLL1737" s="515"/>
      <c r="MLM1737" s="515"/>
      <c r="MLN1737" s="515"/>
      <c r="MLO1737" s="515"/>
      <c r="MLP1737" s="515"/>
      <c r="MLQ1737" s="515"/>
      <c r="MLR1737" s="515"/>
      <c r="MLS1737" s="515"/>
      <c r="MLT1737" s="515"/>
      <c r="MLU1737" s="515"/>
      <c r="MLV1737" s="515"/>
      <c r="MLW1737" s="515"/>
      <c r="MLX1737" s="515"/>
      <c r="MLY1737" s="515"/>
      <c r="MLZ1737" s="515"/>
      <c r="MMA1737" s="515"/>
      <c r="MMB1737" s="515"/>
      <c r="MMC1737" s="515"/>
      <c r="MMD1737" s="515"/>
      <c r="MME1737" s="515"/>
      <c r="MMF1737" s="515"/>
      <c r="MMG1737" s="515"/>
      <c r="MMH1737" s="515"/>
      <c r="MMI1737" s="515"/>
      <c r="MMJ1737" s="515"/>
      <c r="MMK1737" s="515"/>
      <c r="MML1737" s="515"/>
      <c r="MMM1737" s="515"/>
      <c r="MMN1737" s="515"/>
      <c r="MMO1737" s="515"/>
      <c r="MMP1737" s="515"/>
      <c r="MMQ1737" s="515"/>
      <c r="MMR1737" s="515"/>
      <c r="MMS1737" s="515"/>
      <c r="MMT1737" s="515"/>
      <c r="MMU1737" s="515"/>
      <c r="MMV1737" s="515"/>
      <c r="MMW1737" s="515"/>
      <c r="MMX1737" s="515"/>
      <c r="MMY1737" s="515"/>
      <c r="MMZ1737" s="515"/>
      <c r="MNA1737" s="515"/>
      <c r="MNB1737" s="515"/>
      <c r="MNC1737" s="515"/>
      <c r="MND1737" s="515"/>
      <c r="MNE1737" s="515"/>
      <c r="MNF1737" s="515"/>
      <c r="MNG1737" s="515"/>
      <c r="MNH1737" s="515"/>
      <c r="MNI1737" s="515"/>
      <c r="MNJ1737" s="515"/>
      <c r="MNK1737" s="515"/>
      <c r="MNL1737" s="515"/>
      <c r="MNM1737" s="515"/>
      <c r="MNN1737" s="515"/>
      <c r="MNO1737" s="515"/>
      <c r="MNP1737" s="515"/>
      <c r="MNQ1737" s="515"/>
      <c r="MNR1737" s="515"/>
      <c r="MNS1737" s="515"/>
      <c r="MNT1737" s="515"/>
      <c r="MNU1737" s="515"/>
      <c r="MNV1737" s="515"/>
      <c r="MNW1737" s="515"/>
      <c r="MNX1737" s="515"/>
      <c r="MNY1737" s="515"/>
      <c r="MNZ1737" s="515"/>
      <c r="MOA1737" s="515"/>
      <c r="MOB1737" s="515"/>
      <c r="MOC1737" s="515"/>
      <c r="MOD1737" s="515"/>
      <c r="MOE1737" s="515"/>
      <c r="MOF1737" s="515"/>
      <c r="MOG1737" s="515"/>
      <c r="MOH1737" s="515"/>
      <c r="MOI1737" s="515"/>
      <c r="MOJ1737" s="515"/>
      <c r="MOK1737" s="515"/>
      <c r="MOL1737" s="515"/>
      <c r="MOM1737" s="515"/>
      <c r="MON1737" s="515"/>
      <c r="MOO1737" s="515"/>
      <c r="MOP1737" s="515"/>
      <c r="MOQ1737" s="515"/>
      <c r="MOR1737" s="515"/>
      <c r="MOS1737" s="515"/>
      <c r="MOT1737" s="515"/>
      <c r="MOU1737" s="515"/>
      <c r="MOV1737" s="515"/>
      <c r="MOW1737" s="515"/>
      <c r="MOX1737" s="515"/>
      <c r="MOY1737" s="515"/>
      <c r="MOZ1737" s="515"/>
      <c r="MPA1737" s="515"/>
      <c r="MPB1737" s="515"/>
      <c r="MPC1737" s="515"/>
      <c r="MPD1737" s="515"/>
      <c r="MPE1737" s="515"/>
      <c r="MPF1737" s="515"/>
      <c r="MPG1737" s="515"/>
      <c r="MPH1737" s="515"/>
      <c r="MPI1737" s="515"/>
      <c r="MPJ1737" s="515"/>
      <c r="MPK1737" s="515"/>
      <c r="MPL1737" s="515"/>
      <c r="MPM1737" s="515"/>
      <c r="MPN1737" s="515"/>
      <c r="MPO1737" s="515"/>
      <c r="MPP1737" s="515"/>
      <c r="MPQ1737" s="515"/>
      <c r="MPR1737" s="515"/>
      <c r="MPS1737" s="515"/>
      <c r="MPT1737" s="515"/>
      <c r="MPU1737" s="515"/>
      <c r="MPV1737" s="515"/>
      <c r="MPW1737" s="515"/>
      <c r="MPX1737" s="515"/>
      <c r="MPY1737" s="515"/>
      <c r="MPZ1737" s="515"/>
      <c r="MQA1737" s="515"/>
      <c r="MQB1737" s="515"/>
      <c r="MQC1737" s="515"/>
      <c r="MQD1737" s="515"/>
      <c r="MQE1737" s="515"/>
      <c r="MQF1737" s="515"/>
      <c r="MQG1737" s="515"/>
      <c r="MQH1737" s="515"/>
      <c r="MQI1737" s="515"/>
      <c r="MQJ1737" s="515"/>
      <c r="MQK1737" s="515"/>
      <c r="MQL1737" s="515"/>
      <c r="MQM1737" s="515"/>
      <c r="MQN1737" s="515"/>
      <c r="MQO1737" s="515"/>
      <c r="MQP1737" s="515"/>
      <c r="MQQ1737" s="515"/>
      <c r="MQR1737" s="515"/>
      <c r="MQS1737" s="515"/>
      <c r="MQT1737" s="515"/>
      <c r="MQU1737" s="515"/>
      <c r="MQV1737" s="515"/>
      <c r="MQW1737" s="515"/>
      <c r="MQX1737" s="515"/>
      <c r="MQY1737" s="515"/>
      <c r="MQZ1737" s="515"/>
      <c r="MRA1737" s="515"/>
      <c r="MRB1737" s="515"/>
      <c r="MRC1737" s="515"/>
      <c r="MRD1737" s="515"/>
      <c r="MRE1737" s="515"/>
      <c r="MRF1737" s="515"/>
      <c r="MRG1737" s="515"/>
      <c r="MRH1737" s="515"/>
      <c r="MRI1737" s="515"/>
      <c r="MRJ1737" s="515"/>
      <c r="MRK1737" s="515"/>
      <c r="MRL1737" s="515"/>
      <c r="MRM1737" s="515"/>
      <c r="MRN1737" s="515"/>
      <c r="MRO1737" s="515"/>
      <c r="MRP1737" s="515"/>
      <c r="MRQ1737" s="515"/>
      <c r="MRR1737" s="515"/>
      <c r="MRS1737" s="515"/>
      <c r="MRT1737" s="515"/>
      <c r="MRU1737" s="515"/>
      <c r="MRV1737" s="515"/>
      <c r="MRW1737" s="515"/>
      <c r="MRX1737" s="515"/>
      <c r="MRY1737" s="515"/>
      <c r="MRZ1737" s="515"/>
      <c r="MSA1737" s="515"/>
      <c r="MSB1737" s="515"/>
      <c r="MSC1737" s="515"/>
      <c r="MSD1737" s="515"/>
      <c r="MSE1737" s="515"/>
      <c r="MSF1737" s="515"/>
      <c r="MSG1737" s="515"/>
      <c r="MSH1737" s="515"/>
      <c r="MSI1737" s="515"/>
      <c r="MSJ1737" s="515"/>
      <c r="MSK1737" s="515"/>
      <c r="MSL1737" s="515"/>
      <c r="MSM1737" s="515"/>
      <c r="MSN1737" s="515"/>
      <c r="MSO1737" s="515"/>
      <c r="MSP1737" s="515"/>
      <c r="MSQ1737" s="515"/>
      <c r="MSR1737" s="515"/>
      <c r="MSS1737" s="515"/>
      <c r="MST1737" s="515"/>
      <c r="MSU1737" s="515"/>
      <c r="MSV1737" s="515"/>
      <c r="MSW1737" s="515"/>
      <c r="MSX1737" s="515"/>
      <c r="MSY1737" s="515"/>
      <c r="MSZ1737" s="515"/>
      <c r="MTA1737" s="515"/>
      <c r="MTB1737" s="515"/>
      <c r="MTC1737" s="515"/>
      <c r="MTD1737" s="515"/>
      <c r="MTE1737" s="515"/>
      <c r="MTF1737" s="515"/>
      <c r="MTG1737" s="515"/>
      <c r="MTH1737" s="515"/>
      <c r="MTI1737" s="515"/>
      <c r="MTJ1737" s="515"/>
      <c r="MTK1737" s="515"/>
      <c r="MTL1737" s="515"/>
      <c r="MTM1737" s="515"/>
      <c r="MTN1737" s="515"/>
      <c r="MTO1737" s="515"/>
      <c r="MTP1737" s="515"/>
      <c r="MTQ1737" s="515"/>
      <c r="MTR1737" s="515"/>
      <c r="MTS1737" s="515"/>
      <c r="MTT1737" s="515"/>
      <c r="MTU1737" s="515"/>
      <c r="MTV1737" s="515"/>
      <c r="MTW1737" s="515"/>
      <c r="MTX1737" s="515"/>
      <c r="MTY1737" s="515"/>
      <c r="MTZ1737" s="515"/>
      <c r="MUA1737" s="515"/>
      <c r="MUB1737" s="515"/>
      <c r="MUC1737" s="515"/>
      <c r="MUD1737" s="515"/>
      <c r="MUE1737" s="515"/>
      <c r="MUF1737" s="515"/>
      <c r="MUG1737" s="515"/>
      <c r="MUH1737" s="515"/>
      <c r="MUI1737" s="515"/>
      <c r="MUJ1737" s="515"/>
      <c r="MUK1737" s="515"/>
      <c r="MUL1737" s="515"/>
      <c r="MUM1737" s="515"/>
      <c r="MUN1737" s="515"/>
      <c r="MUO1737" s="515"/>
      <c r="MUP1737" s="515"/>
      <c r="MUQ1737" s="515"/>
      <c r="MUR1737" s="515"/>
      <c r="MUS1737" s="515"/>
      <c r="MUT1737" s="515"/>
      <c r="MUU1737" s="515"/>
      <c r="MUV1737" s="515"/>
      <c r="MUW1737" s="515"/>
      <c r="MUX1737" s="515"/>
      <c r="MUY1737" s="515"/>
      <c r="MUZ1737" s="515"/>
      <c r="MVA1737" s="515"/>
      <c r="MVB1737" s="515"/>
      <c r="MVC1737" s="515"/>
      <c r="MVD1737" s="515"/>
      <c r="MVE1737" s="515"/>
      <c r="MVF1737" s="515"/>
      <c r="MVG1737" s="515"/>
      <c r="MVH1737" s="515"/>
      <c r="MVI1737" s="515"/>
      <c r="MVJ1737" s="515"/>
      <c r="MVK1737" s="515"/>
      <c r="MVL1737" s="515"/>
      <c r="MVM1737" s="515"/>
      <c r="MVN1737" s="515"/>
      <c r="MVO1737" s="515"/>
      <c r="MVP1737" s="515"/>
      <c r="MVQ1737" s="515"/>
      <c r="MVR1737" s="515"/>
      <c r="MVS1737" s="515"/>
      <c r="MVT1737" s="515"/>
      <c r="MVU1737" s="515"/>
      <c r="MVV1737" s="515"/>
      <c r="MVW1737" s="515"/>
      <c r="MVX1737" s="515"/>
      <c r="MVY1737" s="515"/>
      <c r="MVZ1737" s="515"/>
      <c r="MWA1737" s="515"/>
      <c r="MWB1737" s="515"/>
      <c r="MWC1737" s="515"/>
      <c r="MWD1737" s="515"/>
      <c r="MWE1737" s="515"/>
      <c r="MWF1737" s="515"/>
      <c r="MWG1737" s="515"/>
      <c r="MWH1737" s="515"/>
      <c r="MWI1737" s="515"/>
      <c r="MWJ1737" s="515"/>
      <c r="MWK1737" s="515"/>
      <c r="MWL1737" s="515"/>
      <c r="MWM1737" s="515"/>
      <c r="MWN1737" s="515"/>
      <c r="MWO1737" s="515"/>
      <c r="MWP1737" s="515"/>
      <c r="MWQ1737" s="515"/>
      <c r="MWR1737" s="515"/>
      <c r="MWS1737" s="515"/>
      <c r="MWT1737" s="515"/>
      <c r="MWU1737" s="515"/>
      <c r="MWV1737" s="515"/>
      <c r="MWW1737" s="515"/>
      <c r="MWX1737" s="515"/>
      <c r="MWY1737" s="515"/>
      <c r="MWZ1737" s="515"/>
      <c r="MXA1737" s="515"/>
      <c r="MXB1737" s="515"/>
      <c r="MXC1737" s="515"/>
      <c r="MXD1737" s="515"/>
      <c r="MXE1737" s="515"/>
      <c r="MXF1737" s="515"/>
      <c r="MXG1737" s="515"/>
      <c r="MXH1737" s="515"/>
      <c r="MXI1737" s="515"/>
      <c r="MXJ1737" s="515"/>
      <c r="MXK1737" s="515"/>
      <c r="MXL1737" s="515"/>
      <c r="MXM1737" s="515"/>
      <c r="MXN1737" s="515"/>
      <c r="MXO1737" s="515"/>
      <c r="MXP1737" s="515"/>
      <c r="MXQ1737" s="515"/>
      <c r="MXR1737" s="515"/>
      <c r="MXS1737" s="515"/>
      <c r="MXT1737" s="515"/>
      <c r="MXU1737" s="515"/>
      <c r="MXV1737" s="515"/>
      <c r="MXW1737" s="515"/>
      <c r="MXX1737" s="515"/>
      <c r="MXY1737" s="515"/>
      <c r="MXZ1737" s="515"/>
      <c r="MYA1737" s="515"/>
      <c r="MYB1737" s="515"/>
      <c r="MYC1737" s="515"/>
      <c r="MYD1737" s="515"/>
      <c r="MYE1737" s="515"/>
      <c r="MYF1737" s="515"/>
      <c r="MYG1737" s="515"/>
      <c r="MYH1737" s="515"/>
      <c r="MYI1737" s="515"/>
      <c r="MYJ1737" s="515"/>
      <c r="MYK1737" s="515"/>
      <c r="MYL1737" s="515"/>
      <c r="MYM1737" s="515"/>
      <c r="MYN1737" s="515"/>
      <c r="MYO1737" s="515"/>
      <c r="MYP1737" s="515"/>
      <c r="MYQ1737" s="515"/>
      <c r="MYR1737" s="515"/>
      <c r="MYS1737" s="515"/>
      <c r="MYT1737" s="515"/>
      <c r="MYU1737" s="515"/>
      <c r="MYV1737" s="515"/>
      <c r="MYW1737" s="515"/>
      <c r="MYX1737" s="515"/>
      <c r="MYY1737" s="515"/>
      <c r="MYZ1737" s="515"/>
      <c r="MZA1737" s="515"/>
      <c r="MZB1737" s="515"/>
      <c r="MZC1737" s="515"/>
      <c r="MZD1737" s="515"/>
      <c r="MZE1737" s="515"/>
      <c r="MZF1737" s="515"/>
      <c r="MZG1737" s="515"/>
      <c r="MZH1737" s="515"/>
      <c r="MZI1737" s="515"/>
      <c r="MZJ1737" s="515"/>
      <c r="MZK1737" s="515"/>
      <c r="MZL1737" s="515"/>
      <c r="MZM1737" s="515"/>
      <c r="MZN1737" s="515"/>
      <c r="MZO1737" s="515"/>
      <c r="MZP1737" s="515"/>
      <c r="MZQ1737" s="515"/>
      <c r="MZR1737" s="515"/>
      <c r="MZS1737" s="515"/>
      <c r="MZT1737" s="515"/>
      <c r="MZU1737" s="515"/>
      <c r="MZV1737" s="515"/>
      <c r="MZW1737" s="515"/>
      <c r="MZX1737" s="515"/>
      <c r="MZY1737" s="515"/>
      <c r="MZZ1737" s="515"/>
      <c r="NAA1737" s="515"/>
      <c r="NAB1737" s="515"/>
      <c r="NAC1737" s="515"/>
      <c r="NAD1737" s="515"/>
      <c r="NAE1737" s="515"/>
      <c r="NAF1737" s="515"/>
      <c r="NAG1737" s="515"/>
      <c r="NAH1737" s="515"/>
      <c r="NAI1737" s="515"/>
      <c r="NAJ1737" s="515"/>
      <c r="NAK1737" s="515"/>
      <c r="NAL1737" s="515"/>
      <c r="NAM1737" s="515"/>
      <c r="NAN1737" s="515"/>
      <c r="NAO1737" s="515"/>
      <c r="NAP1737" s="515"/>
      <c r="NAQ1737" s="515"/>
      <c r="NAR1737" s="515"/>
      <c r="NAS1737" s="515"/>
      <c r="NAT1737" s="515"/>
      <c r="NAU1737" s="515"/>
      <c r="NAV1737" s="515"/>
      <c r="NAW1737" s="515"/>
      <c r="NAX1737" s="515"/>
      <c r="NAY1737" s="515"/>
      <c r="NAZ1737" s="515"/>
      <c r="NBA1737" s="515"/>
      <c r="NBB1737" s="515"/>
      <c r="NBC1737" s="515"/>
      <c r="NBD1737" s="515"/>
      <c r="NBE1737" s="515"/>
      <c r="NBF1737" s="515"/>
      <c r="NBG1737" s="515"/>
      <c r="NBH1737" s="515"/>
      <c r="NBI1737" s="515"/>
      <c r="NBJ1737" s="515"/>
      <c r="NBK1737" s="515"/>
      <c r="NBL1737" s="515"/>
      <c r="NBM1737" s="515"/>
      <c r="NBN1737" s="515"/>
      <c r="NBO1737" s="515"/>
      <c r="NBP1737" s="515"/>
      <c r="NBQ1737" s="515"/>
      <c r="NBR1737" s="515"/>
      <c r="NBS1737" s="515"/>
      <c r="NBT1737" s="515"/>
      <c r="NBU1737" s="515"/>
      <c r="NBV1737" s="515"/>
      <c r="NBW1737" s="515"/>
      <c r="NBX1737" s="515"/>
      <c r="NBY1737" s="515"/>
      <c r="NBZ1737" s="515"/>
      <c r="NCA1737" s="515"/>
      <c r="NCB1737" s="515"/>
      <c r="NCC1737" s="515"/>
      <c r="NCD1737" s="515"/>
      <c r="NCE1737" s="515"/>
      <c r="NCF1737" s="515"/>
      <c r="NCG1737" s="515"/>
      <c r="NCH1737" s="515"/>
      <c r="NCI1737" s="515"/>
      <c r="NCJ1737" s="515"/>
      <c r="NCK1737" s="515"/>
      <c r="NCL1737" s="515"/>
      <c r="NCM1737" s="515"/>
      <c r="NCN1737" s="515"/>
      <c r="NCO1737" s="515"/>
      <c r="NCP1737" s="515"/>
      <c r="NCQ1737" s="515"/>
      <c r="NCR1737" s="515"/>
      <c r="NCS1737" s="515"/>
      <c r="NCT1737" s="515"/>
      <c r="NCU1737" s="515"/>
      <c r="NCV1737" s="515"/>
      <c r="NCW1737" s="515"/>
      <c r="NCX1737" s="515"/>
      <c r="NCY1737" s="515"/>
      <c r="NCZ1737" s="515"/>
      <c r="NDA1737" s="515"/>
      <c r="NDB1737" s="515"/>
      <c r="NDC1737" s="515"/>
      <c r="NDD1737" s="515"/>
      <c r="NDE1737" s="515"/>
      <c r="NDF1737" s="515"/>
      <c r="NDG1737" s="515"/>
      <c r="NDH1737" s="515"/>
      <c r="NDI1737" s="515"/>
      <c r="NDJ1737" s="515"/>
      <c r="NDK1737" s="515"/>
      <c r="NDL1737" s="515"/>
      <c r="NDM1737" s="515"/>
      <c r="NDN1737" s="515"/>
      <c r="NDO1737" s="515"/>
      <c r="NDP1737" s="515"/>
      <c r="NDQ1737" s="515"/>
      <c r="NDR1737" s="515"/>
      <c r="NDS1737" s="515"/>
      <c r="NDT1737" s="515"/>
      <c r="NDU1737" s="515"/>
      <c r="NDV1737" s="515"/>
      <c r="NDW1737" s="515"/>
      <c r="NDX1737" s="515"/>
      <c r="NDY1737" s="515"/>
      <c r="NDZ1737" s="515"/>
      <c r="NEA1737" s="515"/>
      <c r="NEB1737" s="515"/>
      <c r="NEC1737" s="515"/>
      <c r="NED1737" s="515"/>
      <c r="NEE1737" s="515"/>
      <c r="NEF1737" s="515"/>
      <c r="NEG1737" s="515"/>
      <c r="NEH1737" s="515"/>
      <c r="NEI1737" s="515"/>
      <c r="NEJ1737" s="515"/>
      <c r="NEK1737" s="515"/>
      <c r="NEL1737" s="515"/>
      <c r="NEM1737" s="515"/>
      <c r="NEN1737" s="515"/>
      <c r="NEO1737" s="515"/>
      <c r="NEP1737" s="515"/>
      <c r="NEQ1737" s="515"/>
      <c r="NER1737" s="515"/>
      <c r="NES1737" s="515"/>
      <c r="NET1737" s="515"/>
      <c r="NEU1737" s="515"/>
      <c r="NEV1737" s="515"/>
      <c r="NEW1737" s="515"/>
      <c r="NEX1737" s="515"/>
      <c r="NEY1737" s="515"/>
      <c r="NEZ1737" s="515"/>
      <c r="NFA1737" s="515"/>
      <c r="NFB1737" s="515"/>
      <c r="NFC1737" s="515"/>
      <c r="NFD1737" s="515"/>
      <c r="NFE1737" s="515"/>
      <c r="NFF1737" s="515"/>
      <c r="NFG1737" s="515"/>
      <c r="NFH1737" s="515"/>
      <c r="NFI1737" s="515"/>
      <c r="NFJ1737" s="515"/>
      <c r="NFK1737" s="515"/>
      <c r="NFL1737" s="515"/>
      <c r="NFM1737" s="515"/>
      <c r="NFN1737" s="515"/>
      <c r="NFO1737" s="515"/>
      <c r="NFP1737" s="515"/>
      <c r="NFQ1737" s="515"/>
      <c r="NFR1737" s="515"/>
      <c r="NFS1737" s="515"/>
      <c r="NFT1737" s="515"/>
      <c r="NFU1737" s="515"/>
      <c r="NFV1737" s="515"/>
      <c r="NFW1737" s="515"/>
      <c r="NFX1737" s="515"/>
      <c r="NFY1737" s="515"/>
      <c r="NFZ1737" s="515"/>
      <c r="NGA1737" s="515"/>
      <c r="NGB1737" s="515"/>
      <c r="NGC1737" s="515"/>
      <c r="NGD1737" s="515"/>
      <c r="NGE1737" s="515"/>
      <c r="NGF1737" s="515"/>
      <c r="NGG1737" s="515"/>
      <c r="NGH1737" s="515"/>
      <c r="NGI1737" s="515"/>
      <c r="NGJ1737" s="515"/>
      <c r="NGK1737" s="515"/>
      <c r="NGL1737" s="515"/>
      <c r="NGM1737" s="515"/>
      <c r="NGN1737" s="515"/>
      <c r="NGO1737" s="515"/>
      <c r="NGP1737" s="515"/>
      <c r="NGQ1737" s="515"/>
      <c r="NGR1737" s="515"/>
      <c r="NGS1737" s="515"/>
      <c r="NGT1737" s="515"/>
      <c r="NGU1737" s="515"/>
      <c r="NGV1737" s="515"/>
      <c r="NGW1737" s="515"/>
      <c r="NGX1737" s="515"/>
      <c r="NGY1737" s="515"/>
      <c r="NGZ1737" s="515"/>
      <c r="NHA1737" s="515"/>
      <c r="NHB1737" s="515"/>
      <c r="NHC1737" s="515"/>
      <c r="NHD1737" s="515"/>
      <c r="NHE1737" s="515"/>
      <c r="NHF1737" s="515"/>
      <c r="NHG1737" s="515"/>
      <c r="NHH1737" s="515"/>
      <c r="NHI1737" s="515"/>
      <c r="NHJ1737" s="515"/>
      <c r="NHK1737" s="515"/>
      <c r="NHL1737" s="515"/>
      <c r="NHM1737" s="515"/>
      <c r="NHN1737" s="515"/>
      <c r="NHO1737" s="515"/>
      <c r="NHP1737" s="515"/>
      <c r="NHQ1737" s="515"/>
      <c r="NHR1737" s="515"/>
      <c r="NHS1737" s="515"/>
      <c r="NHT1737" s="515"/>
      <c r="NHU1737" s="515"/>
      <c r="NHV1737" s="515"/>
      <c r="NHW1737" s="515"/>
      <c r="NHX1737" s="515"/>
      <c r="NHY1737" s="515"/>
      <c r="NHZ1737" s="515"/>
      <c r="NIA1737" s="515"/>
      <c r="NIB1737" s="515"/>
      <c r="NIC1737" s="515"/>
      <c r="NID1737" s="515"/>
      <c r="NIE1737" s="515"/>
      <c r="NIF1737" s="515"/>
      <c r="NIG1737" s="515"/>
      <c r="NIH1737" s="515"/>
      <c r="NII1737" s="515"/>
      <c r="NIJ1737" s="515"/>
      <c r="NIK1737" s="515"/>
      <c r="NIL1737" s="515"/>
      <c r="NIM1737" s="515"/>
      <c r="NIN1737" s="515"/>
      <c r="NIO1737" s="515"/>
      <c r="NIP1737" s="515"/>
      <c r="NIQ1737" s="515"/>
      <c r="NIR1737" s="515"/>
      <c r="NIS1737" s="515"/>
      <c r="NIT1737" s="515"/>
      <c r="NIU1737" s="515"/>
      <c r="NIV1737" s="515"/>
      <c r="NIW1737" s="515"/>
      <c r="NIX1737" s="515"/>
      <c r="NIY1737" s="515"/>
      <c r="NIZ1737" s="515"/>
      <c r="NJA1737" s="515"/>
      <c r="NJB1737" s="515"/>
      <c r="NJC1737" s="515"/>
      <c r="NJD1737" s="515"/>
      <c r="NJE1737" s="515"/>
      <c r="NJF1737" s="515"/>
      <c r="NJG1737" s="515"/>
      <c r="NJH1737" s="515"/>
      <c r="NJI1737" s="515"/>
      <c r="NJJ1737" s="515"/>
      <c r="NJK1737" s="515"/>
      <c r="NJL1737" s="515"/>
      <c r="NJM1737" s="515"/>
      <c r="NJN1737" s="515"/>
      <c r="NJO1737" s="515"/>
      <c r="NJP1737" s="515"/>
      <c r="NJQ1737" s="515"/>
      <c r="NJR1737" s="515"/>
      <c r="NJS1737" s="515"/>
      <c r="NJT1737" s="515"/>
      <c r="NJU1737" s="515"/>
      <c r="NJV1737" s="515"/>
      <c r="NJW1737" s="515"/>
      <c r="NJX1737" s="515"/>
      <c r="NJY1737" s="515"/>
      <c r="NJZ1737" s="515"/>
      <c r="NKA1737" s="515"/>
      <c r="NKB1737" s="515"/>
      <c r="NKC1737" s="515"/>
      <c r="NKD1737" s="515"/>
      <c r="NKE1737" s="515"/>
      <c r="NKF1737" s="515"/>
      <c r="NKG1737" s="515"/>
      <c r="NKH1737" s="515"/>
      <c r="NKI1737" s="515"/>
      <c r="NKJ1737" s="515"/>
      <c r="NKK1737" s="515"/>
      <c r="NKL1737" s="515"/>
      <c r="NKM1737" s="515"/>
      <c r="NKN1737" s="515"/>
      <c r="NKO1737" s="515"/>
      <c r="NKP1737" s="515"/>
      <c r="NKQ1737" s="515"/>
      <c r="NKR1737" s="515"/>
      <c r="NKS1737" s="515"/>
      <c r="NKT1737" s="515"/>
      <c r="NKU1737" s="515"/>
      <c r="NKV1737" s="515"/>
      <c r="NKW1737" s="515"/>
      <c r="NKX1737" s="515"/>
      <c r="NKY1737" s="515"/>
      <c r="NKZ1737" s="515"/>
      <c r="NLA1737" s="515"/>
      <c r="NLB1737" s="515"/>
      <c r="NLC1737" s="515"/>
      <c r="NLD1737" s="515"/>
      <c r="NLE1737" s="515"/>
      <c r="NLF1737" s="515"/>
      <c r="NLG1737" s="515"/>
      <c r="NLH1737" s="515"/>
      <c r="NLI1737" s="515"/>
      <c r="NLJ1737" s="515"/>
      <c r="NLK1737" s="515"/>
      <c r="NLL1737" s="515"/>
      <c r="NLM1737" s="515"/>
      <c r="NLN1737" s="515"/>
      <c r="NLO1737" s="515"/>
      <c r="NLP1737" s="515"/>
      <c r="NLQ1737" s="515"/>
      <c r="NLR1737" s="515"/>
      <c r="NLS1737" s="515"/>
      <c r="NLT1737" s="515"/>
      <c r="NLU1737" s="515"/>
      <c r="NLV1737" s="515"/>
      <c r="NLW1737" s="515"/>
      <c r="NLX1737" s="515"/>
      <c r="NLY1737" s="515"/>
      <c r="NLZ1737" s="515"/>
      <c r="NMA1737" s="515"/>
      <c r="NMB1737" s="515"/>
      <c r="NMC1737" s="515"/>
      <c r="NMD1737" s="515"/>
      <c r="NME1737" s="515"/>
      <c r="NMF1737" s="515"/>
      <c r="NMG1737" s="515"/>
      <c r="NMH1737" s="515"/>
      <c r="NMI1737" s="515"/>
      <c r="NMJ1737" s="515"/>
      <c r="NMK1737" s="515"/>
      <c r="NML1737" s="515"/>
      <c r="NMM1737" s="515"/>
      <c r="NMN1737" s="515"/>
      <c r="NMO1737" s="515"/>
      <c r="NMP1737" s="515"/>
      <c r="NMQ1737" s="515"/>
      <c r="NMR1737" s="515"/>
      <c r="NMS1737" s="515"/>
      <c r="NMT1737" s="515"/>
      <c r="NMU1737" s="515"/>
      <c r="NMV1737" s="515"/>
      <c r="NMW1737" s="515"/>
      <c r="NMX1737" s="515"/>
      <c r="NMY1737" s="515"/>
      <c r="NMZ1737" s="515"/>
      <c r="NNA1737" s="515"/>
      <c r="NNB1737" s="515"/>
      <c r="NNC1737" s="515"/>
      <c r="NND1737" s="515"/>
      <c r="NNE1737" s="515"/>
      <c r="NNF1737" s="515"/>
      <c r="NNG1737" s="515"/>
      <c r="NNH1737" s="515"/>
      <c r="NNI1737" s="515"/>
      <c r="NNJ1737" s="515"/>
      <c r="NNK1737" s="515"/>
      <c r="NNL1737" s="515"/>
      <c r="NNM1737" s="515"/>
      <c r="NNN1737" s="515"/>
      <c r="NNO1737" s="515"/>
      <c r="NNP1737" s="515"/>
      <c r="NNQ1737" s="515"/>
      <c r="NNR1737" s="515"/>
      <c r="NNS1737" s="515"/>
      <c r="NNT1737" s="515"/>
      <c r="NNU1737" s="515"/>
      <c r="NNV1737" s="515"/>
      <c r="NNW1737" s="515"/>
      <c r="NNX1737" s="515"/>
      <c r="NNY1737" s="515"/>
      <c r="NNZ1737" s="515"/>
      <c r="NOA1737" s="515"/>
      <c r="NOB1737" s="515"/>
      <c r="NOC1737" s="515"/>
      <c r="NOD1737" s="515"/>
      <c r="NOE1737" s="515"/>
      <c r="NOF1737" s="515"/>
      <c r="NOG1737" s="515"/>
      <c r="NOH1737" s="515"/>
      <c r="NOI1737" s="515"/>
      <c r="NOJ1737" s="515"/>
      <c r="NOK1737" s="515"/>
      <c r="NOL1737" s="515"/>
      <c r="NOM1737" s="515"/>
      <c r="NON1737" s="515"/>
      <c r="NOO1737" s="515"/>
      <c r="NOP1737" s="515"/>
      <c r="NOQ1737" s="515"/>
      <c r="NOR1737" s="515"/>
      <c r="NOS1737" s="515"/>
      <c r="NOT1737" s="515"/>
      <c r="NOU1737" s="515"/>
      <c r="NOV1737" s="515"/>
      <c r="NOW1737" s="515"/>
      <c r="NOX1737" s="515"/>
      <c r="NOY1737" s="515"/>
      <c r="NOZ1737" s="515"/>
      <c r="NPA1737" s="515"/>
      <c r="NPB1737" s="515"/>
      <c r="NPC1737" s="515"/>
      <c r="NPD1737" s="515"/>
      <c r="NPE1737" s="515"/>
      <c r="NPF1737" s="515"/>
      <c r="NPG1737" s="515"/>
      <c r="NPH1737" s="515"/>
      <c r="NPI1737" s="515"/>
      <c r="NPJ1737" s="515"/>
      <c r="NPK1737" s="515"/>
      <c r="NPL1737" s="515"/>
      <c r="NPM1737" s="515"/>
      <c r="NPN1737" s="515"/>
      <c r="NPO1737" s="515"/>
      <c r="NPP1737" s="515"/>
      <c r="NPQ1737" s="515"/>
      <c r="NPR1737" s="515"/>
      <c r="NPS1737" s="515"/>
      <c r="NPT1737" s="515"/>
      <c r="NPU1737" s="515"/>
      <c r="NPV1737" s="515"/>
      <c r="NPW1737" s="515"/>
      <c r="NPX1737" s="515"/>
      <c r="NPY1737" s="515"/>
      <c r="NPZ1737" s="515"/>
      <c r="NQA1737" s="515"/>
      <c r="NQB1737" s="515"/>
      <c r="NQC1737" s="515"/>
      <c r="NQD1737" s="515"/>
      <c r="NQE1737" s="515"/>
      <c r="NQF1737" s="515"/>
      <c r="NQG1737" s="515"/>
      <c r="NQH1737" s="515"/>
      <c r="NQI1737" s="515"/>
      <c r="NQJ1737" s="515"/>
      <c r="NQK1737" s="515"/>
      <c r="NQL1737" s="515"/>
      <c r="NQM1737" s="515"/>
      <c r="NQN1737" s="515"/>
      <c r="NQO1737" s="515"/>
      <c r="NQP1737" s="515"/>
      <c r="NQQ1737" s="515"/>
      <c r="NQR1737" s="515"/>
      <c r="NQS1737" s="515"/>
      <c r="NQT1737" s="515"/>
      <c r="NQU1737" s="515"/>
      <c r="NQV1737" s="515"/>
      <c r="NQW1737" s="515"/>
      <c r="NQX1737" s="515"/>
      <c r="NQY1737" s="515"/>
      <c r="NQZ1737" s="515"/>
      <c r="NRA1737" s="515"/>
      <c r="NRB1737" s="515"/>
      <c r="NRC1737" s="515"/>
      <c r="NRD1737" s="515"/>
      <c r="NRE1737" s="515"/>
      <c r="NRF1737" s="515"/>
      <c r="NRG1737" s="515"/>
      <c r="NRH1737" s="515"/>
      <c r="NRI1737" s="515"/>
      <c r="NRJ1737" s="515"/>
      <c r="NRK1737" s="515"/>
      <c r="NRL1737" s="515"/>
      <c r="NRM1737" s="515"/>
      <c r="NRN1737" s="515"/>
      <c r="NRO1737" s="515"/>
      <c r="NRP1737" s="515"/>
      <c r="NRQ1737" s="515"/>
      <c r="NRR1737" s="515"/>
      <c r="NRS1737" s="515"/>
      <c r="NRT1737" s="515"/>
      <c r="NRU1737" s="515"/>
      <c r="NRV1737" s="515"/>
      <c r="NRW1737" s="515"/>
      <c r="NRX1737" s="515"/>
      <c r="NRY1737" s="515"/>
      <c r="NRZ1737" s="515"/>
      <c r="NSA1737" s="515"/>
      <c r="NSB1737" s="515"/>
      <c r="NSC1737" s="515"/>
      <c r="NSD1737" s="515"/>
      <c r="NSE1737" s="515"/>
      <c r="NSF1737" s="515"/>
      <c r="NSG1737" s="515"/>
      <c r="NSH1737" s="515"/>
      <c r="NSI1737" s="515"/>
      <c r="NSJ1737" s="515"/>
      <c r="NSK1737" s="515"/>
      <c r="NSL1737" s="515"/>
      <c r="NSM1737" s="515"/>
      <c r="NSN1737" s="515"/>
      <c r="NSO1737" s="515"/>
      <c r="NSP1737" s="515"/>
      <c r="NSQ1737" s="515"/>
      <c r="NSR1737" s="515"/>
      <c r="NSS1737" s="515"/>
      <c r="NST1737" s="515"/>
      <c r="NSU1737" s="515"/>
      <c r="NSV1737" s="515"/>
      <c r="NSW1737" s="515"/>
      <c r="NSX1737" s="515"/>
      <c r="NSY1737" s="515"/>
      <c r="NSZ1737" s="515"/>
      <c r="NTA1737" s="515"/>
      <c r="NTB1737" s="515"/>
      <c r="NTC1737" s="515"/>
      <c r="NTD1737" s="515"/>
      <c r="NTE1737" s="515"/>
      <c r="NTF1737" s="515"/>
      <c r="NTG1737" s="515"/>
      <c r="NTH1737" s="515"/>
      <c r="NTI1737" s="515"/>
      <c r="NTJ1737" s="515"/>
      <c r="NTK1737" s="515"/>
      <c r="NTL1737" s="515"/>
      <c r="NTM1737" s="515"/>
      <c r="NTN1737" s="515"/>
      <c r="NTO1737" s="515"/>
      <c r="NTP1737" s="515"/>
      <c r="NTQ1737" s="515"/>
      <c r="NTR1737" s="515"/>
      <c r="NTS1737" s="515"/>
      <c r="NTT1737" s="515"/>
      <c r="NTU1737" s="515"/>
      <c r="NTV1737" s="515"/>
      <c r="NTW1737" s="515"/>
      <c r="NTX1737" s="515"/>
      <c r="NTY1737" s="515"/>
      <c r="NTZ1737" s="515"/>
      <c r="NUA1737" s="515"/>
      <c r="NUB1737" s="515"/>
      <c r="NUC1737" s="515"/>
      <c r="NUD1737" s="515"/>
      <c r="NUE1737" s="515"/>
      <c r="NUF1737" s="515"/>
      <c r="NUG1737" s="515"/>
      <c r="NUH1737" s="515"/>
      <c r="NUI1737" s="515"/>
      <c r="NUJ1737" s="515"/>
      <c r="NUK1737" s="515"/>
      <c r="NUL1737" s="515"/>
      <c r="NUM1737" s="515"/>
      <c r="NUN1737" s="515"/>
      <c r="NUO1737" s="515"/>
      <c r="NUP1737" s="515"/>
      <c r="NUQ1737" s="515"/>
      <c r="NUR1737" s="515"/>
      <c r="NUS1737" s="515"/>
      <c r="NUT1737" s="515"/>
      <c r="NUU1737" s="515"/>
      <c r="NUV1737" s="515"/>
      <c r="NUW1737" s="515"/>
      <c r="NUX1737" s="515"/>
      <c r="NUY1737" s="515"/>
      <c r="NUZ1737" s="515"/>
      <c r="NVA1737" s="515"/>
      <c r="NVB1737" s="515"/>
      <c r="NVC1737" s="515"/>
      <c r="NVD1737" s="515"/>
      <c r="NVE1737" s="515"/>
      <c r="NVF1737" s="515"/>
      <c r="NVG1737" s="515"/>
      <c r="NVH1737" s="515"/>
      <c r="NVI1737" s="515"/>
      <c r="NVJ1737" s="515"/>
      <c r="NVK1737" s="515"/>
      <c r="NVL1737" s="515"/>
      <c r="NVM1737" s="515"/>
      <c r="NVN1737" s="515"/>
      <c r="NVO1737" s="515"/>
      <c r="NVP1737" s="515"/>
      <c r="NVQ1737" s="515"/>
      <c r="NVR1737" s="515"/>
      <c r="NVS1737" s="515"/>
      <c r="NVT1737" s="515"/>
      <c r="NVU1737" s="515"/>
      <c r="NVV1737" s="515"/>
      <c r="NVW1737" s="515"/>
      <c r="NVX1737" s="515"/>
      <c r="NVY1737" s="515"/>
      <c r="NVZ1737" s="515"/>
      <c r="NWA1737" s="515"/>
      <c r="NWB1737" s="515"/>
      <c r="NWC1737" s="515"/>
      <c r="NWD1737" s="515"/>
      <c r="NWE1737" s="515"/>
      <c r="NWF1737" s="515"/>
      <c r="NWG1737" s="515"/>
      <c r="NWH1737" s="515"/>
      <c r="NWI1737" s="515"/>
      <c r="NWJ1737" s="515"/>
      <c r="NWK1737" s="515"/>
      <c r="NWL1737" s="515"/>
      <c r="NWM1737" s="515"/>
      <c r="NWN1737" s="515"/>
      <c r="NWO1737" s="515"/>
      <c r="NWP1737" s="515"/>
      <c r="NWQ1737" s="515"/>
      <c r="NWR1737" s="515"/>
      <c r="NWS1737" s="515"/>
      <c r="NWT1737" s="515"/>
      <c r="NWU1737" s="515"/>
      <c r="NWV1737" s="515"/>
      <c r="NWW1737" s="515"/>
      <c r="NWX1737" s="515"/>
      <c r="NWY1737" s="515"/>
      <c r="NWZ1737" s="515"/>
      <c r="NXA1737" s="515"/>
      <c r="NXB1737" s="515"/>
      <c r="NXC1737" s="515"/>
      <c r="NXD1737" s="515"/>
      <c r="NXE1737" s="515"/>
      <c r="NXF1737" s="515"/>
      <c r="NXG1737" s="515"/>
      <c r="NXH1737" s="515"/>
      <c r="NXI1737" s="515"/>
      <c r="NXJ1737" s="515"/>
      <c r="NXK1737" s="515"/>
      <c r="NXL1737" s="515"/>
      <c r="NXM1737" s="515"/>
      <c r="NXN1737" s="515"/>
      <c r="NXO1737" s="515"/>
      <c r="NXP1737" s="515"/>
      <c r="NXQ1737" s="515"/>
      <c r="NXR1737" s="515"/>
      <c r="NXS1737" s="515"/>
      <c r="NXT1737" s="515"/>
      <c r="NXU1737" s="515"/>
      <c r="NXV1737" s="515"/>
      <c r="NXW1737" s="515"/>
      <c r="NXX1737" s="515"/>
      <c r="NXY1737" s="515"/>
      <c r="NXZ1737" s="515"/>
      <c r="NYA1737" s="515"/>
      <c r="NYB1737" s="515"/>
      <c r="NYC1737" s="515"/>
      <c r="NYD1737" s="515"/>
      <c r="NYE1737" s="515"/>
      <c r="NYF1737" s="515"/>
      <c r="NYG1737" s="515"/>
      <c r="NYH1737" s="515"/>
      <c r="NYI1737" s="515"/>
      <c r="NYJ1737" s="515"/>
      <c r="NYK1737" s="515"/>
      <c r="NYL1737" s="515"/>
      <c r="NYM1737" s="515"/>
      <c r="NYN1737" s="515"/>
      <c r="NYO1737" s="515"/>
      <c r="NYP1737" s="515"/>
      <c r="NYQ1737" s="515"/>
      <c r="NYR1737" s="515"/>
      <c r="NYS1737" s="515"/>
      <c r="NYT1737" s="515"/>
      <c r="NYU1737" s="515"/>
      <c r="NYV1737" s="515"/>
      <c r="NYW1737" s="515"/>
      <c r="NYX1737" s="515"/>
      <c r="NYY1737" s="515"/>
      <c r="NYZ1737" s="515"/>
      <c r="NZA1737" s="515"/>
      <c r="NZB1737" s="515"/>
      <c r="NZC1737" s="515"/>
      <c r="NZD1737" s="515"/>
      <c r="NZE1737" s="515"/>
      <c r="NZF1737" s="515"/>
      <c r="NZG1737" s="515"/>
      <c r="NZH1737" s="515"/>
      <c r="NZI1737" s="515"/>
      <c r="NZJ1737" s="515"/>
      <c r="NZK1737" s="515"/>
      <c r="NZL1737" s="515"/>
      <c r="NZM1737" s="515"/>
      <c r="NZN1737" s="515"/>
      <c r="NZO1737" s="515"/>
      <c r="NZP1737" s="515"/>
      <c r="NZQ1737" s="515"/>
      <c r="NZR1737" s="515"/>
      <c r="NZS1737" s="515"/>
      <c r="NZT1737" s="515"/>
      <c r="NZU1737" s="515"/>
      <c r="NZV1737" s="515"/>
      <c r="NZW1737" s="515"/>
      <c r="NZX1737" s="515"/>
      <c r="NZY1737" s="515"/>
      <c r="NZZ1737" s="515"/>
      <c r="OAA1737" s="515"/>
      <c r="OAB1737" s="515"/>
      <c r="OAC1737" s="515"/>
      <c r="OAD1737" s="515"/>
      <c r="OAE1737" s="515"/>
      <c r="OAF1737" s="515"/>
      <c r="OAG1737" s="515"/>
      <c r="OAH1737" s="515"/>
      <c r="OAI1737" s="515"/>
      <c r="OAJ1737" s="515"/>
      <c r="OAK1737" s="515"/>
      <c r="OAL1737" s="515"/>
      <c r="OAM1737" s="515"/>
      <c r="OAN1737" s="515"/>
      <c r="OAO1737" s="515"/>
      <c r="OAP1737" s="515"/>
      <c r="OAQ1737" s="515"/>
      <c r="OAR1737" s="515"/>
      <c r="OAS1737" s="515"/>
      <c r="OAT1737" s="515"/>
      <c r="OAU1737" s="515"/>
      <c r="OAV1737" s="515"/>
      <c r="OAW1737" s="515"/>
      <c r="OAX1737" s="515"/>
      <c r="OAY1737" s="515"/>
      <c r="OAZ1737" s="515"/>
      <c r="OBA1737" s="515"/>
      <c r="OBB1737" s="515"/>
      <c r="OBC1737" s="515"/>
      <c r="OBD1737" s="515"/>
      <c r="OBE1737" s="515"/>
      <c r="OBF1737" s="515"/>
      <c r="OBG1737" s="515"/>
      <c r="OBH1737" s="515"/>
      <c r="OBI1737" s="515"/>
      <c r="OBJ1737" s="515"/>
      <c r="OBK1737" s="515"/>
      <c r="OBL1737" s="515"/>
      <c r="OBM1737" s="515"/>
      <c r="OBN1737" s="515"/>
      <c r="OBO1737" s="515"/>
      <c r="OBP1737" s="515"/>
      <c r="OBQ1737" s="515"/>
      <c r="OBR1737" s="515"/>
      <c r="OBS1737" s="515"/>
      <c r="OBT1737" s="515"/>
      <c r="OBU1737" s="515"/>
      <c r="OBV1737" s="515"/>
      <c r="OBW1737" s="515"/>
      <c r="OBX1737" s="515"/>
      <c r="OBY1737" s="515"/>
      <c r="OBZ1737" s="515"/>
      <c r="OCA1737" s="515"/>
      <c r="OCB1737" s="515"/>
      <c r="OCC1737" s="515"/>
      <c r="OCD1737" s="515"/>
      <c r="OCE1737" s="515"/>
      <c r="OCF1737" s="515"/>
      <c r="OCG1737" s="515"/>
      <c r="OCH1737" s="515"/>
      <c r="OCI1737" s="515"/>
      <c r="OCJ1737" s="515"/>
      <c r="OCK1737" s="515"/>
      <c r="OCL1737" s="515"/>
      <c r="OCM1737" s="515"/>
      <c r="OCN1737" s="515"/>
      <c r="OCO1737" s="515"/>
      <c r="OCP1737" s="515"/>
      <c r="OCQ1737" s="515"/>
      <c r="OCR1737" s="515"/>
      <c r="OCS1737" s="515"/>
      <c r="OCT1737" s="515"/>
      <c r="OCU1737" s="515"/>
      <c r="OCV1737" s="515"/>
      <c r="OCW1737" s="515"/>
      <c r="OCX1737" s="515"/>
      <c r="OCY1737" s="515"/>
      <c r="OCZ1737" s="515"/>
      <c r="ODA1737" s="515"/>
      <c r="ODB1737" s="515"/>
      <c r="ODC1737" s="515"/>
      <c r="ODD1737" s="515"/>
      <c r="ODE1737" s="515"/>
      <c r="ODF1737" s="515"/>
      <c r="ODG1737" s="515"/>
      <c r="ODH1737" s="515"/>
      <c r="ODI1737" s="515"/>
      <c r="ODJ1737" s="515"/>
      <c r="ODK1737" s="515"/>
      <c r="ODL1737" s="515"/>
      <c r="ODM1737" s="515"/>
      <c r="ODN1737" s="515"/>
      <c r="ODO1737" s="515"/>
      <c r="ODP1737" s="515"/>
      <c r="ODQ1737" s="515"/>
      <c r="ODR1737" s="515"/>
      <c r="ODS1737" s="515"/>
      <c r="ODT1737" s="515"/>
      <c r="ODU1737" s="515"/>
      <c r="ODV1737" s="515"/>
      <c r="ODW1737" s="515"/>
      <c r="ODX1737" s="515"/>
      <c r="ODY1737" s="515"/>
      <c r="ODZ1737" s="515"/>
      <c r="OEA1737" s="515"/>
      <c r="OEB1737" s="515"/>
      <c r="OEC1737" s="515"/>
      <c r="OED1737" s="515"/>
      <c r="OEE1737" s="515"/>
      <c r="OEF1737" s="515"/>
      <c r="OEG1737" s="515"/>
      <c r="OEH1737" s="515"/>
      <c r="OEI1737" s="515"/>
      <c r="OEJ1737" s="515"/>
      <c r="OEK1737" s="515"/>
      <c r="OEL1737" s="515"/>
      <c r="OEM1737" s="515"/>
      <c r="OEN1737" s="515"/>
      <c r="OEO1737" s="515"/>
      <c r="OEP1737" s="515"/>
      <c r="OEQ1737" s="515"/>
      <c r="OER1737" s="515"/>
      <c r="OES1737" s="515"/>
      <c r="OET1737" s="515"/>
      <c r="OEU1737" s="515"/>
      <c r="OEV1737" s="515"/>
      <c r="OEW1737" s="515"/>
      <c r="OEX1737" s="515"/>
      <c r="OEY1737" s="515"/>
      <c r="OEZ1737" s="515"/>
      <c r="OFA1737" s="515"/>
      <c r="OFB1737" s="515"/>
      <c r="OFC1737" s="515"/>
      <c r="OFD1737" s="515"/>
      <c r="OFE1737" s="515"/>
      <c r="OFF1737" s="515"/>
      <c r="OFG1737" s="515"/>
      <c r="OFH1737" s="515"/>
      <c r="OFI1737" s="515"/>
      <c r="OFJ1737" s="515"/>
      <c r="OFK1737" s="515"/>
      <c r="OFL1737" s="515"/>
      <c r="OFM1737" s="515"/>
      <c r="OFN1737" s="515"/>
      <c r="OFO1737" s="515"/>
      <c r="OFP1737" s="515"/>
      <c r="OFQ1737" s="515"/>
      <c r="OFR1737" s="515"/>
      <c r="OFS1737" s="515"/>
      <c r="OFT1737" s="515"/>
      <c r="OFU1737" s="515"/>
      <c r="OFV1737" s="515"/>
      <c r="OFW1737" s="515"/>
      <c r="OFX1737" s="515"/>
      <c r="OFY1737" s="515"/>
      <c r="OFZ1737" s="515"/>
      <c r="OGA1737" s="515"/>
      <c r="OGB1737" s="515"/>
      <c r="OGC1737" s="515"/>
      <c r="OGD1737" s="515"/>
      <c r="OGE1737" s="515"/>
      <c r="OGF1737" s="515"/>
      <c r="OGG1737" s="515"/>
      <c r="OGH1737" s="515"/>
      <c r="OGI1737" s="515"/>
      <c r="OGJ1737" s="515"/>
      <c r="OGK1737" s="515"/>
      <c r="OGL1737" s="515"/>
      <c r="OGM1737" s="515"/>
      <c r="OGN1737" s="515"/>
      <c r="OGO1737" s="515"/>
      <c r="OGP1737" s="515"/>
      <c r="OGQ1737" s="515"/>
      <c r="OGR1737" s="515"/>
      <c r="OGS1737" s="515"/>
      <c r="OGT1737" s="515"/>
      <c r="OGU1737" s="515"/>
      <c r="OGV1737" s="515"/>
      <c r="OGW1737" s="515"/>
      <c r="OGX1737" s="515"/>
      <c r="OGY1737" s="515"/>
      <c r="OGZ1737" s="515"/>
      <c r="OHA1737" s="515"/>
      <c r="OHB1737" s="515"/>
      <c r="OHC1737" s="515"/>
      <c r="OHD1737" s="515"/>
      <c r="OHE1737" s="515"/>
      <c r="OHF1737" s="515"/>
      <c r="OHG1737" s="515"/>
      <c r="OHH1737" s="515"/>
      <c r="OHI1737" s="515"/>
      <c r="OHJ1737" s="515"/>
      <c r="OHK1737" s="515"/>
      <c r="OHL1737" s="515"/>
      <c r="OHM1737" s="515"/>
      <c r="OHN1737" s="515"/>
      <c r="OHO1737" s="515"/>
      <c r="OHP1737" s="515"/>
      <c r="OHQ1737" s="515"/>
      <c r="OHR1737" s="515"/>
      <c r="OHS1737" s="515"/>
      <c r="OHT1737" s="515"/>
      <c r="OHU1737" s="515"/>
      <c r="OHV1737" s="515"/>
      <c r="OHW1737" s="515"/>
      <c r="OHX1737" s="515"/>
      <c r="OHY1737" s="515"/>
      <c r="OHZ1737" s="515"/>
      <c r="OIA1737" s="515"/>
      <c r="OIB1737" s="515"/>
      <c r="OIC1737" s="515"/>
      <c r="OID1737" s="515"/>
      <c r="OIE1737" s="515"/>
      <c r="OIF1737" s="515"/>
      <c r="OIG1737" s="515"/>
      <c r="OIH1737" s="515"/>
      <c r="OII1737" s="515"/>
      <c r="OIJ1737" s="515"/>
      <c r="OIK1737" s="515"/>
      <c r="OIL1737" s="515"/>
      <c r="OIM1737" s="515"/>
      <c r="OIN1737" s="515"/>
      <c r="OIO1737" s="515"/>
      <c r="OIP1737" s="515"/>
      <c r="OIQ1737" s="515"/>
      <c r="OIR1737" s="515"/>
      <c r="OIS1737" s="515"/>
      <c r="OIT1737" s="515"/>
      <c r="OIU1737" s="515"/>
      <c r="OIV1737" s="515"/>
      <c r="OIW1737" s="515"/>
      <c r="OIX1737" s="515"/>
      <c r="OIY1737" s="515"/>
      <c r="OIZ1737" s="515"/>
      <c r="OJA1737" s="515"/>
      <c r="OJB1737" s="515"/>
      <c r="OJC1737" s="515"/>
      <c r="OJD1737" s="515"/>
      <c r="OJE1737" s="515"/>
      <c r="OJF1737" s="515"/>
      <c r="OJG1737" s="515"/>
      <c r="OJH1737" s="515"/>
      <c r="OJI1737" s="515"/>
      <c r="OJJ1737" s="515"/>
      <c r="OJK1737" s="515"/>
      <c r="OJL1737" s="515"/>
      <c r="OJM1737" s="515"/>
      <c r="OJN1737" s="515"/>
      <c r="OJO1737" s="515"/>
      <c r="OJP1737" s="515"/>
      <c r="OJQ1737" s="515"/>
      <c r="OJR1737" s="515"/>
      <c r="OJS1737" s="515"/>
      <c r="OJT1737" s="515"/>
      <c r="OJU1737" s="515"/>
      <c r="OJV1737" s="515"/>
      <c r="OJW1737" s="515"/>
      <c r="OJX1737" s="515"/>
      <c r="OJY1737" s="515"/>
      <c r="OJZ1737" s="515"/>
      <c r="OKA1737" s="515"/>
      <c r="OKB1737" s="515"/>
      <c r="OKC1737" s="515"/>
      <c r="OKD1737" s="515"/>
      <c r="OKE1737" s="515"/>
      <c r="OKF1737" s="515"/>
      <c r="OKG1737" s="515"/>
      <c r="OKH1737" s="515"/>
      <c r="OKI1737" s="515"/>
      <c r="OKJ1737" s="515"/>
      <c r="OKK1737" s="515"/>
      <c r="OKL1737" s="515"/>
      <c r="OKM1737" s="515"/>
      <c r="OKN1737" s="515"/>
      <c r="OKO1737" s="515"/>
      <c r="OKP1737" s="515"/>
      <c r="OKQ1737" s="515"/>
      <c r="OKR1737" s="515"/>
      <c r="OKS1737" s="515"/>
      <c r="OKT1737" s="515"/>
      <c r="OKU1737" s="515"/>
      <c r="OKV1737" s="515"/>
      <c r="OKW1737" s="515"/>
      <c r="OKX1737" s="515"/>
      <c r="OKY1737" s="515"/>
      <c r="OKZ1737" s="515"/>
      <c r="OLA1737" s="515"/>
      <c r="OLB1737" s="515"/>
      <c r="OLC1737" s="515"/>
      <c r="OLD1737" s="515"/>
      <c r="OLE1737" s="515"/>
      <c r="OLF1737" s="515"/>
      <c r="OLG1737" s="515"/>
      <c r="OLH1737" s="515"/>
      <c r="OLI1737" s="515"/>
      <c r="OLJ1737" s="515"/>
      <c r="OLK1737" s="515"/>
      <c r="OLL1737" s="515"/>
      <c r="OLM1737" s="515"/>
      <c r="OLN1737" s="515"/>
      <c r="OLO1737" s="515"/>
      <c r="OLP1737" s="515"/>
      <c r="OLQ1737" s="515"/>
      <c r="OLR1737" s="515"/>
      <c r="OLS1737" s="515"/>
      <c r="OLT1737" s="515"/>
      <c r="OLU1737" s="515"/>
      <c r="OLV1737" s="515"/>
      <c r="OLW1737" s="515"/>
      <c r="OLX1737" s="515"/>
      <c r="OLY1737" s="515"/>
      <c r="OLZ1737" s="515"/>
      <c r="OMA1737" s="515"/>
      <c r="OMB1737" s="515"/>
      <c r="OMC1737" s="515"/>
      <c r="OMD1737" s="515"/>
      <c r="OME1737" s="515"/>
      <c r="OMF1737" s="515"/>
      <c r="OMG1737" s="515"/>
      <c r="OMH1737" s="515"/>
      <c r="OMI1737" s="515"/>
      <c r="OMJ1737" s="515"/>
      <c r="OMK1737" s="515"/>
      <c r="OML1737" s="515"/>
      <c r="OMM1737" s="515"/>
      <c r="OMN1737" s="515"/>
      <c r="OMO1737" s="515"/>
      <c r="OMP1737" s="515"/>
      <c r="OMQ1737" s="515"/>
      <c r="OMR1737" s="515"/>
      <c r="OMS1737" s="515"/>
      <c r="OMT1737" s="515"/>
      <c r="OMU1737" s="515"/>
      <c r="OMV1737" s="515"/>
      <c r="OMW1737" s="515"/>
      <c r="OMX1737" s="515"/>
      <c r="OMY1737" s="515"/>
      <c r="OMZ1737" s="515"/>
      <c r="ONA1737" s="515"/>
      <c r="ONB1737" s="515"/>
      <c r="ONC1737" s="515"/>
      <c r="OND1737" s="515"/>
      <c r="ONE1737" s="515"/>
      <c r="ONF1737" s="515"/>
      <c r="ONG1737" s="515"/>
      <c r="ONH1737" s="515"/>
      <c r="ONI1737" s="515"/>
      <c r="ONJ1737" s="515"/>
      <c r="ONK1737" s="515"/>
      <c r="ONL1737" s="515"/>
      <c r="ONM1737" s="515"/>
      <c r="ONN1737" s="515"/>
      <c r="ONO1737" s="515"/>
      <c r="ONP1737" s="515"/>
      <c r="ONQ1737" s="515"/>
      <c r="ONR1737" s="515"/>
      <c r="ONS1737" s="515"/>
      <c r="ONT1737" s="515"/>
      <c r="ONU1737" s="515"/>
      <c r="ONV1737" s="515"/>
      <c r="ONW1737" s="515"/>
      <c r="ONX1737" s="515"/>
      <c r="ONY1737" s="515"/>
      <c r="ONZ1737" s="515"/>
      <c r="OOA1737" s="515"/>
      <c r="OOB1737" s="515"/>
      <c r="OOC1737" s="515"/>
      <c r="OOD1737" s="515"/>
      <c r="OOE1737" s="515"/>
      <c r="OOF1737" s="515"/>
      <c r="OOG1737" s="515"/>
      <c r="OOH1737" s="515"/>
      <c r="OOI1737" s="515"/>
      <c r="OOJ1737" s="515"/>
      <c r="OOK1737" s="515"/>
      <c r="OOL1737" s="515"/>
      <c r="OOM1737" s="515"/>
      <c r="OON1737" s="515"/>
      <c r="OOO1737" s="515"/>
      <c r="OOP1737" s="515"/>
      <c r="OOQ1737" s="515"/>
      <c r="OOR1737" s="515"/>
      <c r="OOS1737" s="515"/>
      <c r="OOT1737" s="515"/>
      <c r="OOU1737" s="515"/>
      <c r="OOV1737" s="515"/>
      <c r="OOW1737" s="515"/>
      <c r="OOX1737" s="515"/>
      <c r="OOY1737" s="515"/>
      <c r="OOZ1737" s="515"/>
      <c r="OPA1737" s="515"/>
      <c r="OPB1737" s="515"/>
      <c r="OPC1737" s="515"/>
      <c r="OPD1737" s="515"/>
      <c r="OPE1737" s="515"/>
      <c r="OPF1737" s="515"/>
      <c r="OPG1737" s="515"/>
      <c r="OPH1737" s="515"/>
      <c r="OPI1737" s="515"/>
      <c r="OPJ1737" s="515"/>
      <c r="OPK1737" s="515"/>
      <c r="OPL1737" s="515"/>
      <c r="OPM1737" s="515"/>
      <c r="OPN1737" s="515"/>
      <c r="OPO1737" s="515"/>
      <c r="OPP1737" s="515"/>
      <c r="OPQ1737" s="515"/>
      <c r="OPR1737" s="515"/>
      <c r="OPS1737" s="515"/>
      <c r="OPT1737" s="515"/>
      <c r="OPU1737" s="515"/>
      <c r="OPV1737" s="515"/>
      <c r="OPW1737" s="515"/>
      <c r="OPX1737" s="515"/>
      <c r="OPY1737" s="515"/>
      <c r="OPZ1737" s="515"/>
      <c r="OQA1737" s="515"/>
      <c r="OQB1737" s="515"/>
      <c r="OQC1737" s="515"/>
      <c r="OQD1737" s="515"/>
      <c r="OQE1737" s="515"/>
      <c r="OQF1737" s="515"/>
      <c r="OQG1737" s="515"/>
      <c r="OQH1737" s="515"/>
      <c r="OQI1737" s="515"/>
      <c r="OQJ1737" s="515"/>
      <c r="OQK1737" s="515"/>
      <c r="OQL1737" s="515"/>
      <c r="OQM1737" s="515"/>
      <c r="OQN1737" s="515"/>
      <c r="OQO1737" s="515"/>
      <c r="OQP1737" s="515"/>
      <c r="OQQ1737" s="515"/>
      <c r="OQR1737" s="515"/>
      <c r="OQS1737" s="515"/>
      <c r="OQT1737" s="515"/>
      <c r="OQU1737" s="515"/>
      <c r="OQV1737" s="515"/>
      <c r="OQW1737" s="515"/>
      <c r="OQX1737" s="515"/>
      <c r="OQY1737" s="515"/>
      <c r="OQZ1737" s="515"/>
      <c r="ORA1737" s="515"/>
      <c r="ORB1737" s="515"/>
      <c r="ORC1737" s="515"/>
      <c r="ORD1737" s="515"/>
      <c r="ORE1737" s="515"/>
      <c r="ORF1737" s="515"/>
      <c r="ORG1737" s="515"/>
      <c r="ORH1737" s="515"/>
      <c r="ORI1737" s="515"/>
      <c r="ORJ1737" s="515"/>
      <c r="ORK1737" s="515"/>
      <c r="ORL1737" s="515"/>
      <c r="ORM1737" s="515"/>
      <c r="ORN1737" s="515"/>
      <c r="ORO1737" s="515"/>
      <c r="ORP1737" s="515"/>
      <c r="ORQ1737" s="515"/>
      <c r="ORR1737" s="515"/>
      <c r="ORS1737" s="515"/>
      <c r="ORT1737" s="515"/>
      <c r="ORU1737" s="515"/>
      <c r="ORV1737" s="515"/>
      <c r="ORW1737" s="515"/>
      <c r="ORX1737" s="515"/>
      <c r="ORY1737" s="515"/>
      <c r="ORZ1737" s="515"/>
      <c r="OSA1737" s="515"/>
      <c r="OSB1737" s="515"/>
      <c r="OSC1737" s="515"/>
      <c r="OSD1737" s="515"/>
      <c r="OSE1737" s="515"/>
      <c r="OSF1737" s="515"/>
      <c r="OSG1737" s="515"/>
      <c r="OSH1737" s="515"/>
      <c r="OSI1737" s="515"/>
      <c r="OSJ1737" s="515"/>
      <c r="OSK1737" s="515"/>
      <c r="OSL1737" s="515"/>
      <c r="OSM1737" s="515"/>
      <c r="OSN1737" s="515"/>
      <c r="OSO1737" s="515"/>
      <c r="OSP1737" s="515"/>
      <c r="OSQ1737" s="515"/>
      <c r="OSR1737" s="515"/>
      <c r="OSS1737" s="515"/>
      <c r="OST1737" s="515"/>
      <c r="OSU1737" s="515"/>
      <c r="OSV1737" s="515"/>
      <c r="OSW1737" s="515"/>
      <c r="OSX1737" s="515"/>
      <c r="OSY1737" s="515"/>
      <c r="OSZ1737" s="515"/>
      <c r="OTA1737" s="515"/>
      <c r="OTB1737" s="515"/>
      <c r="OTC1737" s="515"/>
      <c r="OTD1737" s="515"/>
      <c r="OTE1737" s="515"/>
      <c r="OTF1737" s="515"/>
      <c r="OTG1737" s="515"/>
      <c r="OTH1737" s="515"/>
      <c r="OTI1737" s="515"/>
      <c r="OTJ1737" s="515"/>
      <c r="OTK1737" s="515"/>
      <c r="OTL1737" s="515"/>
      <c r="OTM1737" s="515"/>
      <c r="OTN1737" s="515"/>
      <c r="OTO1737" s="515"/>
      <c r="OTP1737" s="515"/>
      <c r="OTQ1737" s="515"/>
      <c r="OTR1737" s="515"/>
      <c r="OTS1737" s="515"/>
      <c r="OTT1737" s="515"/>
      <c r="OTU1737" s="515"/>
      <c r="OTV1737" s="515"/>
      <c r="OTW1737" s="515"/>
      <c r="OTX1737" s="515"/>
      <c r="OTY1737" s="515"/>
      <c r="OTZ1737" s="515"/>
      <c r="OUA1737" s="515"/>
      <c r="OUB1737" s="515"/>
      <c r="OUC1737" s="515"/>
      <c r="OUD1737" s="515"/>
      <c r="OUE1737" s="515"/>
      <c r="OUF1737" s="515"/>
      <c r="OUG1737" s="515"/>
      <c r="OUH1737" s="515"/>
      <c r="OUI1737" s="515"/>
      <c r="OUJ1737" s="515"/>
      <c r="OUK1737" s="515"/>
      <c r="OUL1737" s="515"/>
      <c r="OUM1737" s="515"/>
      <c r="OUN1737" s="515"/>
      <c r="OUO1737" s="515"/>
      <c r="OUP1737" s="515"/>
      <c r="OUQ1737" s="515"/>
      <c r="OUR1737" s="515"/>
      <c r="OUS1737" s="515"/>
      <c r="OUT1737" s="515"/>
      <c r="OUU1737" s="515"/>
      <c r="OUV1737" s="515"/>
      <c r="OUW1737" s="515"/>
      <c r="OUX1737" s="515"/>
      <c r="OUY1737" s="515"/>
      <c r="OUZ1737" s="515"/>
      <c r="OVA1737" s="515"/>
      <c r="OVB1737" s="515"/>
      <c r="OVC1737" s="515"/>
      <c r="OVD1737" s="515"/>
      <c r="OVE1737" s="515"/>
      <c r="OVF1737" s="515"/>
      <c r="OVG1737" s="515"/>
      <c r="OVH1737" s="515"/>
      <c r="OVI1737" s="515"/>
      <c r="OVJ1737" s="515"/>
      <c r="OVK1737" s="515"/>
      <c r="OVL1737" s="515"/>
      <c r="OVM1737" s="515"/>
      <c r="OVN1737" s="515"/>
      <c r="OVO1737" s="515"/>
      <c r="OVP1737" s="515"/>
      <c r="OVQ1737" s="515"/>
      <c r="OVR1737" s="515"/>
      <c r="OVS1737" s="515"/>
      <c r="OVT1737" s="515"/>
      <c r="OVU1737" s="515"/>
      <c r="OVV1737" s="515"/>
      <c r="OVW1737" s="515"/>
      <c r="OVX1737" s="515"/>
      <c r="OVY1737" s="515"/>
      <c r="OVZ1737" s="515"/>
      <c r="OWA1737" s="515"/>
      <c r="OWB1737" s="515"/>
      <c r="OWC1737" s="515"/>
      <c r="OWD1737" s="515"/>
      <c r="OWE1737" s="515"/>
      <c r="OWF1737" s="515"/>
      <c r="OWG1737" s="515"/>
      <c r="OWH1737" s="515"/>
      <c r="OWI1737" s="515"/>
      <c r="OWJ1737" s="515"/>
      <c r="OWK1737" s="515"/>
      <c r="OWL1737" s="515"/>
      <c r="OWM1737" s="515"/>
      <c r="OWN1737" s="515"/>
      <c r="OWO1737" s="515"/>
      <c r="OWP1737" s="515"/>
      <c r="OWQ1737" s="515"/>
      <c r="OWR1737" s="515"/>
      <c r="OWS1737" s="515"/>
      <c r="OWT1737" s="515"/>
      <c r="OWU1737" s="515"/>
      <c r="OWV1737" s="515"/>
      <c r="OWW1737" s="515"/>
      <c r="OWX1737" s="515"/>
      <c r="OWY1737" s="515"/>
      <c r="OWZ1737" s="515"/>
      <c r="OXA1737" s="515"/>
      <c r="OXB1737" s="515"/>
      <c r="OXC1737" s="515"/>
      <c r="OXD1737" s="515"/>
      <c r="OXE1737" s="515"/>
      <c r="OXF1737" s="515"/>
      <c r="OXG1737" s="515"/>
      <c r="OXH1737" s="515"/>
      <c r="OXI1737" s="515"/>
      <c r="OXJ1737" s="515"/>
      <c r="OXK1737" s="515"/>
      <c r="OXL1737" s="515"/>
      <c r="OXM1737" s="515"/>
      <c r="OXN1737" s="515"/>
      <c r="OXO1737" s="515"/>
      <c r="OXP1737" s="515"/>
      <c r="OXQ1737" s="515"/>
      <c r="OXR1737" s="515"/>
      <c r="OXS1737" s="515"/>
      <c r="OXT1737" s="515"/>
      <c r="OXU1737" s="515"/>
      <c r="OXV1737" s="515"/>
      <c r="OXW1737" s="515"/>
      <c r="OXX1737" s="515"/>
      <c r="OXY1737" s="515"/>
      <c r="OXZ1737" s="515"/>
      <c r="OYA1737" s="515"/>
      <c r="OYB1737" s="515"/>
      <c r="OYC1737" s="515"/>
      <c r="OYD1737" s="515"/>
      <c r="OYE1737" s="515"/>
      <c r="OYF1737" s="515"/>
      <c r="OYG1737" s="515"/>
      <c r="OYH1737" s="515"/>
      <c r="OYI1737" s="515"/>
      <c r="OYJ1737" s="515"/>
      <c r="OYK1737" s="515"/>
      <c r="OYL1737" s="515"/>
      <c r="OYM1737" s="515"/>
      <c r="OYN1737" s="515"/>
      <c r="OYO1737" s="515"/>
      <c r="OYP1737" s="515"/>
      <c r="OYQ1737" s="515"/>
      <c r="OYR1737" s="515"/>
      <c r="OYS1737" s="515"/>
      <c r="OYT1737" s="515"/>
      <c r="OYU1737" s="515"/>
      <c r="OYV1737" s="515"/>
      <c r="OYW1737" s="515"/>
      <c r="OYX1737" s="515"/>
      <c r="OYY1737" s="515"/>
      <c r="OYZ1737" s="515"/>
      <c r="OZA1737" s="515"/>
      <c r="OZB1737" s="515"/>
      <c r="OZC1737" s="515"/>
      <c r="OZD1737" s="515"/>
      <c r="OZE1737" s="515"/>
      <c r="OZF1737" s="515"/>
      <c r="OZG1737" s="515"/>
      <c r="OZH1737" s="515"/>
      <c r="OZI1737" s="515"/>
      <c r="OZJ1737" s="515"/>
      <c r="OZK1737" s="515"/>
      <c r="OZL1737" s="515"/>
      <c r="OZM1737" s="515"/>
      <c r="OZN1737" s="515"/>
      <c r="OZO1737" s="515"/>
      <c r="OZP1737" s="515"/>
      <c r="OZQ1737" s="515"/>
      <c r="OZR1737" s="515"/>
      <c r="OZS1737" s="515"/>
      <c r="OZT1737" s="515"/>
      <c r="OZU1737" s="515"/>
      <c r="OZV1737" s="515"/>
      <c r="OZW1737" s="515"/>
      <c r="OZX1737" s="515"/>
      <c r="OZY1737" s="515"/>
      <c r="OZZ1737" s="515"/>
      <c r="PAA1737" s="515"/>
      <c r="PAB1737" s="515"/>
      <c r="PAC1737" s="515"/>
      <c r="PAD1737" s="515"/>
      <c r="PAE1737" s="515"/>
      <c r="PAF1737" s="515"/>
      <c r="PAG1737" s="515"/>
      <c r="PAH1737" s="515"/>
      <c r="PAI1737" s="515"/>
      <c r="PAJ1737" s="515"/>
      <c r="PAK1737" s="515"/>
      <c r="PAL1737" s="515"/>
      <c r="PAM1737" s="515"/>
      <c r="PAN1737" s="515"/>
      <c r="PAO1737" s="515"/>
      <c r="PAP1737" s="515"/>
      <c r="PAQ1737" s="515"/>
      <c r="PAR1737" s="515"/>
      <c r="PAS1737" s="515"/>
      <c r="PAT1737" s="515"/>
      <c r="PAU1737" s="515"/>
      <c r="PAV1737" s="515"/>
      <c r="PAW1737" s="515"/>
      <c r="PAX1737" s="515"/>
      <c r="PAY1737" s="515"/>
      <c r="PAZ1737" s="515"/>
      <c r="PBA1737" s="515"/>
      <c r="PBB1737" s="515"/>
      <c r="PBC1737" s="515"/>
      <c r="PBD1737" s="515"/>
      <c r="PBE1737" s="515"/>
      <c r="PBF1737" s="515"/>
      <c r="PBG1737" s="515"/>
      <c r="PBH1737" s="515"/>
      <c r="PBI1737" s="515"/>
      <c r="PBJ1737" s="515"/>
      <c r="PBK1737" s="515"/>
      <c r="PBL1737" s="515"/>
      <c r="PBM1737" s="515"/>
      <c r="PBN1737" s="515"/>
      <c r="PBO1737" s="515"/>
      <c r="PBP1737" s="515"/>
      <c r="PBQ1737" s="515"/>
      <c r="PBR1737" s="515"/>
      <c r="PBS1737" s="515"/>
      <c r="PBT1737" s="515"/>
      <c r="PBU1737" s="515"/>
      <c r="PBV1737" s="515"/>
      <c r="PBW1737" s="515"/>
      <c r="PBX1737" s="515"/>
      <c r="PBY1737" s="515"/>
      <c r="PBZ1737" s="515"/>
      <c r="PCA1737" s="515"/>
      <c r="PCB1737" s="515"/>
      <c r="PCC1737" s="515"/>
      <c r="PCD1737" s="515"/>
      <c r="PCE1737" s="515"/>
      <c r="PCF1737" s="515"/>
      <c r="PCG1737" s="515"/>
      <c r="PCH1737" s="515"/>
      <c r="PCI1737" s="515"/>
      <c r="PCJ1737" s="515"/>
      <c r="PCK1737" s="515"/>
      <c r="PCL1737" s="515"/>
      <c r="PCM1737" s="515"/>
      <c r="PCN1737" s="515"/>
      <c r="PCO1737" s="515"/>
      <c r="PCP1737" s="515"/>
      <c r="PCQ1737" s="515"/>
      <c r="PCR1737" s="515"/>
      <c r="PCS1737" s="515"/>
      <c r="PCT1737" s="515"/>
      <c r="PCU1737" s="515"/>
      <c r="PCV1737" s="515"/>
      <c r="PCW1737" s="515"/>
      <c r="PCX1737" s="515"/>
      <c r="PCY1737" s="515"/>
      <c r="PCZ1737" s="515"/>
      <c r="PDA1737" s="515"/>
      <c r="PDB1737" s="515"/>
      <c r="PDC1737" s="515"/>
      <c r="PDD1737" s="515"/>
      <c r="PDE1737" s="515"/>
      <c r="PDF1737" s="515"/>
      <c r="PDG1737" s="515"/>
      <c r="PDH1737" s="515"/>
      <c r="PDI1737" s="515"/>
      <c r="PDJ1737" s="515"/>
      <c r="PDK1737" s="515"/>
      <c r="PDL1737" s="515"/>
      <c r="PDM1737" s="515"/>
      <c r="PDN1737" s="515"/>
      <c r="PDO1737" s="515"/>
      <c r="PDP1737" s="515"/>
      <c r="PDQ1737" s="515"/>
      <c r="PDR1737" s="515"/>
      <c r="PDS1737" s="515"/>
      <c r="PDT1737" s="515"/>
      <c r="PDU1737" s="515"/>
      <c r="PDV1737" s="515"/>
      <c r="PDW1737" s="515"/>
      <c r="PDX1737" s="515"/>
      <c r="PDY1737" s="515"/>
      <c r="PDZ1737" s="515"/>
      <c r="PEA1737" s="515"/>
      <c r="PEB1737" s="515"/>
      <c r="PEC1737" s="515"/>
      <c r="PED1737" s="515"/>
      <c r="PEE1737" s="515"/>
      <c r="PEF1737" s="515"/>
      <c r="PEG1737" s="515"/>
      <c r="PEH1737" s="515"/>
      <c r="PEI1737" s="515"/>
      <c r="PEJ1737" s="515"/>
      <c r="PEK1737" s="515"/>
      <c r="PEL1737" s="515"/>
      <c r="PEM1737" s="515"/>
      <c r="PEN1737" s="515"/>
      <c r="PEO1737" s="515"/>
      <c r="PEP1737" s="515"/>
      <c r="PEQ1737" s="515"/>
      <c r="PER1737" s="515"/>
      <c r="PES1737" s="515"/>
      <c r="PET1737" s="515"/>
      <c r="PEU1737" s="515"/>
      <c r="PEV1737" s="515"/>
      <c r="PEW1737" s="515"/>
      <c r="PEX1737" s="515"/>
      <c r="PEY1737" s="515"/>
      <c r="PEZ1737" s="515"/>
      <c r="PFA1737" s="515"/>
      <c r="PFB1737" s="515"/>
      <c r="PFC1737" s="515"/>
      <c r="PFD1737" s="515"/>
      <c r="PFE1737" s="515"/>
      <c r="PFF1737" s="515"/>
      <c r="PFG1737" s="515"/>
      <c r="PFH1737" s="515"/>
      <c r="PFI1737" s="515"/>
      <c r="PFJ1737" s="515"/>
      <c r="PFK1737" s="515"/>
      <c r="PFL1737" s="515"/>
      <c r="PFM1737" s="515"/>
      <c r="PFN1737" s="515"/>
      <c r="PFO1737" s="515"/>
      <c r="PFP1737" s="515"/>
      <c r="PFQ1737" s="515"/>
      <c r="PFR1737" s="515"/>
      <c r="PFS1737" s="515"/>
      <c r="PFT1737" s="515"/>
      <c r="PFU1737" s="515"/>
      <c r="PFV1737" s="515"/>
      <c r="PFW1737" s="515"/>
      <c r="PFX1737" s="515"/>
      <c r="PFY1737" s="515"/>
      <c r="PFZ1737" s="515"/>
      <c r="PGA1737" s="515"/>
      <c r="PGB1737" s="515"/>
      <c r="PGC1737" s="515"/>
      <c r="PGD1737" s="515"/>
      <c r="PGE1737" s="515"/>
      <c r="PGF1737" s="515"/>
      <c r="PGG1737" s="515"/>
      <c r="PGH1737" s="515"/>
      <c r="PGI1737" s="515"/>
      <c r="PGJ1737" s="515"/>
      <c r="PGK1737" s="515"/>
      <c r="PGL1737" s="515"/>
      <c r="PGM1737" s="515"/>
      <c r="PGN1737" s="515"/>
      <c r="PGO1737" s="515"/>
      <c r="PGP1737" s="515"/>
      <c r="PGQ1737" s="515"/>
      <c r="PGR1737" s="515"/>
      <c r="PGS1737" s="515"/>
      <c r="PGT1737" s="515"/>
      <c r="PGU1737" s="515"/>
      <c r="PGV1737" s="515"/>
      <c r="PGW1737" s="515"/>
      <c r="PGX1737" s="515"/>
      <c r="PGY1737" s="515"/>
      <c r="PGZ1737" s="515"/>
      <c r="PHA1737" s="515"/>
      <c r="PHB1737" s="515"/>
      <c r="PHC1737" s="515"/>
      <c r="PHD1737" s="515"/>
      <c r="PHE1737" s="515"/>
      <c r="PHF1737" s="515"/>
      <c r="PHG1737" s="515"/>
      <c r="PHH1737" s="515"/>
      <c r="PHI1737" s="515"/>
      <c r="PHJ1737" s="515"/>
      <c r="PHK1737" s="515"/>
      <c r="PHL1737" s="515"/>
      <c r="PHM1737" s="515"/>
      <c r="PHN1737" s="515"/>
      <c r="PHO1737" s="515"/>
      <c r="PHP1737" s="515"/>
      <c r="PHQ1737" s="515"/>
      <c r="PHR1737" s="515"/>
      <c r="PHS1737" s="515"/>
      <c r="PHT1737" s="515"/>
      <c r="PHU1737" s="515"/>
      <c r="PHV1737" s="515"/>
      <c r="PHW1737" s="515"/>
      <c r="PHX1737" s="515"/>
      <c r="PHY1737" s="515"/>
      <c r="PHZ1737" s="515"/>
      <c r="PIA1737" s="515"/>
      <c r="PIB1737" s="515"/>
      <c r="PIC1737" s="515"/>
      <c r="PID1737" s="515"/>
      <c r="PIE1737" s="515"/>
      <c r="PIF1737" s="515"/>
      <c r="PIG1737" s="515"/>
      <c r="PIH1737" s="515"/>
      <c r="PII1737" s="515"/>
      <c r="PIJ1737" s="515"/>
      <c r="PIK1737" s="515"/>
      <c r="PIL1737" s="515"/>
      <c r="PIM1737" s="515"/>
      <c r="PIN1737" s="515"/>
      <c r="PIO1737" s="515"/>
      <c r="PIP1737" s="515"/>
      <c r="PIQ1737" s="515"/>
      <c r="PIR1737" s="515"/>
      <c r="PIS1737" s="515"/>
      <c r="PIT1737" s="515"/>
      <c r="PIU1737" s="515"/>
      <c r="PIV1737" s="515"/>
      <c r="PIW1737" s="515"/>
      <c r="PIX1737" s="515"/>
      <c r="PIY1737" s="515"/>
      <c r="PIZ1737" s="515"/>
      <c r="PJA1737" s="515"/>
      <c r="PJB1737" s="515"/>
      <c r="PJC1737" s="515"/>
      <c r="PJD1737" s="515"/>
      <c r="PJE1737" s="515"/>
      <c r="PJF1737" s="515"/>
      <c r="PJG1737" s="515"/>
      <c r="PJH1737" s="515"/>
      <c r="PJI1737" s="515"/>
      <c r="PJJ1737" s="515"/>
      <c r="PJK1737" s="515"/>
      <c r="PJL1737" s="515"/>
      <c r="PJM1737" s="515"/>
      <c r="PJN1737" s="515"/>
      <c r="PJO1737" s="515"/>
      <c r="PJP1737" s="515"/>
      <c r="PJQ1737" s="515"/>
      <c r="PJR1737" s="515"/>
      <c r="PJS1737" s="515"/>
      <c r="PJT1737" s="515"/>
      <c r="PJU1737" s="515"/>
      <c r="PJV1737" s="515"/>
      <c r="PJW1737" s="515"/>
      <c r="PJX1737" s="515"/>
      <c r="PJY1737" s="515"/>
      <c r="PJZ1737" s="515"/>
      <c r="PKA1737" s="515"/>
      <c r="PKB1737" s="515"/>
      <c r="PKC1737" s="515"/>
      <c r="PKD1737" s="515"/>
      <c r="PKE1737" s="515"/>
      <c r="PKF1737" s="515"/>
      <c r="PKG1737" s="515"/>
      <c r="PKH1737" s="515"/>
      <c r="PKI1737" s="515"/>
      <c r="PKJ1737" s="515"/>
      <c r="PKK1737" s="515"/>
      <c r="PKL1737" s="515"/>
      <c r="PKM1737" s="515"/>
      <c r="PKN1737" s="515"/>
      <c r="PKO1737" s="515"/>
      <c r="PKP1737" s="515"/>
      <c r="PKQ1737" s="515"/>
      <c r="PKR1737" s="515"/>
      <c r="PKS1737" s="515"/>
      <c r="PKT1737" s="515"/>
      <c r="PKU1737" s="515"/>
      <c r="PKV1737" s="515"/>
      <c r="PKW1737" s="515"/>
      <c r="PKX1737" s="515"/>
      <c r="PKY1737" s="515"/>
      <c r="PKZ1737" s="515"/>
      <c r="PLA1737" s="515"/>
      <c r="PLB1737" s="515"/>
      <c r="PLC1737" s="515"/>
      <c r="PLD1737" s="515"/>
      <c r="PLE1737" s="515"/>
      <c r="PLF1737" s="515"/>
      <c r="PLG1737" s="515"/>
      <c r="PLH1737" s="515"/>
      <c r="PLI1737" s="515"/>
      <c r="PLJ1737" s="515"/>
      <c r="PLK1737" s="515"/>
      <c r="PLL1737" s="515"/>
      <c r="PLM1737" s="515"/>
      <c r="PLN1737" s="515"/>
      <c r="PLO1737" s="515"/>
      <c r="PLP1737" s="515"/>
      <c r="PLQ1737" s="515"/>
      <c r="PLR1737" s="515"/>
      <c r="PLS1737" s="515"/>
      <c r="PLT1737" s="515"/>
      <c r="PLU1737" s="515"/>
      <c r="PLV1737" s="515"/>
      <c r="PLW1737" s="515"/>
      <c r="PLX1737" s="515"/>
      <c r="PLY1737" s="515"/>
      <c r="PLZ1737" s="515"/>
      <c r="PMA1737" s="515"/>
      <c r="PMB1737" s="515"/>
      <c r="PMC1737" s="515"/>
      <c r="PMD1737" s="515"/>
      <c r="PME1737" s="515"/>
      <c r="PMF1737" s="515"/>
      <c r="PMG1737" s="515"/>
      <c r="PMH1737" s="515"/>
      <c r="PMI1737" s="515"/>
      <c r="PMJ1737" s="515"/>
      <c r="PMK1737" s="515"/>
      <c r="PML1737" s="515"/>
      <c r="PMM1737" s="515"/>
      <c r="PMN1737" s="515"/>
      <c r="PMO1737" s="515"/>
      <c r="PMP1737" s="515"/>
      <c r="PMQ1737" s="515"/>
      <c r="PMR1737" s="515"/>
      <c r="PMS1737" s="515"/>
      <c r="PMT1737" s="515"/>
      <c r="PMU1737" s="515"/>
      <c r="PMV1737" s="515"/>
      <c r="PMW1737" s="515"/>
      <c r="PMX1737" s="515"/>
      <c r="PMY1737" s="515"/>
      <c r="PMZ1737" s="515"/>
      <c r="PNA1737" s="515"/>
      <c r="PNB1737" s="515"/>
      <c r="PNC1737" s="515"/>
      <c r="PND1737" s="515"/>
      <c r="PNE1737" s="515"/>
      <c r="PNF1737" s="515"/>
      <c r="PNG1737" s="515"/>
      <c r="PNH1737" s="515"/>
      <c r="PNI1737" s="515"/>
      <c r="PNJ1737" s="515"/>
      <c r="PNK1737" s="515"/>
      <c r="PNL1737" s="515"/>
      <c r="PNM1737" s="515"/>
      <c r="PNN1737" s="515"/>
      <c r="PNO1737" s="515"/>
      <c r="PNP1737" s="515"/>
      <c r="PNQ1737" s="515"/>
      <c r="PNR1737" s="515"/>
      <c r="PNS1737" s="515"/>
      <c r="PNT1737" s="515"/>
      <c r="PNU1737" s="515"/>
      <c r="PNV1737" s="515"/>
      <c r="PNW1737" s="515"/>
      <c r="PNX1737" s="515"/>
      <c r="PNY1737" s="515"/>
      <c r="PNZ1737" s="515"/>
      <c r="POA1737" s="515"/>
      <c r="POB1737" s="515"/>
      <c r="POC1737" s="515"/>
      <c r="POD1737" s="515"/>
      <c r="POE1737" s="515"/>
      <c r="POF1737" s="515"/>
      <c r="POG1737" s="515"/>
      <c r="POH1737" s="515"/>
      <c r="POI1737" s="515"/>
      <c r="POJ1737" s="515"/>
      <c r="POK1737" s="515"/>
      <c r="POL1737" s="515"/>
      <c r="POM1737" s="515"/>
      <c r="PON1737" s="515"/>
      <c r="POO1737" s="515"/>
      <c r="POP1737" s="515"/>
      <c r="POQ1737" s="515"/>
      <c r="POR1737" s="515"/>
      <c r="POS1737" s="515"/>
      <c r="POT1737" s="515"/>
      <c r="POU1737" s="515"/>
      <c r="POV1737" s="515"/>
      <c r="POW1737" s="515"/>
      <c r="POX1737" s="515"/>
      <c r="POY1737" s="515"/>
      <c r="POZ1737" s="515"/>
      <c r="PPA1737" s="515"/>
      <c r="PPB1737" s="515"/>
      <c r="PPC1737" s="515"/>
      <c r="PPD1737" s="515"/>
      <c r="PPE1737" s="515"/>
      <c r="PPF1737" s="515"/>
      <c r="PPG1737" s="515"/>
      <c r="PPH1737" s="515"/>
      <c r="PPI1737" s="515"/>
      <c r="PPJ1737" s="515"/>
      <c r="PPK1737" s="515"/>
      <c r="PPL1737" s="515"/>
      <c r="PPM1737" s="515"/>
      <c r="PPN1737" s="515"/>
      <c r="PPO1737" s="515"/>
      <c r="PPP1737" s="515"/>
      <c r="PPQ1737" s="515"/>
      <c r="PPR1737" s="515"/>
      <c r="PPS1737" s="515"/>
      <c r="PPT1737" s="515"/>
      <c r="PPU1737" s="515"/>
      <c r="PPV1737" s="515"/>
      <c r="PPW1737" s="515"/>
      <c r="PPX1737" s="515"/>
      <c r="PPY1737" s="515"/>
      <c r="PPZ1737" s="515"/>
      <c r="PQA1737" s="515"/>
      <c r="PQB1737" s="515"/>
      <c r="PQC1737" s="515"/>
      <c r="PQD1737" s="515"/>
      <c r="PQE1737" s="515"/>
      <c r="PQF1737" s="515"/>
      <c r="PQG1737" s="515"/>
      <c r="PQH1737" s="515"/>
      <c r="PQI1737" s="515"/>
      <c r="PQJ1737" s="515"/>
      <c r="PQK1737" s="515"/>
      <c r="PQL1737" s="515"/>
      <c r="PQM1737" s="515"/>
      <c r="PQN1737" s="515"/>
      <c r="PQO1737" s="515"/>
      <c r="PQP1737" s="515"/>
      <c r="PQQ1737" s="515"/>
      <c r="PQR1737" s="515"/>
      <c r="PQS1737" s="515"/>
      <c r="PQT1737" s="515"/>
      <c r="PQU1737" s="515"/>
      <c r="PQV1737" s="515"/>
      <c r="PQW1737" s="515"/>
      <c r="PQX1737" s="515"/>
      <c r="PQY1737" s="515"/>
      <c r="PQZ1737" s="515"/>
      <c r="PRA1737" s="515"/>
      <c r="PRB1737" s="515"/>
      <c r="PRC1737" s="515"/>
      <c r="PRD1737" s="515"/>
      <c r="PRE1737" s="515"/>
      <c r="PRF1737" s="515"/>
      <c r="PRG1737" s="515"/>
      <c r="PRH1737" s="515"/>
      <c r="PRI1737" s="515"/>
      <c r="PRJ1737" s="515"/>
      <c r="PRK1737" s="515"/>
      <c r="PRL1737" s="515"/>
      <c r="PRM1737" s="515"/>
      <c r="PRN1737" s="515"/>
      <c r="PRO1737" s="515"/>
      <c r="PRP1737" s="515"/>
      <c r="PRQ1737" s="515"/>
      <c r="PRR1737" s="515"/>
      <c r="PRS1737" s="515"/>
      <c r="PRT1737" s="515"/>
      <c r="PRU1737" s="515"/>
      <c r="PRV1737" s="515"/>
      <c r="PRW1737" s="515"/>
      <c r="PRX1737" s="515"/>
      <c r="PRY1737" s="515"/>
      <c r="PRZ1737" s="515"/>
      <c r="PSA1737" s="515"/>
      <c r="PSB1737" s="515"/>
      <c r="PSC1737" s="515"/>
      <c r="PSD1737" s="515"/>
      <c r="PSE1737" s="515"/>
      <c r="PSF1737" s="515"/>
      <c r="PSG1737" s="515"/>
      <c r="PSH1737" s="515"/>
      <c r="PSI1737" s="515"/>
      <c r="PSJ1737" s="515"/>
      <c r="PSK1737" s="515"/>
      <c r="PSL1737" s="515"/>
      <c r="PSM1737" s="515"/>
      <c r="PSN1737" s="515"/>
      <c r="PSO1737" s="515"/>
      <c r="PSP1737" s="515"/>
      <c r="PSQ1737" s="515"/>
      <c r="PSR1737" s="515"/>
      <c r="PSS1737" s="515"/>
      <c r="PST1737" s="515"/>
      <c r="PSU1737" s="515"/>
      <c r="PSV1737" s="515"/>
      <c r="PSW1737" s="515"/>
      <c r="PSX1737" s="515"/>
      <c r="PSY1737" s="515"/>
      <c r="PSZ1737" s="515"/>
      <c r="PTA1737" s="515"/>
      <c r="PTB1737" s="515"/>
      <c r="PTC1737" s="515"/>
      <c r="PTD1737" s="515"/>
      <c r="PTE1737" s="515"/>
      <c r="PTF1737" s="515"/>
      <c r="PTG1737" s="515"/>
      <c r="PTH1737" s="515"/>
      <c r="PTI1737" s="515"/>
      <c r="PTJ1737" s="515"/>
      <c r="PTK1737" s="515"/>
      <c r="PTL1737" s="515"/>
      <c r="PTM1737" s="515"/>
      <c r="PTN1737" s="515"/>
      <c r="PTO1737" s="515"/>
      <c r="PTP1737" s="515"/>
      <c r="PTQ1737" s="515"/>
      <c r="PTR1737" s="515"/>
      <c r="PTS1737" s="515"/>
      <c r="PTT1737" s="515"/>
      <c r="PTU1737" s="515"/>
      <c r="PTV1737" s="515"/>
      <c r="PTW1737" s="515"/>
      <c r="PTX1737" s="515"/>
      <c r="PTY1737" s="515"/>
      <c r="PTZ1737" s="515"/>
      <c r="PUA1737" s="515"/>
      <c r="PUB1737" s="515"/>
      <c r="PUC1737" s="515"/>
      <c r="PUD1737" s="515"/>
      <c r="PUE1737" s="515"/>
      <c r="PUF1737" s="515"/>
      <c r="PUG1737" s="515"/>
      <c r="PUH1737" s="515"/>
      <c r="PUI1737" s="515"/>
      <c r="PUJ1737" s="515"/>
      <c r="PUK1737" s="515"/>
      <c r="PUL1737" s="515"/>
      <c r="PUM1737" s="515"/>
      <c r="PUN1737" s="515"/>
      <c r="PUO1737" s="515"/>
      <c r="PUP1737" s="515"/>
      <c r="PUQ1737" s="515"/>
      <c r="PUR1737" s="515"/>
      <c r="PUS1737" s="515"/>
      <c r="PUT1737" s="515"/>
      <c r="PUU1737" s="515"/>
      <c r="PUV1737" s="515"/>
      <c r="PUW1737" s="515"/>
      <c r="PUX1737" s="515"/>
      <c r="PUY1737" s="515"/>
      <c r="PUZ1737" s="515"/>
      <c r="PVA1737" s="515"/>
      <c r="PVB1737" s="515"/>
      <c r="PVC1737" s="515"/>
      <c r="PVD1737" s="515"/>
      <c r="PVE1737" s="515"/>
      <c r="PVF1737" s="515"/>
      <c r="PVG1737" s="515"/>
      <c r="PVH1737" s="515"/>
      <c r="PVI1737" s="515"/>
      <c r="PVJ1737" s="515"/>
      <c r="PVK1737" s="515"/>
      <c r="PVL1737" s="515"/>
      <c r="PVM1737" s="515"/>
      <c r="PVN1737" s="515"/>
      <c r="PVO1737" s="515"/>
      <c r="PVP1737" s="515"/>
      <c r="PVQ1737" s="515"/>
      <c r="PVR1737" s="515"/>
      <c r="PVS1737" s="515"/>
      <c r="PVT1737" s="515"/>
      <c r="PVU1737" s="515"/>
      <c r="PVV1737" s="515"/>
      <c r="PVW1737" s="515"/>
      <c r="PVX1737" s="515"/>
      <c r="PVY1737" s="515"/>
      <c r="PVZ1737" s="515"/>
      <c r="PWA1737" s="515"/>
      <c r="PWB1737" s="515"/>
      <c r="PWC1737" s="515"/>
      <c r="PWD1737" s="515"/>
      <c r="PWE1737" s="515"/>
      <c r="PWF1737" s="515"/>
      <c r="PWG1737" s="515"/>
      <c r="PWH1737" s="515"/>
      <c r="PWI1737" s="515"/>
      <c r="PWJ1737" s="515"/>
      <c r="PWK1737" s="515"/>
      <c r="PWL1737" s="515"/>
      <c r="PWM1737" s="515"/>
      <c r="PWN1737" s="515"/>
      <c r="PWO1737" s="515"/>
      <c r="PWP1737" s="515"/>
      <c r="PWQ1737" s="515"/>
      <c r="PWR1737" s="515"/>
      <c r="PWS1737" s="515"/>
      <c r="PWT1737" s="515"/>
      <c r="PWU1737" s="515"/>
      <c r="PWV1737" s="515"/>
      <c r="PWW1737" s="515"/>
      <c r="PWX1737" s="515"/>
      <c r="PWY1737" s="515"/>
      <c r="PWZ1737" s="515"/>
      <c r="PXA1737" s="515"/>
      <c r="PXB1737" s="515"/>
      <c r="PXC1737" s="515"/>
      <c r="PXD1737" s="515"/>
      <c r="PXE1737" s="515"/>
      <c r="PXF1737" s="515"/>
      <c r="PXG1737" s="515"/>
      <c r="PXH1737" s="515"/>
      <c r="PXI1737" s="515"/>
      <c r="PXJ1737" s="515"/>
      <c r="PXK1737" s="515"/>
      <c r="PXL1737" s="515"/>
      <c r="PXM1737" s="515"/>
      <c r="PXN1737" s="515"/>
      <c r="PXO1737" s="515"/>
      <c r="PXP1737" s="515"/>
      <c r="PXQ1737" s="515"/>
      <c r="PXR1737" s="515"/>
      <c r="PXS1737" s="515"/>
      <c r="PXT1737" s="515"/>
      <c r="PXU1737" s="515"/>
      <c r="PXV1737" s="515"/>
      <c r="PXW1737" s="515"/>
      <c r="PXX1737" s="515"/>
      <c r="PXY1737" s="515"/>
      <c r="PXZ1737" s="515"/>
      <c r="PYA1737" s="515"/>
      <c r="PYB1737" s="515"/>
      <c r="PYC1737" s="515"/>
      <c r="PYD1737" s="515"/>
      <c r="PYE1737" s="515"/>
      <c r="PYF1737" s="515"/>
      <c r="PYG1737" s="515"/>
      <c r="PYH1737" s="515"/>
      <c r="PYI1737" s="515"/>
      <c r="PYJ1737" s="515"/>
      <c r="PYK1737" s="515"/>
      <c r="PYL1737" s="515"/>
      <c r="PYM1737" s="515"/>
      <c r="PYN1737" s="515"/>
      <c r="PYO1737" s="515"/>
      <c r="PYP1737" s="515"/>
      <c r="PYQ1737" s="515"/>
      <c r="PYR1737" s="515"/>
      <c r="PYS1737" s="515"/>
      <c r="PYT1737" s="515"/>
      <c r="PYU1737" s="515"/>
      <c r="PYV1737" s="515"/>
      <c r="PYW1737" s="515"/>
      <c r="PYX1737" s="515"/>
      <c r="PYY1737" s="515"/>
      <c r="PYZ1737" s="515"/>
      <c r="PZA1737" s="515"/>
      <c r="PZB1737" s="515"/>
      <c r="PZC1737" s="515"/>
      <c r="PZD1737" s="515"/>
      <c r="PZE1737" s="515"/>
      <c r="PZF1737" s="515"/>
      <c r="PZG1737" s="515"/>
      <c r="PZH1737" s="515"/>
      <c r="PZI1737" s="515"/>
      <c r="PZJ1737" s="515"/>
      <c r="PZK1737" s="515"/>
      <c r="PZL1737" s="515"/>
      <c r="PZM1737" s="515"/>
      <c r="PZN1737" s="515"/>
      <c r="PZO1737" s="515"/>
      <c r="PZP1737" s="515"/>
      <c r="PZQ1737" s="515"/>
      <c r="PZR1737" s="515"/>
      <c r="PZS1737" s="515"/>
      <c r="PZT1737" s="515"/>
      <c r="PZU1737" s="515"/>
      <c r="PZV1737" s="515"/>
      <c r="PZW1737" s="515"/>
      <c r="PZX1737" s="515"/>
      <c r="PZY1737" s="515"/>
      <c r="PZZ1737" s="515"/>
      <c r="QAA1737" s="515"/>
      <c r="QAB1737" s="515"/>
      <c r="QAC1737" s="515"/>
      <c r="QAD1737" s="515"/>
      <c r="QAE1737" s="515"/>
      <c r="QAF1737" s="515"/>
      <c r="QAG1737" s="515"/>
      <c r="QAH1737" s="515"/>
      <c r="QAI1737" s="515"/>
      <c r="QAJ1737" s="515"/>
      <c r="QAK1737" s="515"/>
      <c r="QAL1737" s="515"/>
      <c r="QAM1737" s="515"/>
      <c r="QAN1737" s="515"/>
      <c r="QAO1737" s="515"/>
      <c r="QAP1737" s="515"/>
      <c r="QAQ1737" s="515"/>
      <c r="QAR1737" s="515"/>
      <c r="QAS1737" s="515"/>
      <c r="QAT1737" s="515"/>
      <c r="QAU1737" s="515"/>
      <c r="QAV1737" s="515"/>
      <c r="QAW1737" s="515"/>
      <c r="QAX1737" s="515"/>
      <c r="QAY1737" s="515"/>
      <c r="QAZ1737" s="515"/>
      <c r="QBA1737" s="515"/>
      <c r="QBB1737" s="515"/>
      <c r="QBC1737" s="515"/>
      <c r="QBD1737" s="515"/>
      <c r="QBE1737" s="515"/>
      <c r="QBF1737" s="515"/>
      <c r="QBG1737" s="515"/>
      <c r="QBH1737" s="515"/>
      <c r="QBI1737" s="515"/>
      <c r="QBJ1737" s="515"/>
      <c r="QBK1737" s="515"/>
      <c r="QBL1737" s="515"/>
      <c r="QBM1737" s="515"/>
      <c r="QBN1737" s="515"/>
      <c r="QBO1737" s="515"/>
      <c r="QBP1737" s="515"/>
      <c r="QBQ1737" s="515"/>
      <c r="QBR1737" s="515"/>
      <c r="QBS1737" s="515"/>
      <c r="QBT1737" s="515"/>
      <c r="QBU1737" s="515"/>
      <c r="QBV1737" s="515"/>
      <c r="QBW1737" s="515"/>
      <c r="QBX1737" s="515"/>
      <c r="QBY1737" s="515"/>
      <c r="QBZ1737" s="515"/>
      <c r="QCA1737" s="515"/>
      <c r="QCB1737" s="515"/>
      <c r="QCC1737" s="515"/>
      <c r="QCD1737" s="515"/>
      <c r="QCE1737" s="515"/>
      <c r="QCF1737" s="515"/>
      <c r="QCG1737" s="515"/>
      <c r="QCH1737" s="515"/>
      <c r="QCI1737" s="515"/>
      <c r="QCJ1737" s="515"/>
      <c r="QCK1737" s="515"/>
      <c r="QCL1737" s="515"/>
      <c r="QCM1737" s="515"/>
      <c r="QCN1737" s="515"/>
      <c r="QCO1737" s="515"/>
      <c r="QCP1737" s="515"/>
      <c r="QCQ1737" s="515"/>
      <c r="QCR1737" s="515"/>
      <c r="QCS1737" s="515"/>
      <c r="QCT1737" s="515"/>
      <c r="QCU1737" s="515"/>
      <c r="QCV1737" s="515"/>
      <c r="QCW1737" s="515"/>
      <c r="QCX1737" s="515"/>
      <c r="QCY1737" s="515"/>
      <c r="QCZ1737" s="515"/>
      <c r="QDA1737" s="515"/>
      <c r="QDB1737" s="515"/>
      <c r="QDC1737" s="515"/>
      <c r="QDD1737" s="515"/>
      <c r="QDE1737" s="515"/>
      <c r="QDF1737" s="515"/>
      <c r="QDG1737" s="515"/>
      <c r="QDH1737" s="515"/>
      <c r="QDI1737" s="515"/>
      <c r="QDJ1737" s="515"/>
      <c r="QDK1737" s="515"/>
      <c r="QDL1737" s="515"/>
      <c r="QDM1737" s="515"/>
      <c r="QDN1737" s="515"/>
      <c r="QDO1737" s="515"/>
      <c r="QDP1737" s="515"/>
      <c r="QDQ1737" s="515"/>
      <c r="QDR1737" s="515"/>
      <c r="QDS1737" s="515"/>
      <c r="QDT1737" s="515"/>
      <c r="QDU1737" s="515"/>
      <c r="QDV1737" s="515"/>
      <c r="QDW1737" s="515"/>
      <c r="QDX1737" s="515"/>
      <c r="QDY1737" s="515"/>
      <c r="QDZ1737" s="515"/>
      <c r="QEA1737" s="515"/>
      <c r="QEB1737" s="515"/>
      <c r="QEC1737" s="515"/>
      <c r="QED1737" s="515"/>
      <c r="QEE1737" s="515"/>
      <c r="QEF1737" s="515"/>
      <c r="QEG1737" s="515"/>
      <c r="QEH1737" s="515"/>
      <c r="QEI1737" s="515"/>
      <c r="QEJ1737" s="515"/>
      <c r="QEK1737" s="515"/>
      <c r="QEL1737" s="515"/>
      <c r="QEM1737" s="515"/>
      <c r="QEN1737" s="515"/>
      <c r="QEO1737" s="515"/>
      <c r="QEP1737" s="515"/>
      <c r="QEQ1737" s="515"/>
      <c r="QER1737" s="515"/>
      <c r="QES1737" s="515"/>
      <c r="QET1737" s="515"/>
      <c r="QEU1737" s="515"/>
      <c r="QEV1737" s="515"/>
      <c r="QEW1737" s="515"/>
      <c r="QEX1737" s="515"/>
      <c r="QEY1737" s="515"/>
      <c r="QEZ1737" s="515"/>
      <c r="QFA1737" s="515"/>
      <c r="QFB1737" s="515"/>
      <c r="QFC1737" s="515"/>
      <c r="QFD1737" s="515"/>
      <c r="QFE1737" s="515"/>
      <c r="QFF1737" s="515"/>
      <c r="QFG1737" s="515"/>
      <c r="QFH1737" s="515"/>
      <c r="QFI1737" s="515"/>
      <c r="QFJ1737" s="515"/>
      <c r="QFK1737" s="515"/>
      <c r="QFL1737" s="515"/>
      <c r="QFM1737" s="515"/>
      <c r="QFN1737" s="515"/>
      <c r="QFO1737" s="515"/>
      <c r="QFP1737" s="515"/>
      <c r="QFQ1737" s="515"/>
      <c r="QFR1737" s="515"/>
      <c r="QFS1737" s="515"/>
      <c r="QFT1737" s="515"/>
      <c r="QFU1737" s="515"/>
      <c r="QFV1737" s="515"/>
      <c r="QFW1737" s="515"/>
      <c r="QFX1737" s="515"/>
      <c r="QFY1737" s="515"/>
      <c r="QFZ1737" s="515"/>
      <c r="QGA1737" s="515"/>
      <c r="QGB1737" s="515"/>
      <c r="QGC1737" s="515"/>
      <c r="QGD1737" s="515"/>
      <c r="QGE1737" s="515"/>
      <c r="QGF1737" s="515"/>
      <c r="QGG1737" s="515"/>
      <c r="QGH1737" s="515"/>
      <c r="QGI1737" s="515"/>
      <c r="QGJ1737" s="515"/>
      <c r="QGK1737" s="515"/>
      <c r="QGL1737" s="515"/>
      <c r="QGM1737" s="515"/>
      <c r="QGN1737" s="515"/>
      <c r="QGO1737" s="515"/>
      <c r="QGP1737" s="515"/>
      <c r="QGQ1737" s="515"/>
      <c r="QGR1737" s="515"/>
      <c r="QGS1737" s="515"/>
      <c r="QGT1737" s="515"/>
      <c r="QGU1737" s="515"/>
      <c r="QGV1737" s="515"/>
      <c r="QGW1737" s="515"/>
      <c r="QGX1737" s="515"/>
      <c r="QGY1737" s="515"/>
      <c r="QGZ1737" s="515"/>
      <c r="QHA1737" s="515"/>
      <c r="QHB1737" s="515"/>
      <c r="QHC1737" s="515"/>
      <c r="QHD1737" s="515"/>
      <c r="QHE1737" s="515"/>
      <c r="QHF1737" s="515"/>
      <c r="QHG1737" s="515"/>
      <c r="QHH1737" s="515"/>
      <c r="QHI1737" s="515"/>
      <c r="QHJ1737" s="515"/>
      <c r="QHK1737" s="515"/>
      <c r="QHL1737" s="515"/>
      <c r="QHM1737" s="515"/>
      <c r="QHN1737" s="515"/>
      <c r="QHO1737" s="515"/>
      <c r="QHP1737" s="515"/>
      <c r="QHQ1737" s="515"/>
      <c r="QHR1737" s="515"/>
      <c r="QHS1737" s="515"/>
      <c r="QHT1737" s="515"/>
      <c r="QHU1737" s="515"/>
      <c r="QHV1737" s="515"/>
      <c r="QHW1737" s="515"/>
      <c r="QHX1737" s="515"/>
      <c r="QHY1737" s="515"/>
      <c r="QHZ1737" s="515"/>
      <c r="QIA1737" s="515"/>
      <c r="QIB1737" s="515"/>
      <c r="QIC1737" s="515"/>
      <c r="QID1737" s="515"/>
      <c r="QIE1737" s="515"/>
      <c r="QIF1737" s="515"/>
      <c r="QIG1737" s="515"/>
      <c r="QIH1737" s="515"/>
      <c r="QII1737" s="515"/>
      <c r="QIJ1737" s="515"/>
      <c r="QIK1737" s="515"/>
      <c r="QIL1737" s="515"/>
      <c r="QIM1737" s="515"/>
      <c r="QIN1737" s="515"/>
      <c r="QIO1737" s="515"/>
      <c r="QIP1737" s="515"/>
      <c r="QIQ1737" s="515"/>
      <c r="QIR1737" s="515"/>
      <c r="QIS1737" s="515"/>
      <c r="QIT1737" s="515"/>
      <c r="QIU1737" s="515"/>
      <c r="QIV1737" s="515"/>
      <c r="QIW1737" s="515"/>
      <c r="QIX1737" s="515"/>
      <c r="QIY1737" s="515"/>
      <c r="QIZ1737" s="515"/>
      <c r="QJA1737" s="515"/>
      <c r="QJB1737" s="515"/>
      <c r="QJC1737" s="515"/>
      <c r="QJD1737" s="515"/>
      <c r="QJE1737" s="515"/>
      <c r="QJF1737" s="515"/>
      <c r="QJG1737" s="515"/>
      <c r="QJH1737" s="515"/>
      <c r="QJI1737" s="515"/>
      <c r="QJJ1737" s="515"/>
      <c r="QJK1737" s="515"/>
      <c r="QJL1737" s="515"/>
      <c r="QJM1737" s="515"/>
      <c r="QJN1737" s="515"/>
      <c r="QJO1737" s="515"/>
      <c r="QJP1737" s="515"/>
      <c r="QJQ1737" s="515"/>
      <c r="QJR1737" s="515"/>
      <c r="QJS1737" s="515"/>
      <c r="QJT1737" s="515"/>
      <c r="QJU1737" s="515"/>
      <c r="QJV1737" s="515"/>
      <c r="QJW1737" s="515"/>
      <c r="QJX1737" s="515"/>
      <c r="QJY1737" s="515"/>
      <c r="QJZ1737" s="515"/>
      <c r="QKA1737" s="515"/>
      <c r="QKB1737" s="515"/>
      <c r="QKC1737" s="515"/>
      <c r="QKD1737" s="515"/>
      <c r="QKE1737" s="515"/>
      <c r="QKF1737" s="515"/>
      <c r="QKG1737" s="515"/>
      <c r="QKH1737" s="515"/>
      <c r="QKI1737" s="515"/>
      <c r="QKJ1737" s="515"/>
      <c r="QKK1737" s="515"/>
      <c r="QKL1737" s="515"/>
      <c r="QKM1737" s="515"/>
      <c r="QKN1737" s="515"/>
      <c r="QKO1737" s="515"/>
      <c r="QKP1737" s="515"/>
      <c r="QKQ1737" s="515"/>
      <c r="QKR1737" s="515"/>
      <c r="QKS1737" s="515"/>
      <c r="QKT1737" s="515"/>
      <c r="QKU1737" s="515"/>
      <c r="QKV1737" s="515"/>
      <c r="QKW1737" s="515"/>
      <c r="QKX1737" s="515"/>
      <c r="QKY1737" s="515"/>
      <c r="QKZ1737" s="515"/>
      <c r="QLA1737" s="515"/>
      <c r="QLB1737" s="515"/>
      <c r="QLC1737" s="515"/>
      <c r="QLD1737" s="515"/>
      <c r="QLE1737" s="515"/>
      <c r="QLF1737" s="515"/>
      <c r="QLG1737" s="515"/>
      <c r="QLH1737" s="515"/>
      <c r="QLI1737" s="515"/>
      <c r="QLJ1737" s="515"/>
      <c r="QLK1737" s="515"/>
      <c r="QLL1737" s="515"/>
      <c r="QLM1737" s="515"/>
      <c r="QLN1737" s="515"/>
      <c r="QLO1737" s="515"/>
      <c r="QLP1737" s="515"/>
      <c r="QLQ1737" s="515"/>
      <c r="QLR1737" s="515"/>
      <c r="QLS1737" s="515"/>
      <c r="QLT1737" s="515"/>
      <c r="QLU1737" s="515"/>
      <c r="QLV1737" s="515"/>
      <c r="QLW1737" s="515"/>
      <c r="QLX1737" s="515"/>
      <c r="QLY1737" s="515"/>
      <c r="QLZ1737" s="515"/>
      <c r="QMA1737" s="515"/>
      <c r="QMB1737" s="515"/>
      <c r="QMC1737" s="515"/>
      <c r="QMD1737" s="515"/>
      <c r="QME1737" s="515"/>
      <c r="QMF1737" s="515"/>
      <c r="QMG1737" s="515"/>
      <c r="QMH1737" s="515"/>
      <c r="QMI1737" s="515"/>
      <c r="QMJ1737" s="515"/>
      <c r="QMK1737" s="515"/>
      <c r="QML1737" s="515"/>
      <c r="QMM1737" s="515"/>
      <c r="QMN1737" s="515"/>
      <c r="QMO1737" s="515"/>
      <c r="QMP1737" s="515"/>
      <c r="QMQ1737" s="515"/>
      <c r="QMR1737" s="515"/>
      <c r="QMS1737" s="515"/>
      <c r="QMT1737" s="515"/>
      <c r="QMU1737" s="515"/>
      <c r="QMV1737" s="515"/>
      <c r="QMW1737" s="515"/>
      <c r="QMX1737" s="515"/>
      <c r="QMY1737" s="515"/>
      <c r="QMZ1737" s="515"/>
      <c r="QNA1737" s="515"/>
      <c r="QNB1737" s="515"/>
      <c r="QNC1737" s="515"/>
      <c r="QND1737" s="515"/>
      <c r="QNE1737" s="515"/>
      <c r="QNF1737" s="515"/>
      <c r="QNG1737" s="515"/>
      <c r="QNH1737" s="515"/>
      <c r="QNI1737" s="515"/>
      <c r="QNJ1737" s="515"/>
      <c r="QNK1737" s="515"/>
      <c r="QNL1737" s="515"/>
      <c r="QNM1737" s="515"/>
      <c r="QNN1737" s="515"/>
      <c r="QNO1737" s="515"/>
      <c r="QNP1737" s="515"/>
      <c r="QNQ1737" s="515"/>
      <c r="QNR1737" s="515"/>
      <c r="QNS1737" s="515"/>
      <c r="QNT1737" s="515"/>
      <c r="QNU1737" s="515"/>
      <c r="QNV1737" s="515"/>
      <c r="QNW1737" s="515"/>
      <c r="QNX1737" s="515"/>
      <c r="QNY1737" s="515"/>
      <c r="QNZ1737" s="515"/>
      <c r="QOA1737" s="515"/>
      <c r="QOB1737" s="515"/>
      <c r="QOC1737" s="515"/>
      <c r="QOD1737" s="515"/>
      <c r="QOE1737" s="515"/>
      <c r="QOF1737" s="515"/>
      <c r="QOG1737" s="515"/>
      <c r="QOH1737" s="515"/>
      <c r="QOI1737" s="515"/>
      <c r="QOJ1737" s="515"/>
      <c r="QOK1737" s="515"/>
      <c r="QOL1737" s="515"/>
      <c r="QOM1737" s="515"/>
      <c r="QON1737" s="515"/>
      <c r="QOO1737" s="515"/>
      <c r="QOP1737" s="515"/>
      <c r="QOQ1737" s="515"/>
      <c r="QOR1737" s="515"/>
      <c r="QOS1737" s="515"/>
      <c r="QOT1737" s="515"/>
      <c r="QOU1737" s="515"/>
      <c r="QOV1737" s="515"/>
      <c r="QOW1737" s="515"/>
      <c r="QOX1737" s="515"/>
      <c r="QOY1737" s="515"/>
      <c r="QOZ1737" s="515"/>
      <c r="QPA1737" s="515"/>
      <c r="QPB1737" s="515"/>
      <c r="QPC1737" s="515"/>
      <c r="QPD1737" s="515"/>
      <c r="QPE1737" s="515"/>
      <c r="QPF1737" s="515"/>
      <c r="QPG1737" s="515"/>
      <c r="QPH1737" s="515"/>
      <c r="QPI1737" s="515"/>
      <c r="QPJ1737" s="515"/>
      <c r="QPK1737" s="515"/>
      <c r="QPL1737" s="515"/>
      <c r="QPM1737" s="515"/>
      <c r="QPN1737" s="515"/>
      <c r="QPO1737" s="515"/>
      <c r="QPP1737" s="515"/>
      <c r="QPQ1737" s="515"/>
      <c r="QPR1737" s="515"/>
      <c r="QPS1737" s="515"/>
      <c r="QPT1737" s="515"/>
      <c r="QPU1737" s="515"/>
      <c r="QPV1737" s="515"/>
      <c r="QPW1737" s="515"/>
      <c r="QPX1737" s="515"/>
      <c r="QPY1737" s="515"/>
      <c r="QPZ1737" s="515"/>
      <c r="QQA1737" s="515"/>
      <c r="QQB1737" s="515"/>
      <c r="QQC1737" s="515"/>
      <c r="QQD1737" s="515"/>
      <c r="QQE1737" s="515"/>
      <c r="QQF1737" s="515"/>
      <c r="QQG1737" s="515"/>
      <c r="QQH1737" s="515"/>
      <c r="QQI1737" s="515"/>
      <c r="QQJ1737" s="515"/>
      <c r="QQK1737" s="515"/>
      <c r="QQL1737" s="515"/>
      <c r="QQM1737" s="515"/>
      <c r="QQN1737" s="515"/>
      <c r="QQO1737" s="515"/>
      <c r="QQP1737" s="515"/>
      <c r="QQQ1737" s="515"/>
      <c r="QQR1737" s="515"/>
      <c r="QQS1737" s="515"/>
      <c r="QQT1737" s="515"/>
      <c r="QQU1737" s="515"/>
      <c r="QQV1737" s="515"/>
      <c r="QQW1737" s="515"/>
      <c r="QQX1737" s="515"/>
      <c r="QQY1737" s="515"/>
      <c r="QQZ1737" s="515"/>
      <c r="QRA1737" s="515"/>
      <c r="QRB1737" s="515"/>
      <c r="QRC1737" s="515"/>
      <c r="QRD1737" s="515"/>
      <c r="QRE1737" s="515"/>
      <c r="QRF1737" s="515"/>
      <c r="QRG1737" s="515"/>
      <c r="QRH1737" s="515"/>
      <c r="QRI1737" s="515"/>
      <c r="QRJ1737" s="515"/>
      <c r="QRK1737" s="515"/>
      <c r="QRL1737" s="515"/>
      <c r="QRM1737" s="515"/>
      <c r="QRN1737" s="515"/>
      <c r="QRO1737" s="515"/>
      <c r="QRP1737" s="515"/>
      <c r="QRQ1737" s="515"/>
      <c r="QRR1737" s="515"/>
      <c r="QRS1737" s="515"/>
      <c r="QRT1737" s="515"/>
      <c r="QRU1737" s="515"/>
      <c r="QRV1737" s="515"/>
      <c r="QRW1737" s="515"/>
      <c r="QRX1737" s="515"/>
      <c r="QRY1737" s="515"/>
      <c r="QRZ1737" s="515"/>
      <c r="QSA1737" s="515"/>
      <c r="QSB1737" s="515"/>
      <c r="QSC1737" s="515"/>
      <c r="QSD1737" s="515"/>
      <c r="QSE1737" s="515"/>
      <c r="QSF1737" s="515"/>
      <c r="QSG1737" s="515"/>
      <c r="QSH1737" s="515"/>
      <c r="QSI1737" s="515"/>
      <c r="QSJ1737" s="515"/>
      <c r="QSK1737" s="515"/>
      <c r="QSL1737" s="515"/>
      <c r="QSM1737" s="515"/>
      <c r="QSN1737" s="515"/>
      <c r="QSO1737" s="515"/>
      <c r="QSP1737" s="515"/>
      <c r="QSQ1737" s="515"/>
      <c r="QSR1737" s="515"/>
      <c r="QSS1737" s="515"/>
      <c r="QST1737" s="515"/>
      <c r="QSU1737" s="515"/>
      <c r="QSV1737" s="515"/>
      <c r="QSW1737" s="515"/>
      <c r="QSX1737" s="515"/>
      <c r="QSY1737" s="515"/>
      <c r="QSZ1737" s="515"/>
      <c r="QTA1737" s="515"/>
      <c r="QTB1737" s="515"/>
      <c r="QTC1737" s="515"/>
      <c r="QTD1737" s="515"/>
      <c r="QTE1737" s="515"/>
      <c r="QTF1737" s="515"/>
      <c r="QTG1737" s="515"/>
      <c r="QTH1737" s="515"/>
      <c r="QTI1737" s="515"/>
      <c r="QTJ1737" s="515"/>
      <c r="QTK1737" s="515"/>
      <c r="QTL1737" s="515"/>
      <c r="QTM1737" s="515"/>
      <c r="QTN1737" s="515"/>
      <c r="QTO1737" s="515"/>
      <c r="QTP1737" s="515"/>
      <c r="QTQ1737" s="515"/>
      <c r="QTR1737" s="515"/>
      <c r="QTS1737" s="515"/>
      <c r="QTT1737" s="515"/>
      <c r="QTU1737" s="515"/>
      <c r="QTV1737" s="515"/>
      <c r="QTW1737" s="515"/>
      <c r="QTX1737" s="515"/>
      <c r="QTY1737" s="515"/>
      <c r="QTZ1737" s="515"/>
      <c r="QUA1737" s="515"/>
      <c r="QUB1737" s="515"/>
      <c r="QUC1737" s="515"/>
      <c r="QUD1737" s="515"/>
      <c r="QUE1737" s="515"/>
      <c r="QUF1737" s="515"/>
      <c r="QUG1737" s="515"/>
      <c r="QUH1737" s="515"/>
      <c r="QUI1737" s="515"/>
      <c r="QUJ1737" s="515"/>
      <c r="QUK1737" s="515"/>
      <c r="QUL1737" s="515"/>
      <c r="QUM1737" s="515"/>
      <c r="QUN1737" s="515"/>
      <c r="QUO1737" s="515"/>
      <c r="QUP1737" s="515"/>
      <c r="QUQ1737" s="515"/>
      <c r="QUR1737" s="515"/>
      <c r="QUS1737" s="515"/>
      <c r="QUT1737" s="515"/>
      <c r="QUU1737" s="515"/>
      <c r="QUV1737" s="515"/>
      <c r="QUW1737" s="515"/>
      <c r="QUX1737" s="515"/>
      <c r="QUY1737" s="515"/>
      <c r="QUZ1737" s="515"/>
      <c r="QVA1737" s="515"/>
      <c r="QVB1737" s="515"/>
      <c r="QVC1737" s="515"/>
      <c r="QVD1737" s="515"/>
      <c r="QVE1737" s="515"/>
      <c r="QVF1737" s="515"/>
      <c r="QVG1737" s="515"/>
      <c r="QVH1737" s="515"/>
      <c r="QVI1737" s="515"/>
      <c r="QVJ1737" s="515"/>
      <c r="QVK1737" s="515"/>
      <c r="QVL1737" s="515"/>
      <c r="QVM1737" s="515"/>
      <c r="QVN1737" s="515"/>
      <c r="QVO1737" s="515"/>
      <c r="QVP1737" s="515"/>
      <c r="QVQ1737" s="515"/>
      <c r="QVR1737" s="515"/>
      <c r="QVS1737" s="515"/>
      <c r="QVT1737" s="515"/>
      <c r="QVU1737" s="515"/>
      <c r="QVV1737" s="515"/>
      <c r="QVW1737" s="515"/>
      <c r="QVX1737" s="515"/>
      <c r="QVY1737" s="515"/>
      <c r="QVZ1737" s="515"/>
      <c r="QWA1737" s="515"/>
      <c r="QWB1737" s="515"/>
      <c r="QWC1737" s="515"/>
      <c r="QWD1737" s="515"/>
      <c r="QWE1737" s="515"/>
      <c r="QWF1737" s="515"/>
      <c r="QWG1737" s="515"/>
      <c r="QWH1737" s="515"/>
      <c r="QWI1737" s="515"/>
      <c r="QWJ1737" s="515"/>
      <c r="QWK1737" s="515"/>
      <c r="QWL1737" s="515"/>
      <c r="QWM1737" s="515"/>
      <c r="QWN1737" s="515"/>
      <c r="QWO1737" s="515"/>
      <c r="QWP1737" s="515"/>
      <c r="QWQ1737" s="515"/>
      <c r="QWR1737" s="515"/>
      <c r="QWS1737" s="515"/>
      <c r="QWT1737" s="515"/>
      <c r="QWU1737" s="515"/>
      <c r="QWV1737" s="515"/>
      <c r="QWW1737" s="515"/>
      <c r="QWX1737" s="515"/>
      <c r="QWY1737" s="515"/>
      <c r="QWZ1737" s="515"/>
      <c r="QXA1737" s="515"/>
      <c r="QXB1737" s="515"/>
      <c r="QXC1737" s="515"/>
      <c r="QXD1737" s="515"/>
      <c r="QXE1737" s="515"/>
      <c r="QXF1737" s="515"/>
      <c r="QXG1737" s="515"/>
      <c r="QXH1737" s="515"/>
      <c r="QXI1737" s="515"/>
      <c r="QXJ1737" s="515"/>
      <c r="QXK1737" s="515"/>
      <c r="QXL1737" s="515"/>
      <c r="QXM1737" s="515"/>
      <c r="QXN1737" s="515"/>
      <c r="QXO1737" s="515"/>
      <c r="QXP1737" s="515"/>
      <c r="QXQ1737" s="515"/>
      <c r="QXR1737" s="515"/>
      <c r="QXS1737" s="515"/>
      <c r="QXT1737" s="515"/>
      <c r="QXU1737" s="515"/>
      <c r="QXV1737" s="515"/>
      <c r="QXW1737" s="515"/>
      <c r="QXX1737" s="515"/>
      <c r="QXY1737" s="515"/>
      <c r="QXZ1737" s="515"/>
      <c r="QYA1737" s="515"/>
      <c r="QYB1737" s="515"/>
      <c r="QYC1737" s="515"/>
      <c r="QYD1737" s="515"/>
      <c r="QYE1737" s="515"/>
      <c r="QYF1737" s="515"/>
      <c r="QYG1737" s="515"/>
      <c r="QYH1737" s="515"/>
      <c r="QYI1737" s="515"/>
      <c r="QYJ1737" s="515"/>
      <c r="QYK1737" s="515"/>
      <c r="QYL1737" s="515"/>
      <c r="QYM1737" s="515"/>
      <c r="QYN1737" s="515"/>
      <c r="QYO1737" s="515"/>
      <c r="QYP1737" s="515"/>
      <c r="QYQ1737" s="515"/>
      <c r="QYR1737" s="515"/>
      <c r="QYS1737" s="515"/>
      <c r="QYT1737" s="515"/>
      <c r="QYU1737" s="515"/>
      <c r="QYV1737" s="515"/>
      <c r="QYW1737" s="515"/>
      <c r="QYX1737" s="515"/>
      <c r="QYY1737" s="515"/>
      <c r="QYZ1737" s="515"/>
      <c r="QZA1737" s="515"/>
      <c r="QZB1737" s="515"/>
      <c r="QZC1737" s="515"/>
      <c r="QZD1737" s="515"/>
      <c r="QZE1737" s="515"/>
      <c r="QZF1737" s="515"/>
      <c r="QZG1737" s="515"/>
      <c r="QZH1737" s="515"/>
      <c r="QZI1737" s="515"/>
      <c r="QZJ1737" s="515"/>
      <c r="QZK1737" s="515"/>
      <c r="QZL1737" s="515"/>
      <c r="QZM1737" s="515"/>
      <c r="QZN1737" s="515"/>
      <c r="QZO1737" s="515"/>
      <c r="QZP1737" s="515"/>
      <c r="QZQ1737" s="515"/>
      <c r="QZR1737" s="515"/>
      <c r="QZS1737" s="515"/>
      <c r="QZT1737" s="515"/>
      <c r="QZU1737" s="515"/>
      <c r="QZV1737" s="515"/>
      <c r="QZW1737" s="515"/>
      <c r="QZX1737" s="515"/>
      <c r="QZY1737" s="515"/>
      <c r="QZZ1737" s="515"/>
      <c r="RAA1737" s="515"/>
      <c r="RAB1737" s="515"/>
      <c r="RAC1737" s="515"/>
      <c r="RAD1737" s="515"/>
      <c r="RAE1737" s="515"/>
      <c r="RAF1737" s="515"/>
      <c r="RAG1737" s="515"/>
      <c r="RAH1737" s="515"/>
      <c r="RAI1737" s="515"/>
      <c r="RAJ1737" s="515"/>
      <c r="RAK1737" s="515"/>
      <c r="RAL1737" s="515"/>
      <c r="RAM1737" s="515"/>
      <c r="RAN1737" s="515"/>
      <c r="RAO1737" s="515"/>
      <c r="RAP1737" s="515"/>
      <c r="RAQ1737" s="515"/>
      <c r="RAR1737" s="515"/>
      <c r="RAS1737" s="515"/>
      <c r="RAT1737" s="515"/>
      <c r="RAU1737" s="515"/>
      <c r="RAV1737" s="515"/>
      <c r="RAW1737" s="515"/>
      <c r="RAX1737" s="515"/>
      <c r="RAY1737" s="515"/>
      <c r="RAZ1737" s="515"/>
      <c r="RBA1737" s="515"/>
      <c r="RBB1737" s="515"/>
      <c r="RBC1737" s="515"/>
      <c r="RBD1737" s="515"/>
      <c r="RBE1737" s="515"/>
      <c r="RBF1737" s="515"/>
      <c r="RBG1737" s="515"/>
      <c r="RBH1737" s="515"/>
      <c r="RBI1737" s="515"/>
      <c r="RBJ1737" s="515"/>
      <c r="RBK1737" s="515"/>
      <c r="RBL1737" s="515"/>
      <c r="RBM1737" s="515"/>
      <c r="RBN1737" s="515"/>
      <c r="RBO1737" s="515"/>
      <c r="RBP1737" s="515"/>
      <c r="RBQ1737" s="515"/>
      <c r="RBR1737" s="515"/>
      <c r="RBS1737" s="515"/>
      <c r="RBT1737" s="515"/>
      <c r="RBU1737" s="515"/>
      <c r="RBV1737" s="515"/>
      <c r="RBW1737" s="515"/>
      <c r="RBX1737" s="515"/>
      <c r="RBY1737" s="515"/>
      <c r="RBZ1737" s="515"/>
      <c r="RCA1737" s="515"/>
      <c r="RCB1737" s="515"/>
      <c r="RCC1737" s="515"/>
      <c r="RCD1737" s="515"/>
      <c r="RCE1737" s="515"/>
      <c r="RCF1737" s="515"/>
      <c r="RCG1737" s="515"/>
      <c r="RCH1737" s="515"/>
      <c r="RCI1737" s="515"/>
      <c r="RCJ1737" s="515"/>
      <c r="RCK1737" s="515"/>
      <c r="RCL1737" s="515"/>
      <c r="RCM1737" s="515"/>
      <c r="RCN1737" s="515"/>
      <c r="RCO1737" s="515"/>
      <c r="RCP1737" s="515"/>
      <c r="RCQ1737" s="515"/>
      <c r="RCR1737" s="515"/>
      <c r="RCS1737" s="515"/>
      <c r="RCT1737" s="515"/>
      <c r="RCU1737" s="515"/>
      <c r="RCV1737" s="515"/>
      <c r="RCW1737" s="515"/>
      <c r="RCX1737" s="515"/>
      <c r="RCY1737" s="515"/>
      <c r="RCZ1737" s="515"/>
      <c r="RDA1737" s="515"/>
      <c r="RDB1737" s="515"/>
      <c r="RDC1737" s="515"/>
      <c r="RDD1737" s="515"/>
      <c r="RDE1737" s="515"/>
      <c r="RDF1737" s="515"/>
      <c r="RDG1737" s="515"/>
      <c r="RDH1737" s="515"/>
      <c r="RDI1737" s="515"/>
      <c r="RDJ1737" s="515"/>
      <c r="RDK1737" s="515"/>
      <c r="RDL1737" s="515"/>
      <c r="RDM1737" s="515"/>
      <c r="RDN1737" s="515"/>
      <c r="RDO1737" s="515"/>
      <c r="RDP1737" s="515"/>
      <c r="RDQ1737" s="515"/>
      <c r="RDR1737" s="515"/>
      <c r="RDS1737" s="515"/>
      <c r="RDT1737" s="515"/>
      <c r="RDU1737" s="515"/>
      <c r="RDV1737" s="515"/>
      <c r="RDW1737" s="515"/>
      <c r="RDX1737" s="515"/>
      <c r="RDY1737" s="515"/>
      <c r="RDZ1737" s="515"/>
      <c r="REA1737" s="515"/>
      <c r="REB1737" s="515"/>
      <c r="REC1737" s="515"/>
      <c r="RED1737" s="515"/>
      <c r="REE1737" s="515"/>
      <c r="REF1737" s="515"/>
      <c r="REG1737" s="515"/>
      <c r="REH1737" s="515"/>
      <c r="REI1737" s="515"/>
      <c r="REJ1737" s="515"/>
      <c r="REK1737" s="515"/>
      <c r="REL1737" s="515"/>
      <c r="REM1737" s="515"/>
      <c r="REN1737" s="515"/>
      <c r="REO1737" s="515"/>
      <c r="REP1737" s="515"/>
      <c r="REQ1737" s="515"/>
      <c r="RER1737" s="515"/>
      <c r="RES1737" s="515"/>
      <c r="RET1737" s="515"/>
      <c r="REU1737" s="515"/>
      <c r="REV1737" s="515"/>
      <c r="REW1737" s="515"/>
      <c r="REX1737" s="515"/>
      <c r="REY1737" s="515"/>
      <c r="REZ1737" s="515"/>
      <c r="RFA1737" s="515"/>
      <c r="RFB1737" s="515"/>
      <c r="RFC1737" s="515"/>
      <c r="RFD1737" s="515"/>
      <c r="RFE1737" s="515"/>
      <c r="RFF1737" s="515"/>
      <c r="RFG1737" s="515"/>
      <c r="RFH1737" s="515"/>
      <c r="RFI1737" s="515"/>
      <c r="RFJ1737" s="515"/>
      <c r="RFK1737" s="515"/>
      <c r="RFL1737" s="515"/>
      <c r="RFM1737" s="515"/>
      <c r="RFN1737" s="515"/>
      <c r="RFO1737" s="515"/>
      <c r="RFP1737" s="515"/>
      <c r="RFQ1737" s="515"/>
      <c r="RFR1737" s="515"/>
      <c r="RFS1737" s="515"/>
      <c r="RFT1737" s="515"/>
      <c r="RFU1737" s="515"/>
      <c r="RFV1737" s="515"/>
      <c r="RFW1737" s="515"/>
      <c r="RFX1737" s="515"/>
      <c r="RFY1737" s="515"/>
      <c r="RFZ1737" s="515"/>
      <c r="RGA1737" s="515"/>
      <c r="RGB1737" s="515"/>
      <c r="RGC1737" s="515"/>
      <c r="RGD1737" s="515"/>
      <c r="RGE1737" s="515"/>
      <c r="RGF1737" s="515"/>
      <c r="RGG1737" s="515"/>
      <c r="RGH1737" s="515"/>
      <c r="RGI1737" s="515"/>
      <c r="RGJ1737" s="515"/>
      <c r="RGK1737" s="515"/>
      <c r="RGL1737" s="515"/>
      <c r="RGM1737" s="515"/>
      <c r="RGN1737" s="515"/>
      <c r="RGO1737" s="515"/>
      <c r="RGP1737" s="515"/>
      <c r="RGQ1737" s="515"/>
      <c r="RGR1737" s="515"/>
      <c r="RGS1737" s="515"/>
      <c r="RGT1737" s="515"/>
      <c r="RGU1737" s="515"/>
      <c r="RGV1737" s="515"/>
      <c r="RGW1737" s="515"/>
      <c r="RGX1737" s="515"/>
      <c r="RGY1737" s="515"/>
      <c r="RGZ1737" s="515"/>
      <c r="RHA1737" s="515"/>
      <c r="RHB1737" s="515"/>
      <c r="RHC1737" s="515"/>
      <c r="RHD1737" s="515"/>
      <c r="RHE1737" s="515"/>
      <c r="RHF1737" s="515"/>
      <c r="RHG1737" s="515"/>
      <c r="RHH1737" s="515"/>
      <c r="RHI1737" s="515"/>
      <c r="RHJ1737" s="515"/>
      <c r="RHK1737" s="515"/>
      <c r="RHL1737" s="515"/>
      <c r="RHM1737" s="515"/>
      <c r="RHN1737" s="515"/>
      <c r="RHO1737" s="515"/>
      <c r="RHP1737" s="515"/>
      <c r="RHQ1737" s="515"/>
      <c r="RHR1737" s="515"/>
      <c r="RHS1737" s="515"/>
      <c r="RHT1737" s="515"/>
      <c r="RHU1737" s="515"/>
      <c r="RHV1737" s="515"/>
      <c r="RHW1737" s="515"/>
      <c r="RHX1737" s="515"/>
      <c r="RHY1737" s="515"/>
      <c r="RHZ1737" s="515"/>
      <c r="RIA1737" s="515"/>
      <c r="RIB1737" s="515"/>
      <c r="RIC1737" s="515"/>
      <c r="RID1737" s="515"/>
      <c r="RIE1737" s="515"/>
      <c r="RIF1737" s="515"/>
      <c r="RIG1737" s="515"/>
      <c r="RIH1737" s="515"/>
      <c r="RII1737" s="515"/>
      <c r="RIJ1737" s="515"/>
      <c r="RIK1737" s="515"/>
      <c r="RIL1737" s="515"/>
      <c r="RIM1737" s="515"/>
      <c r="RIN1737" s="515"/>
      <c r="RIO1737" s="515"/>
      <c r="RIP1737" s="515"/>
      <c r="RIQ1737" s="515"/>
      <c r="RIR1737" s="515"/>
      <c r="RIS1737" s="515"/>
      <c r="RIT1737" s="515"/>
      <c r="RIU1737" s="515"/>
      <c r="RIV1737" s="515"/>
      <c r="RIW1737" s="515"/>
      <c r="RIX1737" s="515"/>
      <c r="RIY1737" s="515"/>
      <c r="RIZ1737" s="515"/>
      <c r="RJA1737" s="515"/>
      <c r="RJB1737" s="515"/>
      <c r="RJC1737" s="515"/>
      <c r="RJD1737" s="515"/>
      <c r="RJE1737" s="515"/>
      <c r="RJF1737" s="515"/>
      <c r="RJG1737" s="515"/>
      <c r="RJH1737" s="515"/>
      <c r="RJI1737" s="515"/>
      <c r="RJJ1737" s="515"/>
      <c r="RJK1737" s="515"/>
      <c r="RJL1737" s="515"/>
      <c r="RJM1737" s="515"/>
      <c r="RJN1737" s="515"/>
      <c r="RJO1737" s="515"/>
      <c r="RJP1737" s="515"/>
      <c r="RJQ1737" s="515"/>
      <c r="RJR1737" s="515"/>
      <c r="RJS1737" s="515"/>
      <c r="RJT1737" s="515"/>
      <c r="RJU1737" s="515"/>
      <c r="RJV1737" s="515"/>
      <c r="RJW1737" s="515"/>
      <c r="RJX1737" s="515"/>
      <c r="RJY1737" s="515"/>
      <c r="RJZ1737" s="515"/>
      <c r="RKA1737" s="515"/>
      <c r="RKB1737" s="515"/>
      <c r="RKC1737" s="515"/>
      <c r="RKD1737" s="515"/>
      <c r="RKE1737" s="515"/>
      <c r="RKF1737" s="515"/>
      <c r="RKG1737" s="515"/>
      <c r="RKH1737" s="515"/>
      <c r="RKI1737" s="515"/>
      <c r="RKJ1737" s="515"/>
      <c r="RKK1737" s="515"/>
      <c r="RKL1737" s="515"/>
      <c r="RKM1737" s="515"/>
      <c r="RKN1737" s="515"/>
      <c r="RKO1737" s="515"/>
      <c r="RKP1737" s="515"/>
      <c r="RKQ1737" s="515"/>
      <c r="RKR1737" s="515"/>
      <c r="RKS1737" s="515"/>
      <c r="RKT1737" s="515"/>
      <c r="RKU1737" s="515"/>
      <c r="RKV1737" s="515"/>
      <c r="RKW1737" s="515"/>
      <c r="RKX1737" s="515"/>
      <c r="RKY1737" s="515"/>
      <c r="RKZ1737" s="515"/>
      <c r="RLA1737" s="515"/>
      <c r="RLB1737" s="515"/>
      <c r="RLC1737" s="515"/>
      <c r="RLD1737" s="515"/>
      <c r="RLE1737" s="515"/>
      <c r="RLF1737" s="515"/>
      <c r="RLG1737" s="515"/>
      <c r="RLH1737" s="515"/>
      <c r="RLI1737" s="515"/>
      <c r="RLJ1737" s="515"/>
      <c r="RLK1737" s="515"/>
      <c r="RLL1737" s="515"/>
      <c r="RLM1737" s="515"/>
      <c r="RLN1737" s="515"/>
      <c r="RLO1737" s="515"/>
      <c r="RLP1737" s="515"/>
      <c r="RLQ1737" s="515"/>
      <c r="RLR1737" s="515"/>
      <c r="RLS1737" s="515"/>
      <c r="RLT1737" s="515"/>
      <c r="RLU1737" s="515"/>
      <c r="RLV1737" s="515"/>
      <c r="RLW1737" s="515"/>
      <c r="RLX1737" s="515"/>
      <c r="RLY1737" s="515"/>
      <c r="RLZ1737" s="515"/>
      <c r="RMA1737" s="515"/>
      <c r="RMB1737" s="515"/>
      <c r="RMC1737" s="515"/>
      <c r="RMD1737" s="515"/>
      <c r="RME1737" s="515"/>
      <c r="RMF1737" s="515"/>
      <c r="RMG1737" s="515"/>
      <c r="RMH1737" s="515"/>
      <c r="RMI1737" s="515"/>
      <c r="RMJ1737" s="515"/>
      <c r="RMK1737" s="515"/>
      <c r="RML1737" s="515"/>
      <c r="RMM1737" s="515"/>
      <c r="RMN1737" s="515"/>
      <c r="RMO1737" s="515"/>
      <c r="RMP1737" s="515"/>
      <c r="RMQ1737" s="515"/>
      <c r="RMR1737" s="515"/>
      <c r="RMS1737" s="515"/>
      <c r="RMT1737" s="515"/>
      <c r="RMU1737" s="515"/>
      <c r="RMV1737" s="515"/>
      <c r="RMW1737" s="515"/>
      <c r="RMX1737" s="515"/>
      <c r="RMY1737" s="515"/>
      <c r="RMZ1737" s="515"/>
      <c r="RNA1737" s="515"/>
      <c r="RNB1737" s="515"/>
      <c r="RNC1737" s="515"/>
      <c r="RND1737" s="515"/>
      <c r="RNE1737" s="515"/>
      <c r="RNF1737" s="515"/>
      <c r="RNG1737" s="515"/>
      <c r="RNH1737" s="515"/>
      <c r="RNI1737" s="515"/>
      <c r="RNJ1737" s="515"/>
      <c r="RNK1737" s="515"/>
      <c r="RNL1737" s="515"/>
      <c r="RNM1737" s="515"/>
      <c r="RNN1737" s="515"/>
      <c r="RNO1737" s="515"/>
      <c r="RNP1737" s="515"/>
      <c r="RNQ1737" s="515"/>
      <c r="RNR1737" s="515"/>
      <c r="RNS1737" s="515"/>
      <c r="RNT1737" s="515"/>
      <c r="RNU1737" s="515"/>
      <c r="RNV1737" s="515"/>
      <c r="RNW1737" s="515"/>
      <c r="RNX1737" s="515"/>
      <c r="RNY1737" s="515"/>
      <c r="RNZ1737" s="515"/>
      <c r="ROA1737" s="515"/>
      <c r="ROB1737" s="515"/>
      <c r="ROC1737" s="515"/>
      <c r="ROD1737" s="515"/>
      <c r="ROE1737" s="515"/>
      <c r="ROF1737" s="515"/>
      <c r="ROG1737" s="515"/>
      <c r="ROH1737" s="515"/>
      <c r="ROI1737" s="515"/>
      <c r="ROJ1737" s="515"/>
      <c r="ROK1737" s="515"/>
      <c r="ROL1737" s="515"/>
      <c r="ROM1737" s="515"/>
      <c r="RON1737" s="515"/>
      <c r="ROO1737" s="515"/>
      <c r="ROP1737" s="515"/>
      <c r="ROQ1737" s="515"/>
      <c r="ROR1737" s="515"/>
      <c r="ROS1737" s="515"/>
      <c r="ROT1737" s="515"/>
      <c r="ROU1737" s="515"/>
      <c r="ROV1737" s="515"/>
      <c r="ROW1737" s="515"/>
      <c r="ROX1737" s="515"/>
      <c r="ROY1737" s="515"/>
      <c r="ROZ1737" s="515"/>
      <c r="RPA1737" s="515"/>
      <c r="RPB1737" s="515"/>
      <c r="RPC1737" s="515"/>
      <c r="RPD1737" s="515"/>
      <c r="RPE1737" s="515"/>
      <c r="RPF1737" s="515"/>
      <c r="RPG1737" s="515"/>
      <c r="RPH1737" s="515"/>
      <c r="RPI1737" s="515"/>
      <c r="RPJ1737" s="515"/>
      <c r="RPK1737" s="515"/>
      <c r="RPL1737" s="515"/>
      <c r="RPM1737" s="515"/>
      <c r="RPN1737" s="515"/>
      <c r="RPO1737" s="515"/>
      <c r="RPP1737" s="515"/>
      <c r="RPQ1737" s="515"/>
      <c r="RPR1737" s="515"/>
      <c r="RPS1737" s="515"/>
      <c r="RPT1737" s="515"/>
      <c r="RPU1737" s="515"/>
      <c r="RPV1737" s="515"/>
      <c r="RPW1737" s="515"/>
      <c r="RPX1737" s="515"/>
      <c r="RPY1737" s="515"/>
      <c r="RPZ1737" s="515"/>
      <c r="RQA1737" s="515"/>
      <c r="RQB1737" s="515"/>
      <c r="RQC1737" s="515"/>
      <c r="RQD1737" s="515"/>
      <c r="RQE1737" s="515"/>
      <c r="RQF1737" s="515"/>
      <c r="RQG1737" s="515"/>
      <c r="RQH1737" s="515"/>
      <c r="RQI1737" s="515"/>
      <c r="RQJ1737" s="515"/>
      <c r="RQK1737" s="515"/>
      <c r="RQL1737" s="515"/>
      <c r="RQM1737" s="515"/>
      <c r="RQN1737" s="515"/>
      <c r="RQO1737" s="515"/>
      <c r="RQP1737" s="515"/>
      <c r="RQQ1737" s="515"/>
      <c r="RQR1737" s="515"/>
      <c r="RQS1737" s="515"/>
      <c r="RQT1737" s="515"/>
      <c r="RQU1737" s="515"/>
      <c r="RQV1737" s="515"/>
      <c r="RQW1737" s="515"/>
      <c r="RQX1737" s="515"/>
      <c r="RQY1737" s="515"/>
      <c r="RQZ1737" s="515"/>
      <c r="RRA1737" s="515"/>
      <c r="RRB1737" s="515"/>
      <c r="RRC1737" s="515"/>
      <c r="RRD1737" s="515"/>
      <c r="RRE1737" s="515"/>
      <c r="RRF1737" s="515"/>
      <c r="RRG1737" s="515"/>
      <c r="RRH1737" s="515"/>
      <c r="RRI1737" s="515"/>
      <c r="RRJ1737" s="515"/>
      <c r="RRK1737" s="515"/>
      <c r="RRL1737" s="515"/>
      <c r="RRM1737" s="515"/>
      <c r="RRN1737" s="515"/>
      <c r="RRO1737" s="515"/>
      <c r="RRP1737" s="515"/>
      <c r="RRQ1737" s="515"/>
      <c r="RRR1737" s="515"/>
      <c r="RRS1737" s="515"/>
      <c r="RRT1737" s="515"/>
      <c r="RRU1737" s="515"/>
      <c r="RRV1737" s="515"/>
      <c r="RRW1737" s="515"/>
      <c r="RRX1737" s="515"/>
      <c r="RRY1737" s="515"/>
      <c r="RRZ1737" s="515"/>
      <c r="RSA1737" s="515"/>
      <c r="RSB1737" s="515"/>
      <c r="RSC1737" s="515"/>
      <c r="RSD1737" s="515"/>
      <c r="RSE1737" s="515"/>
      <c r="RSF1737" s="515"/>
      <c r="RSG1737" s="515"/>
      <c r="RSH1737" s="515"/>
      <c r="RSI1737" s="515"/>
      <c r="RSJ1737" s="515"/>
      <c r="RSK1737" s="515"/>
      <c r="RSL1737" s="515"/>
      <c r="RSM1737" s="515"/>
      <c r="RSN1737" s="515"/>
      <c r="RSO1737" s="515"/>
      <c r="RSP1737" s="515"/>
      <c r="RSQ1737" s="515"/>
      <c r="RSR1737" s="515"/>
      <c r="RSS1737" s="515"/>
      <c r="RST1737" s="515"/>
      <c r="RSU1737" s="515"/>
      <c r="RSV1737" s="515"/>
      <c r="RSW1737" s="515"/>
      <c r="RSX1737" s="515"/>
      <c r="RSY1737" s="515"/>
      <c r="RSZ1737" s="515"/>
      <c r="RTA1737" s="515"/>
      <c r="RTB1737" s="515"/>
      <c r="RTC1737" s="515"/>
      <c r="RTD1737" s="515"/>
      <c r="RTE1737" s="515"/>
      <c r="RTF1737" s="515"/>
      <c r="RTG1737" s="515"/>
      <c r="RTH1737" s="515"/>
      <c r="RTI1737" s="515"/>
      <c r="RTJ1737" s="515"/>
      <c r="RTK1737" s="515"/>
      <c r="RTL1737" s="515"/>
      <c r="RTM1737" s="515"/>
      <c r="RTN1737" s="515"/>
      <c r="RTO1737" s="515"/>
      <c r="RTP1737" s="515"/>
      <c r="RTQ1737" s="515"/>
      <c r="RTR1737" s="515"/>
      <c r="RTS1737" s="515"/>
      <c r="RTT1737" s="515"/>
      <c r="RTU1737" s="515"/>
      <c r="RTV1737" s="515"/>
      <c r="RTW1737" s="515"/>
      <c r="RTX1737" s="515"/>
      <c r="RTY1737" s="515"/>
      <c r="RTZ1737" s="515"/>
      <c r="RUA1737" s="515"/>
      <c r="RUB1737" s="515"/>
      <c r="RUC1737" s="515"/>
      <c r="RUD1737" s="515"/>
      <c r="RUE1737" s="515"/>
      <c r="RUF1737" s="515"/>
      <c r="RUG1737" s="515"/>
      <c r="RUH1737" s="515"/>
      <c r="RUI1737" s="515"/>
      <c r="RUJ1737" s="515"/>
      <c r="RUK1737" s="515"/>
      <c r="RUL1737" s="515"/>
      <c r="RUM1737" s="515"/>
      <c r="RUN1737" s="515"/>
      <c r="RUO1737" s="515"/>
      <c r="RUP1737" s="515"/>
      <c r="RUQ1737" s="515"/>
      <c r="RUR1737" s="515"/>
      <c r="RUS1737" s="515"/>
      <c r="RUT1737" s="515"/>
      <c r="RUU1737" s="515"/>
      <c r="RUV1737" s="515"/>
      <c r="RUW1737" s="515"/>
      <c r="RUX1737" s="515"/>
      <c r="RUY1737" s="515"/>
      <c r="RUZ1737" s="515"/>
      <c r="RVA1737" s="515"/>
      <c r="RVB1737" s="515"/>
      <c r="RVC1737" s="515"/>
      <c r="RVD1737" s="515"/>
      <c r="RVE1737" s="515"/>
      <c r="RVF1737" s="515"/>
      <c r="RVG1737" s="515"/>
      <c r="RVH1737" s="515"/>
      <c r="RVI1737" s="515"/>
      <c r="RVJ1737" s="515"/>
      <c r="RVK1737" s="515"/>
      <c r="RVL1737" s="515"/>
      <c r="RVM1737" s="515"/>
      <c r="RVN1737" s="515"/>
      <c r="RVO1737" s="515"/>
      <c r="RVP1737" s="515"/>
      <c r="RVQ1737" s="515"/>
      <c r="RVR1737" s="515"/>
      <c r="RVS1737" s="515"/>
      <c r="RVT1737" s="515"/>
      <c r="RVU1737" s="515"/>
      <c r="RVV1737" s="515"/>
      <c r="RVW1737" s="515"/>
      <c r="RVX1737" s="515"/>
      <c r="RVY1737" s="515"/>
      <c r="RVZ1737" s="515"/>
      <c r="RWA1737" s="515"/>
      <c r="RWB1737" s="515"/>
      <c r="RWC1737" s="515"/>
      <c r="RWD1737" s="515"/>
      <c r="RWE1737" s="515"/>
      <c r="RWF1737" s="515"/>
      <c r="RWG1737" s="515"/>
      <c r="RWH1737" s="515"/>
      <c r="RWI1737" s="515"/>
      <c r="RWJ1737" s="515"/>
      <c r="RWK1737" s="515"/>
      <c r="RWL1737" s="515"/>
      <c r="RWM1737" s="515"/>
      <c r="RWN1737" s="515"/>
      <c r="RWO1737" s="515"/>
      <c r="RWP1737" s="515"/>
      <c r="RWQ1737" s="515"/>
      <c r="RWR1737" s="515"/>
      <c r="RWS1737" s="515"/>
      <c r="RWT1737" s="515"/>
      <c r="RWU1737" s="515"/>
      <c r="RWV1737" s="515"/>
      <c r="RWW1737" s="515"/>
      <c r="RWX1737" s="515"/>
      <c r="RWY1737" s="515"/>
      <c r="RWZ1737" s="515"/>
      <c r="RXA1737" s="515"/>
      <c r="RXB1737" s="515"/>
      <c r="RXC1737" s="515"/>
      <c r="RXD1737" s="515"/>
      <c r="RXE1737" s="515"/>
      <c r="RXF1737" s="515"/>
      <c r="RXG1737" s="515"/>
      <c r="RXH1737" s="515"/>
      <c r="RXI1737" s="515"/>
      <c r="RXJ1737" s="515"/>
      <c r="RXK1737" s="515"/>
      <c r="RXL1737" s="515"/>
      <c r="RXM1737" s="515"/>
      <c r="RXN1737" s="515"/>
      <c r="RXO1737" s="515"/>
      <c r="RXP1737" s="515"/>
      <c r="RXQ1737" s="515"/>
      <c r="RXR1737" s="515"/>
      <c r="RXS1737" s="515"/>
      <c r="RXT1737" s="515"/>
      <c r="RXU1737" s="515"/>
      <c r="RXV1737" s="515"/>
      <c r="RXW1737" s="515"/>
      <c r="RXX1737" s="515"/>
      <c r="RXY1737" s="515"/>
      <c r="RXZ1737" s="515"/>
      <c r="RYA1737" s="515"/>
      <c r="RYB1737" s="515"/>
      <c r="RYC1737" s="515"/>
      <c r="RYD1737" s="515"/>
      <c r="RYE1737" s="515"/>
      <c r="RYF1737" s="515"/>
      <c r="RYG1737" s="515"/>
      <c r="RYH1737" s="515"/>
      <c r="RYI1737" s="515"/>
      <c r="RYJ1737" s="515"/>
      <c r="RYK1737" s="515"/>
      <c r="RYL1737" s="515"/>
      <c r="RYM1737" s="515"/>
      <c r="RYN1737" s="515"/>
      <c r="RYO1737" s="515"/>
      <c r="RYP1737" s="515"/>
      <c r="RYQ1737" s="515"/>
      <c r="RYR1737" s="515"/>
      <c r="RYS1737" s="515"/>
      <c r="RYT1737" s="515"/>
      <c r="RYU1737" s="515"/>
      <c r="RYV1737" s="515"/>
      <c r="RYW1737" s="515"/>
      <c r="RYX1737" s="515"/>
      <c r="RYY1737" s="515"/>
      <c r="RYZ1737" s="515"/>
      <c r="RZA1737" s="515"/>
      <c r="RZB1737" s="515"/>
      <c r="RZC1737" s="515"/>
      <c r="RZD1737" s="515"/>
      <c r="RZE1737" s="515"/>
      <c r="RZF1737" s="515"/>
      <c r="RZG1737" s="515"/>
      <c r="RZH1737" s="515"/>
      <c r="RZI1737" s="515"/>
      <c r="RZJ1737" s="515"/>
      <c r="RZK1737" s="515"/>
      <c r="RZL1737" s="515"/>
      <c r="RZM1737" s="515"/>
      <c r="RZN1737" s="515"/>
      <c r="RZO1737" s="515"/>
      <c r="RZP1737" s="515"/>
      <c r="RZQ1737" s="515"/>
      <c r="RZR1737" s="515"/>
      <c r="RZS1737" s="515"/>
      <c r="RZT1737" s="515"/>
      <c r="RZU1737" s="515"/>
      <c r="RZV1737" s="515"/>
      <c r="RZW1737" s="515"/>
      <c r="RZX1737" s="515"/>
      <c r="RZY1737" s="515"/>
      <c r="RZZ1737" s="515"/>
      <c r="SAA1737" s="515"/>
      <c r="SAB1737" s="515"/>
      <c r="SAC1737" s="515"/>
      <c r="SAD1737" s="515"/>
      <c r="SAE1737" s="515"/>
      <c r="SAF1737" s="515"/>
      <c r="SAG1737" s="515"/>
      <c r="SAH1737" s="515"/>
      <c r="SAI1737" s="515"/>
      <c r="SAJ1737" s="515"/>
      <c r="SAK1737" s="515"/>
      <c r="SAL1737" s="515"/>
      <c r="SAM1737" s="515"/>
      <c r="SAN1737" s="515"/>
      <c r="SAO1737" s="515"/>
      <c r="SAP1737" s="515"/>
      <c r="SAQ1737" s="515"/>
      <c r="SAR1737" s="515"/>
      <c r="SAS1737" s="515"/>
      <c r="SAT1737" s="515"/>
      <c r="SAU1737" s="515"/>
      <c r="SAV1737" s="515"/>
      <c r="SAW1737" s="515"/>
      <c r="SAX1737" s="515"/>
      <c r="SAY1737" s="515"/>
      <c r="SAZ1737" s="515"/>
      <c r="SBA1737" s="515"/>
      <c r="SBB1737" s="515"/>
      <c r="SBC1737" s="515"/>
      <c r="SBD1737" s="515"/>
      <c r="SBE1737" s="515"/>
      <c r="SBF1737" s="515"/>
      <c r="SBG1737" s="515"/>
      <c r="SBH1737" s="515"/>
      <c r="SBI1737" s="515"/>
      <c r="SBJ1737" s="515"/>
      <c r="SBK1737" s="515"/>
      <c r="SBL1737" s="515"/>
      <c r="SBM1737" s="515"/>
      <c r="SBN1737" s="515"/>
      <c r="SBO1737" s="515"/>
      <c r="SBP1737" s="515"/>
      <c r="SBQ1737" s="515"/>
      <c r="SBR1737" s="515"/>
      <c r="SBS1737" s="515"/>
      <c r="SBT1737" s="515"/>
      <c r="SBU1737" s="515"/>
      <c r="SBV1737" s="515"/>
      <c r="SBW1737" s="515"/>
      <c r="SBX1737" s="515"/>
      <c r="SBY1737" s="515"/>
      <c r="SBZ1737" s="515"/>
      <c r="SCA1737" s="515"/>
      <c r="SCB1737" s="515"/>
      <c r="SCC1737" s="515"/>
      <c r="SCD1737" s="515"/>
      <c r="SCE1737" s="515"/>
      <c r="SCF1737" s="515"/>
      <c r="SCG1737" s="515"/>
      <c r="SCH1737" s="515"/>
      <c r="SCI1737" s="515"/>
      <c r="SCJ1737" s="515"/>
      <c r="SCK1737" s="515"/>
      <c r="SCL1737" s="515"/>
      <c r="SCM1737" s="515"/>
      <c r="SCN1737" s="515"/>
      <c r="SCO1737" s="515"/>
      <c r="SCP1737" s="515"/>
      <c r="SCQ1737" s="515"/>
      <c r="SCR1737" s="515"/>
      <c r="SCS1737" s="515"/>
      <c r="SCT1737" s="515"/>
      <c r="SCU1737" s="515"/>
      <c r="SCV1737" s="515"/>
      <c r="SCW1737" s="515"/>
      <c r="SCX1737" s="515"/>
      <c r="SCY1737" s="515"/>
      <c r="SCZ1737" s="515"/>
      <c r="SDA1737" s="515"/>
      <c r="SDB1737" s="515"/>
      <c r="SDC1737" s="515"/>
      <c r="SDD1737" s="515"/>
      <c r="SDE1737" s="515"/>
      <c r="SDF1737" s="515"/>
      <c r="SDG1737" s="515"/>
      <c r="SDH1737" s="515"/>
      <c r="SDI1737" s="515"/>
      <c r="SDJ1737" s="515"/>
      <c r="SDK1737" s="515"/>
      <c r="SDL1737" s="515"/>
      <c r="SDM1737" s="515"/>
      <c r="SDN1737" s="515"/>
      <c r="SDO1737" s="515"/>
      <c r="SDP1737" s="515"/>
      <c r="SDQ1737" s="515"/>
      <c r="SDR1737" s="515"/>
      <c r="SDS1737" s="515"/>
      <c r="SDT1737" s="515"/>
      <c r="SDU1737" s="515"/>
      <c r="SDV1737" s="515"/>
      <c r="SDW1737" s="515"/>
      <c r="SDX1737" s="515"/>
      <c r="SDY1737" s="515"/>
      <c r="SDZ1737" s="515"/>
      <c r="SEA1737" s="515"/>
      <c r="SEB1737" s="515"/>
      <c r="SEC1737" s="515"/>
      <c r="SED1737" s="515"/>
      <c r="SEE1737" s="515"/>
      <c r="SEF1737" s="515"/>
      <c r="SEG1737" s="515"/>
      <c r="SEH1737" s="515"/>
      <c r="SEI1737" s="515"/>
      <c r="SEJ1737" s="515"/>
      <c r="SEK1737" s="515"/>
      <c r="SEL1737" s="515"/>
      <c r="SEM1737" s="515"/>
      <c r="SEN1737" s="515"/>
      <c r="SEO1737" s="515"/>
      <c r="SEP1737" s="515"/>
      <c r="SEQ1737" s="515"/>
      <c r="SER1737" s="515"/>
      <c r="SES1737" s="515"/>
      <c r="SET1737" s="515"/>
      <c r="SEU1737" s="515"/>
      <c r="SEV1737" s="515"/>
      <c r="SEW1737" s="515"/>
      <c r="SEX1737" s="515"/>
      <c r="SEY1737" s="515"/>
      <c r="SEZ1737" s="515"/>
      <c r="SFA1737" s="515"/>
      <c r="SFB1737" s="515"/>
      <c r="SFC1737" s="515"/>
      <c r="SFD1737" s="515"/>
      <c r="SFE1737" s="515"/>
      <c r="SFF1737" s="515"/>
      <c r="SFG1737" s="515"/>
      <c r="SFH1737" s="515"/>
      <c r="SFI1737" s="515"/>
      <c r="SFJ1737" s="515"/>
      <c r="SFK1737" s="515"/>
      <c r="SFL1737" s="515"/>
      <c r="SFM1737" s="515"/>
      <c r="SFN1737" s="515"/>
      <c r="SFO1737" s="515"/>
      <c r="SFP1737" s="515"/>
      <c r="SFQ1737" s="515"/>
      <c r="SFR1737" s="515"/>
      <c r="SFS1737" s="515"/>
      <c r="SFT1737" s="515"/>
      <c r="SFU1737" s="515"/>
      <c r="SFV1737" s="515"/>
      <c r="SFW1737" s="515"/>
      <c r="SFX1737" s="515"/>
      <c r="SFY1737" s="515"/>
      <c r="SFZ1737" s="515"/>
      <c r="SGA1737" s="515"/>
      <c r="SGB1737" s="515"/>
      <c r="SGC1737" s="515"/>
      <c r="SGD1737" s="515"/>
      <c r="SGE1737" s="515"/>
      <c r="SGF1737" s="515"/>
      <c r="SGG1737" s="515"/>
      <c r="SGH1737" s="515"/>
      <c r="SGI1737" s="515"/>
      <c r="SGJ1737" s="515"/>
      <c r="SGK1737" s="515"/>
      <c r="SGL1737" s="515"/>
      <c r="SGM1737" s="515"/>
      <c r="SGN1737" s="515"/>
      <c r="SGO1737" s="515"/>
      <c r="SGP1737" s="515"/>
      <c r="SGQ1737" s="515"/>
      <c r="SGR1737" s="515"/>
      <c r="SGS1737" s="515"/>
      <c r="SGT1737" s="515"/>
      <c r="SGU1737" s="515"/>
      <c r="SGV1737" s="515"/>
      <c r="SGW1737" s="515"/>
      <c r="SGX1737" s="515"/>
      <c r="SGY1737" s="515"/>
      <c r="SGZ1737" s="515"/>
      <c r="SHA1737" s="515"/>
      <c r="SHB1737" s="515"/>
      <c r="SHC1737" s="515"/>
      <c r="SHD1737" s="515"/>
      <c r="SHE1737" s="515"/>
      <c r="SHF1737" s="515"/>
      <c r="SHG1737" s="515"/>
      <c r="SHH1737" s="515"/>
      <c r="SHI1737" s="515"/>
      <c r="SHJ1737" s="515"/>
      <c r="SHK1737" s="515"/>
      <c r="SHL1737" s="515"/>
      <c r="SHM1737" s="515"/>
      <c r="SHN1737" s="515"/>
      <c r="SHO1737" s="515"/>
      <c r="SHP1737" s="515"/>
      <c r="SHQ1737" s="515"/>
      <c r="SHR1737" s="515"/>
      <c r="SHS1737" s="515"/>
      <c r="SHT1737" s="515"/>
      <c r="SHU1737" s="515"/>
      <c r="SHV1737" s="515"/>
      <c r="SHW1737" s="515"/>
      <c r="SHX1737" s="515"/>
      <c r="SHY1737" s="515"/>
      <c r="SHZ1737" s="515"/>
      <c r="SIA1737" s="515"/>
      <c r="SIB1737" s="515"/>
      <c r="SIC1737" s="515"/>
      <c r="SID1737" s="515"/>
      <c r="SIE1737" s="515"/>
      <c r="SIF1737" s="515"/>
      <c r="SIG1737" s="515"/>
      <c r="SIH1737" s="515"/>
      <c r="SII1737" s="515"/>
      <c r="SIJ1737" s="515"/>
      <c r="SIK1737" s="515"/>
      <c r="SIL1737" s="515"/>
      <c r="SIM1737" s="515"/>
      <c r="SIN1737" s="515"/>
      <c r="SIO1737" s="515"/>
      <c r="SIP1737" s="515"/>
      <c r="SIQ1737" s="515"/>
      <c r="SIR1737" s="515"/>
      <c r="SIS1737" s="515"/>
      <c r="SIT1737" s="515"/>
      <c r="SIU1737" s="515"/>
      <c r="SIV1737" s="515"/>
      <c r="SIW1737" s="515"/>
      <c r="SIX1737" s="515"/>
      <c r="SIY1737" s="515"/>
      <c r="SIZ1737" s="515"/>
      <c r="SJA1737" s="515"/>
      <c r="SJB1737" s="515"/>
      <c r="SJC1737" s="515"/>
      <c r="SJD1737" s="515"/>
      <c r="SJE1737" s="515"/>
      <c r="SJF1737" s="515"/>
      <c r="SJG1737" s="515"/>
      <c r="SJH1737" s="515"/>
      <c r="SJI1737" s="515"/>
      <c r="SJJ1737" s="515"/>
      <c r="SJK1737" s="515"/>
      <c r="SJL1737" s="515"/>
      <c r="SJM1737" s="515"/>
      <c r="SJN1737" s="515"/>
      <c r="SJO1737" s="515"/>
      <c r="SJP1737" s="515"/>
      <c r="SJQ1737" s="515"/>
      <c r="SJR1737" s="515"/>
      <c r="SJS1737" s="515"/>
      <c r="SJT1737" s="515"/>
      <c r="SJU1737" s="515"/>
      <c r="SJV1737" s="515"/>
      <c r="SJW1737" s="515"/>
      <c r="SJX1737" s="515"/>
      <c r="SJY1737" s="515"/>
      <c r="SJZ1737" s="515"/>
      <c r="SKA1737" s="515"/>
      <c r="SKB1737" s="515"/>
      <c r="SKC1737" s="515"/>
      <c r="SKD1737" s="515"/>
      <c r="SKE1737" s="515"/>
      <c r="SKF1737" s="515"/>
      <c r="SKG1737" s="515"/>
      <c r="SKH1737" s="515"/>
      <c r="SKI1737" s="515"/>
      <c r="SKJ1737" s="515"/>
      <c r="SKK1737" s="515"/>
      <c r="SKL1737" s="515"/>
      <c r="SKM1737" s="515"/>
      <c r="SKN1737" s="515"/>
      <c r="SKO1737" s="515"/>
      <c r="SKP1737" s="515"/>
      <c r="SKQ1737" s="515"/>
      <c r="SKR1737" s="515"/>
      <c r="SKS1737" s="515"/>
      <c r="SKT1737" s="515"/>
      <c r="SKU1737" s="515"/>
      <c r="SKV1737" s="515"/>
      <c r="SKW1737" s="515"/>
      <c r="SKX1737" s="515"/>
      <c r="SKY1737" s="515"/>
      <c r="SKZ1737" s="515"/>
      <c r="SLA1737" s="515"/>
      <c r="SLB1737" s="515"/>
      <c r="SLC1737" s="515"/>
      <c r="SLD1737" s="515"/>
      <c r="SLE1737" s="515"/>
      <c r="SLF1737" s="515"/>
      <c r="SLG1737" s="515"/>
      <c r="SLH1737" s="515"/>
      <c r="SLI1737" s="515"/>
      <c r="SLJ1737" s="515"/>
      <c r="SLK1737" s="515"/>
      <c r="SLL1737" s="515"/>
      <c r="SLM1737" s="515"/>
      <c r="SLN1737" s="515"/>
      <c r="SLO1737" s="515"/>
      <c r="SLP1737" s="515"/>
      <c r="SLQ1737" s="515"/>
      <c r="SLR1737" s="515"/>
      <c r="SLS1737" s="515"/>
      <c r="SLT1737" s="515"/>
      <c r="SLU1737" s="515"/>
      <c r="SLV1737" s="515"/>
      <c r="SLW1737" s="515"/>
      <c r="SLX1737" s="515"/>
      <c r="SLY1737" s="515"/>
      <c r="SLZ1737" s="515"/>
      <c r="SMA1737" s="515"/>
      <c r="SMB1737" s="515"/>
      <c r="SMC1737" s="515"/>
      <c r="SMD1737" s="515"/>
      <c r="SME1737" s="515"/>
      <c r="SMF1737" s="515"/>
      <c r="SMG1737" s="515"/>
      <c r="SMH1737" s="515"/>
      <c r="SMI1737" s="515"/>
      <c r="SMJ1737" s="515"/>
      <c r="SMK1737" s="515"/>
      <c r="SML1737" s="515"/>
      <c r="SMM1737" s="515"/>
      <c r="SMN1737" s="515"/>
      <c r="SMO1737" s="515"/>
      <c r="SMP1737" s="515"/>
      <c r="SMQ1737" s="515"/>
      <c r="SMR1737" s="515"/>
      <c r="SMS1737" s="515"/>
      <c r="SMT1737" s="515"/>
      <c r="SMU1737" s="515"/>
      <c r="SMV1737" s="515"/>
      <c r="SMW1737" s="515"/>
      <c r="SMX1737" s="515"/>
      <c r="SMY1737" s="515"/>
      <c r="SMZ1737" s="515"/>
      <c r="SNA1737" s="515"/>
      <c r="SNB1737" s="515"/>
      <c r="SNC1737" s="515"/>
      <c r="SND1737" s="515"/>
      <c r="SNE1737" s="515"/>
      <c r="SNF1737" s="515"/>
      <c r="SNG1737" s="515"/>
      <c r="SNH1737" s="515"/>
      <c r="SNI1737" s="515"/>
      <c r="SNJ1737" s="515"/>
      <c r="SNK1737" s="515"/>
      <c r="SNL1737" s="515"/>
      <c r="SNM1737" s="515"/>
      <c r="SNN1737" s="515"/>
      <c r="SNO1737" s="515"/>
      <c r="SNP1737" s="515"/>
      <c r="SNQ1737" s="515"/>
      <c r="SNR1737" s="515"/>
      <c r="SNS1737" s="515"/>
      <c r="SNT1737" s="515"/>
      <c r="SNU1737" s="515"/>
      <c r="SNV1737" s="515"/>
      <c r="SNW1737" s="515"/>
      <c r="SNX1737" s="515"/>
      <c r="SNY1737" s="515"/>
      <c r="SNZ1737" s="515"/>
      <c r="SOA1737" s="515"/>
      <c r="SOB1737" s="515"/>
      <c r="SOC1737" s="515"/>
      <c r="SOD1737" s="515"/>
      <c r="SOE1737" s="515"/>
      <c r="SOF1737" s="515"/>
      <c r="SOG1737" s="515"/>
      <c r="SOH1737" s="515"/>
      <c r="SOI1737" s="515"/>
      <c r="SOJ1737" s="515"/>
      <c r="SOK1737" s="515"/>
      <c r="SOL1737" s="515"/>
      <c r="SOM1737" s="515"/>
      <c r="SON1737" s="515"/>
      <c r="SOO1737" s="515"/>
      <c r="SOP1737" s="515"/>
      <c r="SOQ1737" s="515"/>
      <c r="SOR1737" s="515"/>
      <c r="SOS1737" s="515"/>
      <c r="SOT1737" s="515"/>
      <c r="SOU1737" s="515"/>
      <c r="SOV1737" s="515"/>
      <c r="SOW1737" s="515"/>
      <c r="SOX1737" s="515"/>
      <c r="SOY1737" s="515"/>
      <c r="SOZ1737" s="515"/>
      <c r="SPA1737" s="515"/>
      <c r="SPB1737" s="515"/>
      <c r="SPC1737" s="515"/>
      <c r="SPD1737" s="515"/>
      <c r="SPE1737" s="515"/>
      <c r="SPF1737" s="515"/>
      <c r="SPG1737" s="515"/>
      <c r="SPH1737" s="515"/>
      <c r="SPI1737" s="515"/>
      <c r="SPJ1737" s="515"/>
      <c r="SPK1737" s="515"/>
      <c r="SPL1737" s="515"/>
      <c r="SPM1737" s="515"/>
      <c r="SPN1737" s="515"/>
      <c r="SPO1737" s="515"/>
      <c r="SPP1737" s="515"/>
      <c r="SPQ1737" s="515"/>
      <c r="SPR1737" s="515"/>
      <c r="SPS1737" s="515"/>
      <c r="SPT1737" s="515"/>
      <c r="SPU1737" s="515"/>
      <c r="SPV1737" s="515"/>
      <c r="SPW1737" s="515"/>
      <c r="SPX1737" s="515"/>
      <c r="SPY1737" s="515"/>
      <c r="SPZ1737" s="515"/>
      <c r="SQA1737" s="515"/>
      <c r="SQB1737" s="515"/>
      <c r="SQC1737" s="515"/>
      <c r="SQD1737" s="515"/>
      <c r="SQE1737" s="515"/>
      <c r="SQF1737" s="515"/>
      <c r="SQG1737" s="515"/>
      <c r="SQH1737" s="515"/>
      <c r="SQI1737" s="515"/>
      <c r="SQJ1737" s="515"/>
      <c r="SQK1737" s="515"/>
      <c r="SQL1737" s="515"/>
      <c r="SQM1737" s="515"/>
      <c r="SQN1737" s="515"/>
      <c r="SQO1737" s="515"/>
      <c r="SQP1737" s="515"/>
      <c r="SQQ1737" s="515"/>
      <c r="SQR1737" s="515"/>
      <c r="SQS1737" s="515"/>
      <c r="SQT1737" s="515"/>
      <c r="SQU1737" s="515"/>
      <c r="SQV1737" s="515"/>
      <c r="SQW1737" s="515"/>
      <c r="SQX1737" s="515"/>
      <c r="SQY1737" s="515"/>
      <c r="SQZ1737" s="515"/>
      <c r="SRA1737" s="515"/>
      <c r="SRB1737" s="515"/>
      <c r="SRC1737" s="515"/>
      <c r="SRD1737" s="515"/>
      <c r="SRE1737" s="515"/>
      <c r="SRF1737" s="515"/>
      <c r="SRG1737" s="515"/>
      <c r="SRH1737" s="515"/>
      <c r="SRI1737" s="515"/>
      <c r="SRJ1737" s="515"/>
      <c r="SRK1737" s="515"/>
      <c r="SRL1737" s="515"/>
      <c r="SRM1737" s="515"/>
      <c r="SRN1737" s="515"/>
      <c r="SRO1737" s="515"/>
      <c r="SRP1737" s="515"/>
      <c r="SRQ1737" s="515"/>
      <c r="SRR1737" s="515"/>
      <c r="SRS1737" s="515"/>
      <c r="SRT1737" s="515"/>
      <c r="SRU1737" s="515"/>
      <c r="SRV1737" s="515"/>
      <c r="SRW1737" s="515"/>
      <c r="SRX1737" s="515"/>
      <c r="SRY1737" s="515"/>
      <c r="SRZ1737" s="515"/>
      <c r="SSA1737" s="515"/>
      <c r="SSB1737" s="515"/>
      <c r="SSC1737" s="515"/>
      <c r="SSD1737" s="515"/>
      <c r="SSE1737" s="515"/>
      <c r="SSF1737" s="515"/>
      <c r="SSG1737" s="515"/>
      <c r="SSH1737" s="515"/>
      <c r="SSI1737" s="515"/>
      <c r="SSJ1737" s="515"/>
      <c r="SSK1737" s="515"/>
      <c r="SSL1737" s="515"/>
      <c r="SSM1737" s="515"/>
      <c r="SSN1737" s="515"/>
      <c r="SSO1737" s="515"/>
      <c r="SSP1737" s="515"/>
      <c r="SSQ1737" s="515"/>
      <c r="SSR1737" s="515"/>
      <c r="SSS1737" s="515"/>
      <c r="SST1737" s="515"/>
      <c r="SSU1737" s="515"/>
      <c r="SSV1737" s="515"/>
      <c r="SSW1737" s="515"/>
      <c r="SSX1737" s="515"/>
      <c r="SSY1737" s="515"/>
      <c r="SSZ1737" s="515"/>
      <c r="STA1737" s="515"/>
      <c r="STB1737" s="515"/>
      <c r="STC1737" s="515"/>
      <c r="STD1737" s="515"/>
      <c r="STE1737" s="515"/>
      <c r="STF1737" s="515"/>
      <c r="STG1737" s="515"/>
      <c r="STH1737" s="515"/>
      <c r="STI1737" s="515"/>
      <c r="STJ1737" s="515"/>
      <c r="STK1737" s="515"/>
      <c r="STL1737" s="515"/>
      <c r="STM1737" s="515"/>
      <c r="STN1737" s="515"/>
      <c r="STO1737" s="515"/>
      <c r="STP1737" s="515"/>
      <c r="STQ1737" s="515"/>
      <c r="STR1737" s="515"/>
      <c r="STS1737" s="515"/>
      <c r="STT1737" s="515"/>
      <c r="STU1737" s="515"/>
      <c r="STV1737" s="515"/>
      <c r="STW1737" s="515"/>
      <c r="STX1737" s="515"/>
      <c r="STY1737" s="515"/>
      <c r="STZ1737" s="515"/>
      <c r="SUA1737" s="515"/>
      <c r="SUB1737" s="515"/>
      <c r="SUC1737" s="515"/>
      <c r="SUD1737" s="515"/>
      <c r="SUE1737" s="515"/>
      <c r="SUF1737" s="515"/>
      <c r="SUG1737" s="515"/>
      <c r="SUH1737" s="515"/>
      <c r="SUI1737" s="515"/>
      <c r="SUJ1737" s="515"/>
      <c r="SUK1737" s="515"/>
      <c r="SUL1737" s="515"/>
      <c r="SUM1737" s="515"/>
      <c r="SUN1737" s="515"/>
      <c r="SUO1737" s="515"/>
      <c r="SUP1737" s="515"/>
      <c r="SUQ1737" s="515"/>
      <c r="SUR1737" s="515"/>
      <c r="SUS1737" s="515"/>
      <c r="SUT1737" s="515"/>
      <c r="SUU1737" s="515"/>
      <c r="SUV1737" s="515"/>
      <c r="SUW1737" s="515"/>
      <c r="SUX1737" s="515"/>
      <c r="SUY1737" s="515"/>
      <c r="SUZ1737" s="515"/>
      <c r="SVA1737" s="515"/>
      <c r="SVB1737" s="515"/>
      <c r="SVC1737" s="515"/>
      <c r="SVD1737" s="515"/>
      <c r="SVE1737" s="515"/>
      <c r="SVF1737" s="515"/>
      <c r="SVG1737" s="515"/>
      <c r="SVH1737" s="515"/>
      <c r="SVI1737" s="515"/>
      <c r="SVJ1737" s="515"/>
      <c r="SVK1737" s="515"/>
      <c r="SVL1737" s="515"/>
      <c r="SVM1737" s="515"/>
      <c r="SVN1737" s="515"/>
      <c r="SVO1737" s="515"/>
      <c r="SVP1737" s="515"/>
      <c r="SVQ1737" s="515"/>
      <c r="SVR1737" s="515"/>
      <c r="SVS1737" s="515"/>
      <c r="SVT1737" s="515"/>
      <c r="SVU1737" s="515"/>
      <c r="SVV1737" s="515"/>
      <c r="SVW1737" s="515"/>
      <c r="SVX1737" s="515"/>
      <c r="SVY1737" s="515"/>
      <c r="SVZ1737" s="515"/>
      <c r="SWA1737" s="515"/>
      <c r="SWB1737" s="515"/>
      <c r="SWC1737" s="515"/>
      <c r="SWD1737" s="515"/>
      <c r="SWE1737" s="515"/>
      <c r="SWF1737" s="515"/>
      <c r="SWG1737" s="515"/>
      <c r="SWH1737" s="515"/>
      <c r="SWI1737" s="515"/>
      <c r="SWJ1737" s="515"/>
      <c r="SWK1737" s="515"/>
      <c r="SWL1737" s="515"/>
      <c r="SWM1737" s="515"/>
      <c r="SWN1737" s="515"/>
      <c r="SWO1737" s="515"/>
      <c r="SWP1737" s="515"/>
      <c r="SWQ1737" s="515"/>
      <c r="SWR1737" s="515"/>
      <c r="SWS1737" s="515"/>
      <c r="SWT1737" s="515"/>
      <c r="SWU1737" s="515"/>
      <c r="SWV1737" s="515"/>
      <c r="SWW1737" s="515"/>
      <c r="SWX1737" s="515"/>
      <c r="SWY1737" s="515"/>
      <c r="SWZ1737" s="515"/>
      <c r="SXA1737" s="515"/>
      <c r="SXB1737" s="515"/>
      <c r="SXC1737" s="515"/>
      <c r="SXD1737" s="515"/>
      <c r="SXE1737" s="515"/>
      <c r="SXF1737" s="515"/>
      <c r="SXG1737" s="515"/>
      <c r="SXH1737" s="515"/>
      <c r="SXI1737" s="515"/>
      <c r="SXJ1737" s="515"/>
      <c r="SXK1737" s="515"/>
      <c r="SXL1737" s="515"/>
      <c r="SXM1737" s="515"/>
      <c r="SXN1737" s="515"/>
      <c r="SXO1737" s="515"/>
      <c r="SXP1737" s="515"/>
      <c r="SXQ1737" s="515"/>
      <c r="SXR1737" s="515"/>
      <c r="SXS1737" s="515"/>
      <c r="SXT1737" s="515"/>
      <c r="SXU1737" s="515"/>
      <c r="SXV1737" s="515"/>
      <c r="SXW1737" s="515"/>
      <c r="SXX1737" s="515"/>
      <c r="SXY1737" s="515"/>
      <c r="SXZ1737" s="515"/>
      <c r="SYA1737" s="515"/>
      <c r="SYB1737" s="515"/>
      <c r="SYC1737" s="515"/>
      <c r="SYD1737" s="515"/>
      <c r="SYE1737" s="515"/>
      <c r="SYF1737" s="515"/>
      <c r="SYG1737" s="515"/>
      <c r="SYH1737" s="515"/>
      <c r="SYI1737" s="515"/>
      <c r="SYJ1737" s="515"/>
      <c r="SYK1737" s="515"/>
      <c r="SYL1737" s="515"/>
      <c r="SYM1737" s="515"/>
      <c r="SYN1737" s="515"/>
      <c r="SYO1737" s="515"/>
      <c r="SYP1737" s="515"/>
      <c r="SYQ1737" s="515"/>
      <c r="SYR1737" s="515"/>
      <c r="SYS1737" s="515"/>
      <c r="SYT1737" s="515"/>
      <c r="SYU1737" s="515"/>
      <c r="SYV1737" s="515"/>
      <c r="SYW1737" s="515"/>
      <c r="SYX1737" s="515"/>
      <c r="SYY1737" s="515"/>
      <c r="SYZ1737" s="515"/>
      <c r="SZA1737" s="515"/>
      <c r="SZB1737" s="515"/>
      <c r="SZC1737" s="515"/>
      <c r="SZD1737" s="515"/>
      <c r="SZE1737" s="515"/>
      <c r="SZF1737" s="515"/>
      <c r="SZG1737" s="515"/>
      <c r="SZH1737" s="515"/>
      <c r="SZI1737" s="515"/>
      <c r="SZJ1737" s="515"/>
      <c r="SZK1737" s="515"/>
      <c r="SZL1737" s="515"/>
      <c r="SZM1737" s="515"/>
      <c r="SZN1737" s="515"/>
      <c r="SZO1737" s="515"/>
      <c r="SZP1737" s="515"/>
      <c r="SZQ1737" s="515"/>
      <c r="SZR1737" s="515"/>
      <c r="SZS1737" s="515"/>
      <c r="SZT1737" s="515"/>
      <c r="SZU1737" s="515"/>
      <c r="SZV1737" s="515"/>
      <c r="SZW1737" s="515"/>
      <c r="SZX1737" s="515"/>
      <c r="SZY1737" s="515"/>
      <c r="SZZ1737" s="515"/>
      <c r="TAA1737" s="515"/>
      <c r="TAB1737" s="515"/>
      <c r="TAC1737" s="515"/>
      <c r="TAD1737" s="515"/>
      <c r="TAE1737" s="515"/>
      <c r="TAF1737" s="515"/>
      <c r="TAG1737" s="515"/>
      <c r="TAH1737" s="515"/>
      <c r="TAI1737" s="515"/>
      <c r="TAJ1737" s="515"/>
      <c r="TAK1737" s="515"/>
      <c r="TAL1737" s="515"/>
      <c r="TAM1737" s="515"/>
      <c r="TAN1737" s="515"/>
      <c r="TAO1737" s="515"/>
      <c r="TAP1737" s="515"/>
      <c r="TAQ1737" s="515"/>
      <c r="TAR1737" s="515"/>
      <c r="TAS1737" s="515"/>
      <c r="TAT1737" s="515"/>
      <c r="TAU1737" s="515"/>
      <c r="TAV1737" s="515"/>
      <c r="TAW1737" s="515"/>
      <c r="TAX1737" s="515"/>
      <c r="TAY1737" s="515"/>
      <c r="TAZ1737" s="515"/>
      <c r="TBA1737" s="515"/>
      <c r="TBB1737" s="515"/>
      <c r="TBC1737" s="515"/>
      <c r="TBD1737" s="515"/>
      <c r="TBE1737" s="515"/>
      <c r="TBF1737" s="515"/>
      <c r="TBG1737" s="515"/>
      <c r="TBH1737" s="515"/>
      <c r="TBI1737" s="515"/>
      <c r="TBJ1737" s="515"/>
      <c r="TBK1737" s="515"/>
      <c r="TBL1737" s="515"/>
      <c r="TBM1737" s="515"/>
      <c r="TBN1737" s="515"/>
      <c r="TBO1737" s="515"/>
      <c r="TBP1737" s="515"/>
      <c r="TBQ1737" s="515"/>
      <c r="TBR1737" s="515"/>
      <c r="TBS1737" s="515"/>
      <c r="TBT1737" s="515"/>
      <c r="TBU1737" s="515"/>
      <c r="TBV1737" s="515"/>
      <c r="TBW1737" s="515"/>
      <c r="TBX1737" s="515"/>
      <c r="TBY1737" s="515"/>
      <c r="TBZ1737" s="515"/>
      <c r="TCA1737" s="515"/>
      <c r="TCB1737" s="515"/>
      <c r="TCC1737" s="515"/>
      <c r="TCD1737" s="515"/>
      <c r="TCE1737" s="515"/>
      <c r="TCF1737" s="515"/>
      <c r="TCG1737" s="515"/>
      <c r="TCH1737" s="515"/>
      <c r="TCI1737" s="515"/>
      <c r="TCJ1737" s="515"/>
      <c r="TCK1737" s="515"/>
      <c r="TCL1737" s="515"/>
      <c r="TCM1737" s="515"/>
      <c r="TCN1737" s="515"/>
      <c r="TCO1737" s="515"/>
      <c r="TCP1737" s="515"/>
      <c r="TCQ1737" s="515"/>
      <c r="TCR1737" s="515"/>
      <c r="TCS1737" s="515"/>
      <c r="TCT1737" s="515"/>
      <c r="TCU1737" s="515"/>
      <c r="TCV1737" s="515"/>
      <c r="TCW1737" s="515"/>
      <c r="TCX1737" s="515"/>
      <c r="TCY1737" s="515"/>
      <c r="TCZ1737" s="515"/>
      <c r="TDA1737" s="515"/>
      <c r="TDB1737" s="515"/>
      <c r="TDC1737" s="515"/>
      <c r="TDD1737" s="515"/>
      <c r="TDE1737" s="515"/>
      <c r="TDF1737" s="515"/>
      <c r="TDG1737" s="515"/>
      <c r="TDH1737" s="515"/>
      <c r="TDI1737" s="515"/>
      <c r="TDJ1737" s="515"/>
      <c r="TDK1737" s="515"/>
      <c r="TDL1737" s="515"/>
      <c r="TDM1737" s="515"/>
      <c r="TDN1737" s="515"/>
      <c r="TDO1737" s="515"/>
      <c r="TDP1737" s="515"/>
      <c r="TDQ1737" s="515"/>
      <c r="TDR1737" s="515"/>
      <c r="TDS1737" s="515"/>
      <c r="TDT1737" s="515"/>
      <c r="TDU1737" s="515"/>
      <c r="TDV1737" s="515"/>
      <c r="TDW1737" s="515"/>
      <c r="TDX1737" s="515"/>
      <c r="TDY1737" s="515"/>
      <c r="TDZ1737" s="515"/>
      <c r="TEA1737" s="515"/>
      <c r="TEB1737" s="515"/>
      <c r="TEC1737" s="515"/>
      <c r="TED1737" s="515"/>
      <c r="TEE1737" s="515"/>
      <c r="TEF1737" s="515"/>
      <c r="TEG1737" s="515"/>
      <c r="TEH1737" s="515"/>
      <c r="TEI1737" s="515"/>
      <c r="TEJ1737" s="515"/>
      <c r="TEK1737" s="515"/>
      <c r="TEL1737" s="515"/>
      <c r="TEM1737" s="515"/>
      <c r="TEN1737" s="515"/>
      <c r="TEO1737" s="515"/>
      <c r="TEP1737" s="515"/>
      <c r="TEQ1737" s="515"/>
      <c r="TER1737" s="515"/>
      <c r="TES1737" s="515"/>
      <c r="TET1737" s="515"/>
      <c r="TEU1737" s="515"/>
      <c r="TEV1737" s="515"/>
      <c r="TEW1737" s="515"/>
      <c r="TEX1737" s="515"/>
      <c r="TEY1737" s="515"/>
      <c r="TEZ1737" s="515"/>
      <c r="TFA1737" s="515"/>
      <c r="TFB1737" s="515"/>
      <c r="TFC1737" s="515"/>
      <c r="TFD1737" s="515"/>
      <c r="TFE1737" s="515"/>
      <c r="TFF1737" s="515"/>
      <c r="TFG1737" s="515"/>
      <c r="TFH1737" s="515"/>
      <c r="TFI1737" s="515"/>
      <c r="TFJ1737" s="515"/>
      <c r="TFK1737" s="515"/>
      <c r="TFL1737" s="515"/>
      <c r="TFM1737" s="515"/>
      <c r="TFN1737" s="515"/>
      <c r="TFO1737" s="515"/>
      <c r="TFP1737" s="515"/>
      <c r="TFQ1737" s="515"/>
      <c r="TFR1737" s="515"/>
      <c r="TFS1737" s="515"/>
      <c r="TFT1737" s="515"/>
      <c r="TFU1737" s="515"/>
      <c r="TFV1737" s="515"/>
      <c r="TFW1737" s="515"/>
      <c r="TFX1737" s="515"/>
      <c r="TFY1737" s="515"/>
      <c r="TFZ1737" s="515"/>
      <c r="TGA1737" s="515"/>
      <c r="TGB1737" s="515"/>
      <c r="TGC1737" s="515"/>
      <c r="TGD1737" s="515"/>
      <c r="TGE1737" s="515"/>
      <c r="TGF1737" s="515"/>
      <c r="TGG1737" s="515"/>
      <c r="TGH1737" s="515"/>
      <c r="TGI1737" s="515"/>
      <c r="TGJ1737" s="515"/>
      <c r="TGK1737" s="515"/>
      <c r="TGL1737" s="515"/>
      <c r="TGM1737" s="515"/>
      <c r="TGN1737" s="515"/>
      <c r="TGO1737" s="515"/>
      <c r="TGP1737" s="515"/>
      <c r="TGQ1737" s="515"/>
      <c r="TGR1737" s="515"/>
      <c r="TGS1737" s="515"/>
      <c r="TGT1737" s="515"/>
      <c r="TGU1737" s="515"/>
      <c r="TGV1737" s="515"/>
      <c r="TGW1737" s="515"/>
      <c r="TGX1737" s="515"/>
      <c r="TGY1737" s="515"/>
      <c r="TGZ1737" s="515"/>
      <c r="THA1737" s="515"/>
      <c r="THB1737" s="515"/>
      <c r="THC1737" s="515"/>
      <c r="THD1737" s="515"/>
      <c r="THE1737" s="515"/>
      <c r="THF1737" s="515"/>
      <c r="THG1737" s="515"/>
      <c r="THH1737" s="515"/>
      <c r="THI1737" s="515"/>
      <c r="THJ1737" s="515"/>
      <c r="THK1737" s="515"/>
      <c r="THL1737" s="515"/>
      <c r="THM1737" s="515"/>
      <c r="THN1737" s="515"/>
      <c r="THO1737" s="515"/>
      <c r="THP1737" s="515"/>
      <c r="THQ1737" s="515"/>
      <c r="THR1737" s="515"/>
      <c r="THS1737" s="515"/>
      <c r="THT1737" s="515"/>
      <c r="THU1737" s="515"/>
      <c r="THV1737" s="515"/>
      <c r="THW1737" s="515"/>
      <c r="THX1737" s="515"/>
      <c r="THY1737" s="515"/>
      <c r="THZ1737" s="515"/>
      <c r="TIA1737" s="515"/>
      <c r="TIB1737" s="515"/>
      <c r="TIC1737" s="515"/>
      <c r="TID1737" s="515"/>
      <c r="TIE1737" s="515"/>
      <c r="TIF1737" s="515"/>
      <c r="TIG1737" s="515"/>
      <c r="TIH1737" s="515"/>
      <c r="TII1737" s="515"/>
      <c r="TIJ1737" s="515"/>
      <c r="TIK1737" s="515"/>
      <c r="TIL1737" s="515"/>
      <c r="TIM1737" s="515"/>
      <c r="TIN1737" s="515"/>
      <c r="TIO1737" s="515"/>
      <c r="TIP1737" s="515"/>
      <c r="TIQ1737" s="515"/>
      <c r="TIR1737" s="515"/>
      <c r="TIS1737" s="515"/>
      <c r="TIT1737" s="515"/>
      <c r="TIU1737" s="515"/>
      <c r="TIV1737" s="515"/>
      <c r="TIW1737" s="515"/>
      <c r="TIX1737" s="515"/>
      <c r="TIY1737" s="515"/>
      <c r="TIZ1737" s="515"/>
      <c r="TJA1737" s="515"/>
      <c r="TJB1737" s="515"/>
      <c r="TJC1737" s="515"/>
      <c r="TJD1737" s="515"/>
      <c r="TJE1737" s="515"/>
      <c r="TJF1737" s="515"/>
      <c r="TJG1737" s="515"/>
      <c r="TJH1737" s="515"/>
      <c r="TJI1737" s="515"/>
      <c r="TJJ1737" s="515"/>
      <c r="TJK1737" s="515"/>
      <c r="TJL1737" s="515"/>
      <c r="TJM1737" s="515"/>
      <c r="TJN1737" s="515"/>
      <c r="TJO1737" s="515"/>
      <c r="TJP1737" s="515"/>
      <c r="TJQ1737" s="515"/>
      <c r="TJR1737" s="515"/>
      <c r="TJS1737" s="515"/>
      <c r="TJT1737" s="515"/>
      <c r="TJU1737" s="515"/>
      <c r="TJV1737" s="515"/>
      <c r="TJW1737" s="515"/>
      <c r="TJX1737" s="515"/>
      <c r="TJY1737" s="515"/>
      <c r="TJZ1737" s="515"/>
      <c r="TKA1737" s="515"/>
      <c r="TKB1737" s="515"/>
      <c r="TKC1737" s="515"/>
      <c r="TKD1737" s="515"/>
      <c r="TKE1737" s="515"/>
      <c r="TKF1737" s="515"/>
      <c r="TKG1737" s="515"/>
      <c r="TKH1737" s="515"/>
      <c r="TKI1737" s="515"/>
      <c r="TKJ1737" s="515"/>
      <c r="TKK1737" s="515"/>
      <c r="TKL1737" s="515"/>
      <c r="TKM1737" s="515"/>
      <c r="TKN1737" s="515"/>
      <c r="TKO1737" s="515"/>
      <c r="TKP1737" s="515"/>
      <c r="TKQ1737" s="515"/>
      <c r="TKR1737" s="515"/>
      <c r="TKS1737" s="515"/>
      <c r="TKT1737" s="515"/>
      <c r="TKU1737" s="515"/>
      <c r="TKV1737" s="515"/>
      <c r="TKW1737" s="515"/>
      <c r="TKX1737" s="515"/>
      <c r="TKY1737" s="515"/>
      <c r="TKZ1737" s="515"/>
      <c r="TLA1737" s="515"/>
      <c r="TLB1737" s="515"/>
      <c r="TLC1737" s="515"/>
      <c r="TLD1737" s="515"/>
      <c r="TLE1737" s="515"/>
      <c r="TLF1737" s="515"/>
      <c r="TLG1737" s="515"/>
      <c r="TLH1737" s="515"/>
      <c r="TLI1737" s="515"/>
      <c r="TLJ1737" s="515"/>
      <c r="TLK1737" s="515"/>
      <c r="TLL1737" s="515"/>
      <c r="TLM1737" s="515"/>
      <c r="TLN1737" s="515"/>
      <c r="TLO1737" s="515"/>
      <c r="TLP1737" s="515"/>
      <c r="TLQ1737" s="515"/>
      <c r="TLR1737" s="515"/>
      <c r="TLS1737" s="515"/>
      <c r="TLT1737" s="515"/>
      <c r="TLU1737" s="515"/>
      <c r="TLV1737" s="515"/>
      <c r="TLW1737" s="515"/>
      <c r="TLX1737" s="515"/>
      <c r="TLY1737" s="515"/>
      <c r="TLZ1737" s="515"/>
      <c r="TMA1737" s="515"/>
      <c r="TMB1737" s="515"/>
      <c r="TMC1737" s="515"/>
      <c r="TMD1737" s="515"/>
      <c r="TME1737" s="515"/>
      <c r="TMF1737" s="515"/>
      <c r="TMG1737" s="515"/>
      <c r="TMH1737" s="515"/>
      <c r="TMI1737" s="515"/>
      <c r="TMJ1737" s="515"/>
      <c r="TMK1737" s="515"/>
      <c r="TML1737" s="515"/>
      <c r="TMM1737" s="515"/>
      <c r="TMN1737" s="515"/>
      <c r="TMO1737" s="515"/>
      <c r="TMP1737" s="515"/>
      <c r="TMQ1737" s="515"/>
      <c r="TMR1737" s="515"/>
      <c r="TMS1737" s="515"/>
      <c r="TMT1737" s="515"/>
      <c r="TMU1737" s="515"/>
      <c r="TMV1737" s="515"/>
      <c r="TMW1737" s="515"/>
      <c r="TMX1737" s="515"/>
      <c r="TMY1737" s="515"/>
      <c r="TMZ1737" s="515"/>
      <c r="TNA1737" s="515"/>
      <c r="TNB1737" s="515"/>
      <c r="TNC1737" s="515"/>
      <c r="TND1737" s="515"/>
      <c r="TNE1737" s="515"/>
      <c r="TNF1737" s="515"/>
      <c r="TNG1737" s="515"/>
      <c r="TNH1737" s="515"/>
      <c r="TNI1737" s="515"/>
      <c r="TNJ1737" s="515"/>
      <c r="TNK1737" s="515"/>
      <c r="TNL1737" s="515"/>
      <c r="TNM1737" s="515"/>
      <c r="TNN1737" s="515"/>
      <c r="TNO1737" s="515"/>
      <c r="TNP1737" s="515"/>
      <c r="TNQ1737" s="515"/>
      <c r="TNR1737" s="515"/>
      <c r="TNS1737" s="515"/>
      <c r="TNT1737" s="515"/>
      <c r="TNU1737" s="515"/>
      <c r="TNV1737" s="515"/>
      <c r="TNW1737" s="515"/>
      <c r="TNX1737" s="515"/>
      <c r="TNY1737" s="515"/>
      <c r="TNZ1737" s="515"/>
      <c r="TOA1737" s="515"/>
      <c r="TOB1737" s="515"/>
      <c r="TOC1737" s="515"/>
      <c r="TOD1737" s="515"/>
      <c r="TOE1737" s="515"/>
      <c r="TOF1737" s="515"/>
      <c r="TOG1737" s="515"/>
      <c r="TOH1737" s="515"/>
      <c r="TOI1737" s="515"/>
      <c r="TOJ1737" s="515"/>
      <c r="TOK1737" s="515"/>
      <c r="TOL1737" s="515"/>
      <c r="TOM1737" s="515"/>
      <c r="TON1737" s="515"/>
      <c r="TOO1737" s="515"/>
      <c r="TOP1737" s="515"/>
      <c r="TOQ1737" s="515"/>
      <c r="TOR1737" s="515"/>
      <c r="TOS1737" s="515"/>
      <c r="TOT1737" s="515"/>
      <c r="TOU1737" s="515"/>
      <c r="TOV1737" s="515"/>
      <c r="TOW1737" s="515"/>
      <c r="TOX1737" s="515"/>
      <c r="TOY1737" s="515"/>
      <c r="TOZ1737" s="515"/>
      <c r="TPA1737" s="515"/>
      <c r="TPB1737" s="515"/>
      <c r="TPC1737" s="515"/>
      <c r="TPD1737" s="515"/>
      <c r="TPE1737" s="515"/>
      <c r="TPF1737" s="515"/>
      <c r="TPG1737" s="515"/>
      <c r="TPH1737" s="515"/>
      <c r="TPI1737" s="515"/>
      <c r="TPJ1737" s="515"/>
      <c r="TPK1737" s="515"/>
      <c r="TPL1737" s="515"/>
      <c r="TPM1737" s="515"/>
      <c r="TPN1737" s="515"/>
      <c r="TPO1737" s="515"/>
      <c r="TPP1737" s="515"/>
      <c r="TPQ1737" s="515"/>
      <c r="TPR1737" s="515"/>
      <c r="TPS1737" s="515"/>
      <c r="TPT1737" s="515"/>
      <c r="TPU1737" s="515"/>
      <c r="TPV1737" s="515"/>
      <c r="TPW1737" s="515"/>
      <c r="TPX1737" s="515"/>
      <c r="TPY1737" s="515"/>
      <c r="TPZ1737" s="515"/>
      <c r="TQA1737" s="515"/>
      <c r="TQB1737" s="515"/>
      <c r="TQC1737" s="515"/>
      <c r="TQD1737" s="515"/>
      <c r="TQE1737" s="515"/>
      <c r="TQF1737" s="515"/>
      <c r="TQG1737" s="515"/>
      <c r="TQH1737" s="515"/>
      <c r="TQI1737" s="515"/>
      <c r="TQJ1737" s="515"/>
      <c r="TQK1737" s="515"/>
      <c r="TQL1737" s="515"/>
      <c r="TQM1737" s="515"/>
      <c r="TQN1737" s="515"/>
      <c r="TQO1737" s="515"/>
      <c r="TQP1737" s="515"/>
      <c r="TQQ1737" s="515"/>
      <c r="TQR1737" s="515"/>
      <c r="TQS1737" s="515"/>
      <c r="TQT1737" s="515"/>
      <c r="TQU1737" s="515"/>
      <c r="TQV1737" s="515"/>
      <c r="TQW1737" s="515"/>
      <c r="TQX1737" s="515"/>
      <c r="TQY1737" s="515"/>
      <c r="TQZ1737" s="515"/>
      <c r="TRA1737" s="515"/>
      <c r="TRB1737" s="515"/>
      <c r="TRC1737" s="515"/>
      <c r="TRD1737" s="515"/>
      <c r="TRE1737" s="515"/>
      <c r="TRF1737" s="515"/>
      <c r="TRG1737" s="515"/>
      <c r="TRH1737" s="515"/>
      <c r="TRI1737" s="515"/>
      <c r="TRJ1737" s="515"/>
      <c r="TRK1737" s="515"/>
      <c r="TRL1737" s="515"/>
      <c r="TRM1737" s="515"/>
      <c r="TRN1737" s="515"/>
      <c r="TRO1737" s="515"/>
      <c r="TRP1737" s="515"/>
      <c r="TRQ1737" s="515"/>
      <c r="TRR1737" s="515"/>
      <c r="TRS1737" s="515"/>
      <c r="TRT1737" s="515"/>
      <c r="TRU1737" s="515"/>
      <c r="TRV1737" s="515"/>
      <c r="TRW1737" s="515"/>
      <c r="TRX1737" s="515"/>
      <c r="TRY1737" s="515"/>
      <c r="TRZ1737" s="515"/>
      <c r="TSA1737" s="515"/>
      <c r="TSB1737" s="515"/>
      <c r="TSC1737" s="515"/>
      <c r="TSD1737" s="515"/>
      <c r="TSE1737" s="515"/>
      <c r="TSF1737" s="515"/>
      <c r="TSG1737" s="515"/>
      <c r="TSH1737" s="515"/>
      <c r="TSI1737" s="515"/>
      <c r="TSJ1737" s="515"/>
      <c r="TSK1737" s="515"/>
      <c r="TSL1737" s="515"/>
      <c r="TSM1737" s="515"/>
      <c r="TSN1737" s="515"/>
      <c r="TSO1737" s="515"/>
      <c r="TSP1737" s="515"/>
      <c r="TSQ1737" s="515"/>
      <c r="TSR1737" s="515"/>
      <c r="TSS1737" s="515"/>
      <c r="TST1737" s="515"/>
      <c r="TSU1737" s="515"/>
      <c r="TSV1737" s="515"/>
      <c r="TSW1737" s="515"/>
      <c r="TSX1737" s="515"/>
      <c r="TSY1737" s="515"/>
      <c r="TSZ1737" s="515"/>
      <c r="TTA1737" s="515"/>
      <c r="TTB1737" s="515"/>
      <c r="TTC1737" s="515"/>
      <c r="TTD1737" s="515"/>
      <c r="TTE1737" s="515"/>
      <c r="TTF1737" s="515"/>
      <c r="TTG1737" s="515"/>
      <c r="TTH1737" s="515"/>
      <c r="TTI1737" s="515"/>
      <c r="TTJ1737" s="515"/>
      <c r="TTK1737" s="515"/>
      <c r="TTL1737" s="515"/>
      <c r="TTM1737" s="515"/>
      <c r="TTN1737" s="515"/>
      <c r="TTO1737" s="515"/>
      <c r="TTP1737" s="515"/>
      <c r="TTQ1737" s="515"/>
      <c r="TTR1737" s="515"/>
      <c r="TTS1737" s="515"/>
      <c r="TTT1737" s="515"/>
      <c r="TTU1737" s="515"/>
      <c r="TTV1737" s="515"/>
      <c r="TTW1737" s="515"/>
      <c r="TTX1737" s="515"/>
      <c r="TTY1737" s="515"/>
      <c r="TTZ1737" s="515"/>
      <c r="TUA1737" s="515"/>
      <c r="TUB1737" s="515"/>
      <c r="TUC1737" s="515"/>
      <c r="TUD1737" s="515"/>
      <c r="TUE1737" s="515"/>
      <c r="TUF1737" s="515"/>
      <c r="TUG1737" s="515"/>
      <c r="TUH1737" s="515"/>
      <c r="TUI1737" s="515"/>
      <c r="TUJ1737" s="515"/>
      <c r="TUK1737" s="515"/>
      <c r="TUL1737" s="515"/>
      <c r="TUM1737" s="515"/>
      <c r="TUN1737" s="515"/>
      <c r="TUO1737" s="515"/>
      <c r="TUP1737" s="515"/>
      <c r="TUQ1737" s="515"/>
      <c r="TUR1737" s="515"/>
      <c r="TUS1737" s="515"/>
      <c r="TUT1737" s="515"/>
      <c r="TUU1737" s="515"/>
      <c r="TUV1737" s="515"/>
      <c r="TUW1737" s="515"/>
      <c r="TUX1737" s="515"/>
      <c r="TUY1737" s="515"/>
      <c r="TUZ1737" s="515"/>
      <c r="TVA1737" s="515"/>
      <c r="TVB1737" s="515"/>
      <c r="TVC1737" s="515"/>
      <c r="TVD1737" s="515"/>
      <c r="TVE1737" s="515"/>
      <c r="TVF1737" s="515"/>
      <c r="TVG1737" s="515"/>
      <c r="TVH1737" s="515"/>
      <c r="TVI1737" s="515"/>
      <c r="TVJ1737" s="515"/>
      <c r="TVK1737" s="515"/>
      <c r="TVL1737" s="515"/>
      <c r="TVM1737" s="515"/>
      <c r="TVN1737" s="515"/>
      <c r="TVO1737" s="515"/>
      <c r="TVP1737" s="515"/>
      <c r="TVQ1737" s="515"/>
      <c r="TVR1737" s="515"/>
      <c r="TVS1737" s="515"/>
      <c r="TVT1737" s="515"/>
      <c r="TVU1737" s="515"/>
      <c r="TVV1737" s="515"/>
      <c r="TVW1737" s="515"/>
      <c r="TVX1737" s="515"/>
      <c r="TVY1737" s="515"/>
      <c r="TVZ1737" s="515"/>
      <c r="TWA1737" s="515"/>
      <c r="TWB1737" s="515"/>
      <c r="TWC1737" s="515"/>
      <c r="TWD1737" s="515"/>
      <c r="TWE1737" s="515"/>
      <c r="TWF1737" s="515"/>
      <c r="TWG1737" s="515"/>
      <c r="TWH1737" s="515"/>
      <c r="TWI1737" s="515"/>
      <c r="TWJ1737" s="515"/>
      <c r="TWK1737" s="515"/>
      <c r="TWL1737" s="515"/>
      <c r="TWM1737" s="515"/>
      <c r="TWN1737" s="515"/>
      <c r="TWO1737" s="515"/>
      <c r="TWP1737" s="515"/>
      <c r="TWQ1737" s="515"/>
      <c r="TWR1737" s="515"/>
      <c r="TWS1737" s="515"/>
      <c r="TWT1737" s="515"/>
      <c r="TWU1737" s="515"/>
      <c r="TWV1737" s="515"/>
      <c r="TWW1737" s="515"/>
      <c r="TWX1737" s="515"/>
      <c r="TWY1737" s="515"/>
      <c r="TWZ1737" s="515"/>
      <c r="TXA1737" s="515"/>
      <c r="TXB1737" s="515"/>
      <c r="TXC1737" s="515"/>
      <c r="TXD1737" s="515"/>
      <c r="TXE1737" s="515"/>
      <c r="TXF1737" s="515"/>
      <c r="TXG1737" s="515"/>
      <c r="TXH1737" s="515"/>
      <c r="TXI1737" s="515"/>
      <c r="TXJ1737" s="515"/>
      <c r="TXK1737" s="515"/>
      <c r="TXL1737" s="515"/>
      <c r="TXM1737" s="515"/>
      <c r="TXN1737" s="515"/>
      <c r="TXO1737" s="515"/>
      <c r="TXP1737" s="515"/>
      <c r="TXQ1737" s="515"/>
      <c r="TXR1737" s="515"/>
      <c r="TXS1737" s="515"/>
      <c r="TXT1737" s="515"/>
      <c r="TXU1737" s="515"/>
      <c r="TXV1737" s="515"/>
      <c r="TXW1737" s="515"/>
      <c r="TXX1737" s="515"/>
      <c r="TXY1737" s="515"/>
      <c r="TXZ1737" s="515"/>
      <c r="TYA1737" s="515"/>
      <c r="TYB1737" s="515"/>
      <c r="TYC1737" s="515"/>
      <c r="TYD1737" s="515"/>
      <c r="TYE1737" s="515"/>
      <c r="TYF1737" s="515"/>
      <c r="TYG1737" s="515"/>
      <c r="TYH1737" s="515"/>
      <c r="TYI1737" s="515"/>
      <c r="TYJ1737" s="515"/>
      <c r="TYK1737" s="515"/>
      <c r="TYL1737" s="515"/>
      <c r="TYM1737" s="515"/>
      <c r="TYN1737" s="515"/>
      <c r="TYO1737" s="515"/>
      <c r="TYP1737" s="515"/>
      <c r="TYQ1737" s="515"/>
      <c r="TYR1737" s="515"/>
      <c r="TYS1737" s="515"/>
      <c r="TYT1737" s="515"/>
      <c r="TYU1737" s="515"/>
      <c r="TYV1737" s="515"/>
      <c r="TYW1737" s="515"/>
      <c r="TYX1737" s="515"/>
      <c r="TYY1737" s="515"/>
      <c r="TYZ1737" s="515"/>
      <c r="TZA1737" s="515"/>
      <c r="TZB1737" s="515"/>
      <c r="TZC1737" s="515"/>
      <c r="TZD1737" s="515"/>
      <c r="TZE1737" s="515"/>
      <c r="TZF1737" s="515"/>
      <c r="TZG1737" s="515"/>
      <c r="TZH1737" s="515"/>
      <c r="TZI1737" s="515"/>
      <c r="TZJ1737" s="515"/>
      <c r="TZK1737" s="515"/>
      <c r="TZL1737" s="515"/>
      <c r="TZM1737" s="515"/>
      <c r="TZN1737" s="515"/>
      <c r="TZO1737" s="515"/>
      <c r="TZP1737" s="515"/>
      <c r="TZQ1737" s="515"/>
      <c r="TZR1737" s="515"/>
      <c r="TZS1737" s="515"/>
      <c r="TZT1737" s="515"/>
      <c r="TZU1737" s="515"/>
      <c r="TZV1737" s="515"/>
      <c r="TZW1737" s="515"/>
      <c r="TZX1737" s="515"/>
      <c r="TZY1737" s="515"/>
      <c r="TZZ1737" s="515"/>
      <c r="UAA1737" s="515"/>
      <c r="UAB1737" s="515"/>
      <c r="UAC1737" s="515"/>
      <c r="UAD1737" s="515"/>
      <c r="UAE1737" s="515"/>
      <c r="UAF1737" s="515"/>
      <c r="UAG1737" s="515"/>
      <c r="UAH1737" s="515"/>
      <c r="UAI1737" s="515"/>
      <c r="UAJ1737" s="515"/>
      <c r="UAK1737" s="515"/>
      <c r="UAL1737" s="515"/>
      <c r="UAM1737" s="515"/>
      <c r="UAN1737" s="515"/>
      <c r="UAO1737" s="515"/>
      <c r="UAP1737" s="515"/>
      <c r="UAQ1737" s="515"/>
      <c r="UAR1737" s="515"/>
      <c r="UAS1737" s="515"/>
      <c r="UAT1737" s="515"/>
      <c r="UAU1737" s="515"/>
      <c r="UAV1737" s="515"/>
      <c r="UAW1737" s="515"/>
      <c r="UAX1737" s="515"/>
      <c r="UAY1737" s="515"/>
      <c r="UAZ1737" s="515"/>
      <c r="UBA1737" s="515"/>
      <c r="UBB1737" s="515"/>
      <c r="UBC1737" s="515"/>
      <c r="UBD1737" s="515"/>
      <c r="UBE1737" s="515"/>
      <c r="UBF1737" s="515"/>
      <c r="UBG1737" s="515"/>
      <c r="UBH1737" s="515"/>
      <c r="UBI1737" s="515"/>
      <c r="UBJ1737" s="515"/>
      <c r="UBK1737" s="515"/>
      <c r="UBL1737" s="515"/>
      <c r="UBM1737" s="515"/>
      <c r="UBN1737" s="515"/>
      <c r="UBO1737" s="515"/>
      <c r="UBP1737" s="515"/>
      <c r="UBQ1737" s="515"/>
      <c r="UBR1737" s="515"/>
      <c r="UBS1737" s="515"/>
      <c r="UBT1737" s="515"/>
      <c r="UBU1737" s="515"/>
      <c r="UBV1737" s="515"/>
      <c r="UBW1737" s="515"/>
      <c r="UBX1737" s="515"/>
      <c r="UBY1737" s="515"/>
      <c r="UBZ1737" s="515"/>
      <c r="UCA1737" s="515"/>
      <c r="UCB1737" s="515"/>
      <c r="UCC1737" s="515"/>
      <c r="UCD1737" s="515"/>
      <c r="UCE1737" s="515"/>
      <c r="UCF1737" s="515"/>
      <c r="UCG1737" s="515"/>
      <c r="UCH1737" s="515"/>
      <c r="UCI1737" s="515"/>
      <c r="UCJ1737" s="515"/>
      <c r="UCK1737" s="515"/>
      <c r="UCL1737" s="515"/>
      <c r="UCM1737" s="515"/>
      <c r="UCN1737" s="515"/>
      <c r="UCO1737" s="515"/>
      <c r="UCP1737" s="515"/>
      <c r="UCQ1737" s="515"/>
      <c r="UCR1737" s="515"/>
      <c r="UCS1737" s="515"/>
      <c r="UCT1737" s="515"/>
      <c r="UCU1737" s="515"/>
      <c r="UCV1737" s="515"/>
      <c r="UCW1737" s="515"/>
      <c r="UCX1737" s="515"/>
      <c r="UCY1737" s="515"/>
      <c r="UCZ1737" s="515"/>
      <c r="UDA1737" s="515"/>
      <c r="UDB1737" s="515"/>
      <c r="UDC1737" s="515"/>
      <c r="UDD1737" s="515"/>
      <c r="UDE1737" s="515"/>
      <c r="UDF1737" s="515"/>
      <c r="UDG1737" s="515"/>
      <c r="UDH1737" s="515"/>
      <c r="UDI1737" s="515"/>
      <c r="UDJ1737" s="515"/>
      <c r="UDK1737" s="515"/>
      <c r="UDL1737" s="515"/>
      <c r="UDM1737" s="515"/>
      <c r="UDN1737" s="515"/>
      <c r="UDO1737" s="515"/>
      <c r="UDP1737" s="515"/>
      <c r="UDQ1737" s="515"/>
      <c r="UDR1737" s="515"/>
      <c r="UDS1737" s="515"/>
      <c r="UDT1737" s="515"/>
      <c r="UDU1737" s="515"/>
      <c r="UDV1737" s="515"/>
      <c r="UDW1737" s="515"/>
      <c r="UDX1737" s="515"/>
      <c r="UDY1737" s="515"/>
      <c r="UDZ1737" s="515"/>
      <c r="UEA1737" s="515"/>
      <c r="UEB1737" s="515"/>
      <c r="UEC1737" s="515"/>
      <c r="UED1737" s="515"/>
      <c r="UEE1737" s="515"/>
      <c r="UEF1737" s="515"/>
      <c r="UEG1737" s="515"/>
      <c r="UEH1737" s="515"/>
      <c r="UEI1737" s="515"/>
      <c r="UEJ1737" s="515"/>
      <c r="UEK1737" s="515"/>
      <c r="UEL1737" s="515"/>
      <c r="UEM1737" s="515"/>
      <c r="UEN1737" s="515"/>
      <c r="UEO1737" s="515"/>
      <c r="UEP1737" s="515"/>
      <c r="UEQ1737" s="515"/>
      <c r="UER1737" s="515"/>
      <c r="UES1737" s="515"/>
      <c r="UET1737" s="515"/>
      <c r="UEU1737" s="515"/>
      <c r="UEV1737" s="515"/>
      <c r="UEW1737" s="515"/>
      <c r="UEX1737" s="515"/>
      <c r="UEY1737" s="515"/>
      <c r="UEZ1737" s="515"/>
      <c r="UFA1737" s="515"/>
      <c r="UFB1737" s="515"/>
      <c r="UFC1737" s="515"/>
      <c r="UFD1737" s="515"/>
      <c r="UFE1737" s="515"/>
      <c r="UFF1737" s="515"/>
      <c r="UFG1737" s="515"/>
      <c r="UFH1737" s="515"/>
      <c r="UFI1737" s="515"/>
      <c r="UFJ1737" s="515"/>
      <c r="UFK1737" s="515"/>
      <c r="UFL1737" s="515"/>
      <c r="UFM1737" s="515"/>
      <c r="UFN1737" s="515"/>
      <c r="UFO1737" s="515"/>
      <c r="UFP1737" s="515"/>
      <c r="UFQ1737" s="515"/>
      <c r="UFR1737" s="515"/>
      <c r="UFS1737" s="515"/>
      <c r="UFT1737" s="515"/>
      <c r="UFU1737" s="515"/>
      <c r="UFV1737" s="515"/>
      <c r="UFW1737" s="515"/>
      <c r="UFX1737" s="515"/>
      <c r="UFY1737" s="515"/>
      <c r="UFZ1737" s="515"/>
      <c r="UGA1737" s="515"/>
      <c r="UGB1737" s="515"/>
      <c r="UGC1737" s="515"/>
      <c r="UGD1737" s="515"/>
      <c r="UGE1737" s="515"/>
      <c r="UGF1737" s="515"/>
      <c r="UGG1737" s="515"/>
      <c r="UGH1737" s="515"/>
      <c r="UGI1737" s="515"/>
      <c r="UGJ1737" s="515"/>
      <c r="UGK1737" s="515"/>
      <c r="UGL1737" s="515"/>
      <c r="UGM1737" s="515"/>
      <c r="UGN1737" s="515"/>
      <c r="UGO1737" s="515"/>
      <c r="UGP1737" s="515"/>
      <c r="UGQ1737" s="515"/>
      <c r="UGR1737" s="515"/>
      <c r="UGS1737" s="515"/>
      <c r="UGT1737" s="515"/>
      <c r="UGU1737" s="515"/>
      <c r="UGV1737" s="515"/>
      <c r="UGW1737" s="515"/>
      <c r="UGX1737" s="515"/>
      <c r="UGY1737" s="515"/>
      <c r="UGZ1737" s="515"/>
      <c r="UHA1737" s="515"/>
      <c r="UHB1737" s="515"/>
      <c r="UHC1737" s="515"/>
      <c r="UHD1737" s="515"/>
      <c r="UHE1737" s="515"/>
      <c r="UHF1737" s="515"/>
      <c r="UHG1737" s="515"/>
      <c r="UHH1737" s="515"/>
      <c r="UHI1737" s="515"/>
      <c r="UHJ1737" s="515"/>
      <c r="UHK1737" s="515"/>
      <c r="UHL1737" s="515"/>
      <c r="UHM1737" s="515"/>
      <c r="UHN1737" s="515"/>
      <c r="UHO1737" s="515"/>
      <c r="UHP1737" s="515"/>
      <c r="UHQ1737" s="515"/>
      <c r="UHR1737" s="515"/>
      <c r="UHS1737" s="515"/>
      <c r="UHT1737" s="515"/>
      <c r="UHU1737" s="515"/>
      <c r="UHV1737" s="515"/>
      <c r="UHW1737" s="515"/>
      <c r="UHX1737" s="515"/>
      <c r="UHY1737" s="515"/>
      <c r="UHZ1737" s="515"/>
      <c r="UIA1737" s="515"/>
      <c r="UIB1737" s="515"/>
      <c r="UIC1737" s="515"/>
      <c r="UID1737" s="515"/>
      <c r="UIE1737" s="515"/>
      <c r="UIF1737" s="515"/>
      <c r="UIG1737" s="515"/>
      <c r="UIH1737" s="515"/>
      <c r="UII1737" s="515"/>
      <c r="UIJ1737" s="515"/>
      <c r="UIK1737" s="515"/>
      <c r="UIL1737" s="515"/>
      <c r="UIM1737" s="515"/>
      <c r="UIN1737" s="515"/>
      <c r="UIO1737" s="515"/>
      <c r="UIP1737" s="515"/>
      <c r="UIQ1737" s="515"/>
      <c r="UIR1737" s="515"/>
      <c r="UIS1737" s="515"/>
      <c r="UIT1737" s="515"/>
      <c r="UIU1737" s="515"/>
      <c r="UIV1737" s="515"/>
      <c r="UIW1737" s="515"/>
      <c r="UIX1737" s="515"/>
      <c r="UIY1737" s="515"/>
      <c r="UIZ1737" s="515"/>
      <c r="UJA1737" s="515"/>
      <c r="UJB1737" s="515"/>
      <c r="UJC1737" s="515"/>
      <c r="UJD1737" s="515"/>
      <c r="UJE1737" s="515"/>
      <c r="UJF1737" s="515"/>
      <c r="UJG1737" s="515"/>
      <c r="UJH1737" s="515"/>
      <c r="UJI1737" s="515"/>
      <c r="UJJ1737" s="515"/>
      <c r="UJK1737" s="515"/>
      <c r="UJL1737" s="515"/>
      <c r="UJM1737" s="515"/>
      <c r="UJN1737" s="515"/>
      <c r="UJO1737" s="515"/>
      <c r="UJP1737" s="515"/>
      <c r="UJQ1737" s="515"/>
      <c r="UJR1737" s="515"/>
      <c r="UJS1737" s="515"/>
      <c r="UJT1737" s="515"/>
      <c r="UJU1737" s="515"/>
      <c r="UJV1737" s="515"/>
      <c r="UJW1737" s="515"/>
      <c r="UJX1737" s="515"/>
      <c r="UJY1737" s="515"/>
      <c r="UJZ1737" s="515"/>
      <c r="UKA1737" s="515"/>
      <c r="UKB1737" s="515"/>
      <c r="UKC1737" s="515"/>
      <c r="UKD1737" s="515"/>
      <c r="UKE1737" s="515"/>
      <c r="UKF1737" s="515"/>
      <c r="UKG1737" s="515"/>
      <c r="UKH1737" s="515"/>
      <c r="UKI1737" s="515"/>
      <c r="UKJ1737" s="515"/>
      <c r="UKK1737" s="515"/>
      <c r="UKL1737" s="515"/>
      <c r="UKM1737" s="515"/>
      <c r="UKN1737" s="515"/>
      <c r="UKO1737" s="515"/>
      <c r="UKP1737" s="515"/>
      <c r="UKQ1737" s="515"/>
      <c r="UKR1737" s="515"/>
      <c r="UKS1737" s="515"/>
      <c r="UKT1737" s="515"/>
      <c r="UKU1737" s="515"/>
      <c r="UKV1737" s="515"/>
      <c r="UKW1737" s="515"/>
      <c r="UKX1737" s="515"/>
      <c r="UKY1737" s="515"/>
      <c r="UKZ1737" s="515"/>
      <c r="ULA1737" s="515"/>
      <c r="ULB1737" s="515"/>
      <c r="ULC1737" s="515"/>
      <c r="ULD1737" s="515"/>
      <c r="ULE1737" s="515"/>
      <c r="ULF1737" s="515"/>
      <c r="ULG1737" s="515"/>
      <c r="ULH1737" s="515"/>
      <c r="ULI1737" s="515"/>
      <c r="ULJ1737" s="515"/>
      <c r="ULK1737" s="515"/>
      <c r="ULL1737" s="515"/>
      <c r="ULM1737" s="515"/>
      <c r="ULN1737" s="515"/>
      <c r="ULO1737" s="515"/>
      <c r="ULP1737" s="515"/>
      <c r="ULQ1737" s="515"/>
      <c r="ULR1737" s="515"/>
      <c r="ULS1737" s="515"/>
      <c r="ULT1737" s="515"/>
      <c r="ULU1737" s="515"/>
      <c r="ULV1737" s="515"/>
      <c r="ULW1737" s="515"/>
      <c r="ULX1737" s="515"/>
      <c r="ULY1737" s="515"/>
      <c r="ULZ1737" s="515"/>
      <c r="UMA1737" s="515"/>
      <c r="UMB1737" s="515"/>
      <c r="UMC1737" s="515"/>
      <c r="UMD1737" s="515"/>
      <c r="UME1737" s="515"/>
      <c r="UMF1737" s="515"/>
      <c r="UMG1737" s="515"/>
      <c r="UMH1737" s="515"/>
      <c r="UMI1737" s="515"/>
      <c r="UMJ1737" s="515"/>
      <c r="UMK1737" s="515"/>
      <c r="UML1737" s="515"/>
      <c r="UMM1737" s="515"/>
      <c r="UMN1737" s="515"/>
      <c r="UMO1737" s="515"/>
      <c r="UMP1737" s="515"/>
      <c r="UMQ1737" s="515"/>
      <c r="UMR1737" s="515"/>
      <c r="UMS1737" s="515"/>
      <c r="UMT1737" s="515"/>
      <c r="UMU1737" s="515"/>
      <c r="UMV1737" s="515"/>
      <c r="UMW1737" s="515"/>
      <c r="UMX1737" s="515"/>
      <c r="UMY1737" s="515"/>
      <c r="UMZ1737" s="515"/>
      <c r="UNA1737" s="515"/>
      <c r="UNB1737" s="515"/>
      <c r="UNC1737" s="515"/>
      <c r="UND1737" s="515"/>
      <c r="UNE1737" s="515"/>
      <c r="UNF1737" s="515"/>
      <c r="UNG1737" s="515"/>
      <c r="UNH1737" s="515"/>
      <c r="UNI1737" s="515"/>
      <c r="UNJ1737" s="515"/>
      <c r="UNK1737" s="515"/>
      <c r="UNL1737" s="515"/>
      <c r="UNM1737" s="515"/>
      <c r="UNN1737" s="515"/>
      <c r="UNO1737" s="515"/>
      <c r="UNP1737" s="515"/>
      <c r="UNQ1737" s="515"/>
      <c r="UNR1737" s="515"/>
      <c r="UNS1737" s="515"/>
      <c r="UNT1737" s="515"/>
      <c r="UNU1737" s="515"/>
      <c r="UNV1737" s="515"/>
      <c r="UNW1737" s="515"/>
      <c r="UNX1737" s="515"/>
      <c r="UNY1737" s="515"/>
      <c r="UNZ1737" s="515"/>
      <c r="UOA1737" s="515"/>
      <c r="UOB1737" s="515"/>
      <c r="UOC1737" s="515"/>
      <c r="UOD1737" s="515"/>
      <c r="UOE1737" s="515"/>
      <c r="UOF1737" s="515"/>
      <c r="UOG1737" s="515"/>
      <c r="UOH1737" s="515"/>
      <c r="UOI1737" s="515"/>
      <c r="UOJ1737" s="515"/>
      <c r="UOK1737" s="515"/>
      <c r="UOL1737" s="515"/>
      <c r="UOM1737" s="515"/>
      <c r="UON1737" s="515"/>
      <c r="UOO1737" s="515"/>
      <c r="UOP1737" s="515"/>
      <c r="UOQ1737" s="515"/>
      <c r="UOR1737" s="515"/>
      <c r="UOS1737" s="515"/>
      <c r="UOT1737" s="515"/>
      <c r="UOU1737" s="515"/>
      <c r="UOV1737" s="515"/>
      <c r="UOW1737" s="515"/>
      <c r="UOX1737" s="515"/>
      <c r="UOY1737" s="515"/>
      <c r="UOZ1737" s="515"/>
      <c r="UPA1737" s="515"/>
      <c r="UPB1737" s="515"/>
      <c r="UPC1737" s="515"/>
      <c r="UPD1737" s="515"/>
      <c r="UPE1737" s="515"/>
      <c r="UPF1737" s="515"/>
      <c r="UPG1737" s="515"/>
      <c r="UPH1737" s="515"/>
      <c r="UPI1737" s="515"/>
      <c r="UPJ1737" s="515"/>
      <c r="UPK1737" s="515"/>
      <c r="UPL1737" s="515"/>
      <c r="UPM1737" s="515"/>
      <c r="UPN1737" s="515"/>
      <c r="UPO1737" s="515"/>
      <c r="UPP1737" s="515"/>
      <c r="UPQ1737" s="515"/>
      <c r="UPR1737" s="515"/>
      <c r="UPS1737" s="515"/>
      <c r="UPT1737" s="515"/>
      <c r="UPU1737" s="515"/>
      <c r="UPV1737" s="515"/>
      <c r="UPW1737" s="515"/>
      <c r="UPX1737" s="515"/>
      <c r="UPY1737" s="515"/>
      <c r="UPZ1737" s="515"/>
      <c r="UQA1737" s="515"/>
      <c r="UQB1737" s="515"/>
      <c r="UQC1737" s="515"/>
      <c r="UQD1737" s="515"/>
      <c r="UQE1737" s="515"/>
      <c r="UQF1737" s="515"/>
      <c r="UQG1737" s="515"/>
      <c r="UQH1737" s="515"/>
      <c r="UQI1737" s="515"/>
      <c r="UQJ1737" s="515"/>
      <c r="UQK1737" s="515"/>
      <c r="UQL1737" s="515"/>
      <c r="UQM1737" s="515"/>
      <c r="UQN1737" s="515"/>
      <c r="UQO1737" s="515"/>
      <c r="UQP1737" s="515"/>
      <c r="UQQ1737" s="515"/>
      <c r="UQR1737" s="515"/>
      <c r="UQS1737" s="515"/>
      <c r="UQT1737" s="515"/>
      <c r="UQU1737" s="515"/>
      <c r="UQV1737" s="515"/>
      <c r="UQW1737" s="515"/>
      <c r="UQX1737" s="515"/>
      <c r="UQY1737" s="515"/>
      <c r="UQZ1737" s="515"/>
      <c r="URA1737" s="515"/>
      <c r="URB1737" s="515"/>
      <c r="URC1737" s="515"/>
      <c r="URD1737" s="515"/>
      <c r="URE1737" s="515"/>
      <c r="URF1737" s="515"/>
      <c r="URG1737" s="515"/>
      <c r="URH1737" s="515"/>
      <c r="URI1737" s="515"/>
      <c r="URJ1737" s="515"/>
      <c r="URK1737" s="515"/>
      <c r="URL1737" s="515"/>
      <c r="URM1737" s="515"/>
      <c r="URN1737" s="515"/>
      <c r="URO1737" s="515"/>
      <c r="URP1737" s="515"/>
      <c r="URQ1737" s="515"/>
      <c r="URR1737" s="515"/>
      <c r="URS1737" s="515"/>
      <c r="URT1737" s="515"/>
      <c r="URU1737" s="515"/>
      <c r="URV1737" s="515"/>
      <c r="URW1737" s="515"/>
      <c r="URX1737" s="515"/>
      <c r="URY1737" s="515"/>
      <c r="URZ1737" s="515"/>
      <c r="USA1737" s="515"/>
      <c r="USB1737" s="515"/>
      <c r="USC1737" s="515"/>
      <c r="USD1737" s="515"/>
      <c r="USE1737" s="515"/>
      <c r="USF1737" s="515"/>
      <c r="USG1737" s="515"/>
      <c r="USH1737" s="515"/>
      <c r="USI1737" s="515"/>
      <c r="USJ1737" s="515"/>
      <c r="USK1737" s="515"/>
      <c r="USL1737" s="515"/>
      <c r="USM1737" s="515"/>
      <c r="USN1737" s="515"/>
      <c r="USO1737" s="515"/>
      <c r="USP1737" s="515"/>
      <c r="USQ1737" s="515"/>
      <c r="USR1737" s="515"/>
      <c r="USS1737" s="515"/>
      <c r="UST1737" s="515"/>
      <c r="USU1737" s="515"/>
      <c r="USV1737" s="515"/>
      <c r="USW1737" s="515"/>
      <c r="USX1737" s="515"/>
      <c r="USY1737" s="515"/>
      <c r="USZ1737" s="515"/>
      <c r="UTA1737" s="515"/>
      <c r="UTB1737" s="515"/>
      <c r="UTC1737" s="515"/>
      <c r="UTD1737" s="515"/>
      <c r="UTE1737" s="515"/>
      <c r="UTF1737" s="515"/>
      <c r="UTG1737" s="515"/>
      <c r="UTH1737" s="515"/>
      <c r="UTI1737" s="515"/>
      <c r="UTJ1737" s="515"/>
      <c r="UTK1737" s="515"/>
      <c r="UTL1737" s="515"/>
      <c r="UTM1737" s="515"/>
      <c r="UTN1737" s="515"/>
      <c r="UTO1737" s="515"/>
      <c r="UTP1737" s="515"/>
      <c r="UTQ1737" s="515"/>
      <c r="UTR1737" s="515"/>
      <c r="UTS1737" s="515"/>
      <c r="UTT1737" s="515"/>
      <c r="UTU1737" s="515"/>
      <c r="UTV1737" s="515"/>
      <c r="UTW1737" s="515"/>
      <c r="UTX1737" s="515"/>
      <c r="UTY1737" s="515"/>
      <c r="UTZ1737" s="515"/>
      <c r="UUA1737" s="515"/>
      <c r="UUB1737" s="515"/>
      <c r="UUC1737" s="515"/>
      <c r="UUD1737" s="515"/>
      <c r="UUE1737" s="515"/>
      <c r="UUF1737" s="515"/>
      <c r="UUG1737" s="515"/>
      <c r="UUH1737" s="515"/>
      <c r="UUI1737" s="515"/>
      <c r="UUJ1737" s="515"/>
      <c r="UUK1737" s="515"/>
      <c r="UUL1737" s="515"/>
      <c r="UUM1737" s="515"/>
      <c r="UUN1737" s="515"/>
      <c r="UUO1737" s="515"/>
      <c r="UUP1737" s="515"/>
      <c r="UUQ1737" s="515"/>
      <c r="UUR1737" s="515"/>
      <c r="UUS1737" s="515"/>
      <c r="UUT1737" s="515"/>
      <c r="UUU1737" s="515"/>
      <c r="UUV1737" s="515"/>
      <c r="UUW1737" s="515"/>
      <c r="UUX1737" s="515"/>
      <c r="UUY1737" s="515"/>
      <c r="UUZ1737" s="515"/>
      <c r="UVA1737" s="515"/>
      <c r="UVB1737" s="515"/>
      <c r="UVC1737" s="515"/>
      <c r="UVD1737" s="515"/>
      <c r="UVE1737" s="515"/>
      <c r="UVF1737" s="515"/>
      <c r="UVG1737" s="515"/>
      <c r="UVH1737" s="515"/>
      <c r="UVI1737" s="515"/>
      <c r="UVJ1737" s="515"/>
      <c r="UVK1737" s="515"/>
      <c r="UVL1737" s="515"/>
      <c r="UVM1737" s="515"/>
      <c r="UVN1737" s="515"/>
      <c r="UVO1737" s="515"/>
      <c r="UVP1737" s="515"/>
      <c r="UVQ1737" s="515"/>
      <c r="UVR1737" s="515"/>
      <c r="UVS1737" s="515"/>
      <c r="UVT1737" s="515"/>
      <c r="UVU1737" s="515"/>
      <c r="UVV1737" s="515"/>
      <c r="UVW1737" s="515"/>
      <c r="UVX1737" s="515"/>
      <c r="UVY1737" s="515"/>
      <c r="UVZ1737" s="515"/>
      <c r="UWA1737" s="515"/>
      <c r="UWB1737" s="515"/>
      <c r="UWC1737" s="515"/>
      <c r="UWD1737" s="515"/>
      <c r="UWE1737" s="515"/>
      <c r="UWF1737" s="515"/>
      <c r="UWG1737" s="515"/>
      <c r="UWH1737" s="515"/>
      <c r="UWI1737" s="515"/>
      <c r="UWJ1737" s="515"/>
      <c r="UWK1737" s="515"/>
      <c r="UWL1737" s="515"/>
      <c r="UWM1737" s="515"/>
      <c r="UWN1737" s="515"/>
      <c r="UWO1737" s="515"/>
      <c r="UWP1737" s="515"/>
      <c r="UWQ1737" s="515"/>
      <c r="UWR1737" s="515"/>
      <c r="UWS1737" s="515"/>
      <c r="UWT1737" s="515"/>
      <c r="UWU1737" s="515"/>
      <c r="UWV1737" s="515"/>
      <c r="UWW1737" s="515"/>
      <c r="UWX1737" s="515"/>
      <c r="UWY1737" s="515"/>
      <c r="UWZ1737" s="515"/>
      <c r="UXA1737" s="515"/>
      <c r="UXB1737" s="515"/>
      <c r="UXC1737" s="515"/>
      <c r="UXD1737" s="515"/>
      <c r="UXE1737" s="515"/>
      <c r="UXF1737" s="515"/>
      <c r="UXG1737" s="515"/>
      <c r="UXH1737" s="515"/>
      <c r="UXI1737" s="515"/>
      <c r="UXJ1737" s="515"/>
      <c r="UXK1737" s="515"/>
      <c r="UXL1737" s="515"/>
      <c r="UXM1737" s="515"/>
      <c r="UXN1737" s="515"/>
      <c r="UXO1737" s="515"/>
      <c r="UXP1737" s="515"/>
      <c r="UXQ1737" s="515"/>
      <c r="UXR1737" s="515"/>
      <c r="UXS1737" s="515"/>
      <c r="UXT1737" s="515"/>
      <c r="UXU1737" s="515"/>
      <c r="UXV1737" s="515"/>
      <c r="UXW1737" s="515"/>
      <c r="UXX1737" s="515"/>
      <c r="UXY1737" s="515"/>
      <c r="UXZ1737" s="515"/>
      <c r="UYA1737" s="515"/>
      <c r="UYB1737" s="515"/>
      <c r="UYC1737" s="515"/>
      <c r="UYD1737" s="515"/>
      <c r="UYE1737" s="515"/>
      <c r="UYF1737" s="515"/>
      <c r="UYG1737" s="515"/>
      <c r="UYH1737" s="515"/>
      <c r="UYI1737" s="515"/>
      <c r="UYJ1737" s="515"/>
      <c r="UYK1737" s="515"/>
      <c r="UYL1737" s="515"/>
      <c r="UYM1737" s="515"/>
      <c r="UYN1737" s="515"/>
      <c r="UYO1737" s="515"/>
      <c r="UYP1737" s="515"/>
      <c r="UYQ1737" s="515"/>
      <c r="UYR1737" s="515"/>
      <c r="UYS1737" s="515"/>
      <c r="UYT1737" s="515"/>
      <c r="UYU1737" s="515"/>
      <c r="UYV1737" s="515"/>
      <c r="UYW1737" s="515"/>
      <c r="UYX1737" s="515"/>
      <c r="UYY1737" s="515"/>
      <c r="UYZ1737" s="515"/>
      <c r="UZA1737" s="515"/>
      <c r="UZB1737" s="515"/>
      <c r="UZC1737" s="515"/>
      <c r="UZD1737" s="515"/>
      <c r="UZE1737" s="515"/>
      <c r="UZF1737" s="515"/>
      <c r="UZG1737" s="515"/>
      <c r="UZH1737" s="515"/>
      <c r="UZI1737" s="515"/>
      <c r="UZJ1737" s="515"/>
      <c r="UZK1737" s="515"/>
      <c r="UZL1737" s="515"/>
      <c r="UZM1737" s="515"/>
      <c r="UZN1737" s="515"/>
      <c r="UZO1737" s="515"/>
      <c r="UZP1737" s="515"/>
      <c r="UZQ1737" s="515"/>
      <c r="UZR1737" s="515"/>
      <c r="UZS1737" s="515"/>
      <c r="UZT1737" s="515"/>
      <c r="UZU1737" s="515"/>
      <c r="UZV1737" s="515"/>
      <c r="UZW1737" s="515"/>
      <c r="UZX1737" s="515"/>
      <c r="UZY1737" s="515"/>
      <c r="UZZ1737" s="515"/>
      <c r="VAA1737" s="515"/>
      <c r="VAB1737" s="515"/>
      <c r="VAC1737" s="515"/>
      <c r="VAD1737" s="515"/>
      <c r="VAE1737" s="515"/>
      <c r="VAF1737" s="515"/>
      <c r="VAG1737" s="515"/>
      <c r="VAH1737" s="515"/>
      <c r="VAI1737" s="515"/>
      <c r="VAJ1737" s="515"/>
      <c r="VAK1737" s="515"/>
      <c r="VAL1737" s="515"/>
      <c r="VAM1737" s="515"/>
      <c r="VAN1737" s="515"/>
      <c r="VAO1737" s="515"/>
      <c r="VAP1737" s="515"/>
      <c r="VAQ1737" s="515"/>
      <c r="VAR1737" s="515"/>
      <c r="VAS1737" s="515"/>
      <c r="VAT1737" s="515"/>
      <c r="VAU1737" s="515"/>
      <c r="VAV1737" s="515"/>
      <c r="VAW1737" s="515"/>
      <c r="VAX1737" s="515"/>
      <c r="VAY1737" s="515"/>
      <c r="VAZ1737" s="515"/>
      <c r="VBA1737" s="515"/>
      <c r="VBB1737" s="515"/>
      <c r="VBC1737" s="515"/>
      <c r="VBD1737" s="515"/>
      <c r="VBE1737" s="515"/>
      <c r="VBF1737" s="515"/>
      <c r="VBG1737" s="515"/>
      <c r="VBH1737" s="515"/>
      <c r="VBI1737" s="515"/>
      <c r="VBJ1737" s="515"/>
      <c r="VBK1737" s="515"/>
      <c r="VBL1737" s="515"/>
      <c r="VBM1737" s="515"/>
      <c r="VBN1737" s="515"/>
      <c r="VBO1737" s="515"/>
      <c r="VBP1737" s="515"/>
      <c r="VBQ1737" s="515"/>
      <c r="VBR1737" s="515"/>
      <c r="VBS1737" s="515"/>
      <c r="VBT1737" s="515"/>
      <c r="VBU1737" s="515"/>
      <c r="VBV1737" s="515"/>
      <c r="VBW1737" s="515"/>
      <c r="VBX1737" s="515"/>
      <c r="VBY1737" s="515"/>
      <c r="VBZ1737" s="515"/>
      <c r="VCA1737" s="515"/>
      <c r="VCB1737" s="515"/>
      <c r="VCC1737" s="515"/>
      <c r="VCD1737" s="515"/>
      <c r="VCE1737" s="515"/>
      <c r="VCF1737" s="515"/>
      <c r="VCG1737" s="515"/>
      <c r="VCH1737" s="515"/>
      <c r="VCI1737" s="515"/>
      <c r="VCJ1737" s="515"/>
      <c r="VCK1737" s="515"/>
      <c r="VCL1737" s="515"/>
      <c r="VCM1737" s="515"/>
      <c r="VCN1737" s="515"/>
      <c r="VCO1737" s="515"/>
      <c r="VCP1737" s="515"/>
      <c r="VCQ1737" s="515"/>
      <c r="VCR1737" s="515"/>
      <c r="VCS1737" s="515"/>
      <c r="VCT1737" s="515"/>
      <c r="VCU1737" s="515"/>
      <c r="VCV1737" s="515"/>
      <c r="VCW1737" s="515"/>
      <c r="VCX1737" s="515"/>
      <c r="VCY1737" s="515"/>
      <c r="VCZ1737" s="515"/>
      <c r="VDA1737" s="515"/>
      <c r="VDB1737" s="515"/>
      <c r="VDC1737" s="515"/>
      <c r="VDD1737" s="515"/>
      <c r="VDE1737" s="515"/>
      <c r="VDF1737" s="515"/>
      <c r="VDG1737" s="515"/>
      <c r="VDH1737" s="515"/>
      <c r="VDI1737" s="515"/>
      <c r="VDJ1737" s="515"/>
      <c r="VDK1737" s="515"/>
      <c r="VDL1737" s="515"/>
      <c r="VDM1737" s="515"/>
      <c r="VDN1737" s="515"/>
      <c r="VDO1737" s="515"/>
      <c r="VDP1737" s="515"/>
      <c r="VDQ1737" s="515"/>
      <c r="VDR1737" s="515"/>
      <c r="VDS1737" s="515"/>
      <c r="VDT1737" s="515"/>
      <c r="VDU1737" s="515"/>
      <c r="VDV1737" s="515"/>
      <c r="VDW1737" s="515"/>
      <c r="VDX1737" s="515"/>
      <c r="VDY1737" s="515"/>
      <c r="VDZ1737" s="515"/>
      <c r="VEA1737" s="515"/>
      <c r="VEB1737" s="515"/>
      <c r="VEC1737" s="515"/>
      <c r="VED1737" s="515"/>
      <c r="VEE1737" s="515"/>
      <c r="VEF1737" s="515"/>
      <c r="VEG1737" s="515"/>
      <c r="VEH1737" s="515"/>
      <c r="VEI1737" s="515"/>
      <c r="VEJ1737" s="515"/>
      <c r="VEK1737" s="515"/>
      <c r="VEL1737" s="515"/>
      <c r="VEM1737" s="515"/>
      <c r="VEN1737" s="515"/>
      <c r="VEO1737" s="515"/>
      <c r="VEP1737" s="515"/>
      <c r="VEQ1737" s="515"/>
      <c r="VER1737" s="515"/>
      <c r="VES1737" s="515"/>
      <c r="VET1737" s="515"/>
      <c r="VEU1737" s="515"/>
      <c r="VEV1737" s="515"/>
      <c r="VEW1737" s="515"/>
      <c r="VEX1737" s="515"/>
      <c r="VEY1737" s="515"/>
      <c r="VEZ1737" s="515"/>
      <c r="VFA1737" s="515"/>
      <c r="VFB1737" s="515"/>
      <c r="VFC1737" s="515"/>
      <c r="VFD1737" s="515"/>
      <c r="VFE1737" s="515"/>
      <c r="VFF1737" s="515"/>
      <c r="VFG1737" s="515"/>
      <c r="VFH1737" s="515"/>
      <c r="VFI1737" s="515"/>
      <c r="VFJ1737" s="515"/>
      <c r="VFK1737" s="515"/>
      <c r="VFL1737" s="515"/>
      <c r="VFM1737" s="515"/>
      <c r="VFN1737" s="515"/>
      <c r="VFO1737" s="515"/>
      <c r="VFP1737" s="515"/>
      <c r="VFQ1737" s="515"/>
      <c r="VFR1737" s="515"/>
      <c r="VFS1737" s="515"/>
      <c r="VFT1737" s="515"/>
      <c r="VFU1737" s="515"/>
      <c r="VFV1737" s="515"/>
      <c r="VFW1737" s="515"/>
      <c r="VFX1737" s="515"/>
      <c r="VFY1737" s="515"/>
      <c r="VFZ1737" s="515"/>
      <c r="VGA1737" s="515"/>
      <c r="VGB1737" s="515"/>
      <c r="VGC1737" s="515"/>
      <c r="VGD1737" s="515"/>
      <c r="VGE1737" s="515"/>
      <c r="VGF1737" s="515"/>
      <c r="VGG1737" s="515"/>
      <c r="VGH1737" s="515"/>
      <c r="VGI1737" s="515"/>
      <c r="VGJ1737" s="515"/>
      <c r="VGK1737" s="515"/>
      <c r="VGL1737" s="515"/>
      <c r="VGM1737" s="515"/>
      <c r="VGN1737" s="515"/>
      <c r="VGO1737" s="515"/>
      <c r="VGP1737" s="515"/>
      <c r="VGQ1737" s="515"/>
      <c r="VGR1737" s="515"/>
      <c r="VGS1737" s="515"/>
      <c r="VGT1737" s="515"/>
      <c r="VGU1737" s="515"/>
      <c r="VGV1737" s="515"/>
      <c r="VGW1737" s="515"/>
      <c r="VGX1737" s="515"/>
      <c r="VGY1737" s="515"/>
      <c r="VGZ1737" s="515"/>
      <c r="VHA1737" s="515"/>
      <c r="VHB1737" s="515"/>
      <c r="VHC1737" s="515"/>
      <c r="VHD1737" s="515"/>
      <c r="VHE1737" s="515"/>
      <c r="VHF1737" s="515"/>
      <c r="VHG1737" s="515"/>
      <c r="VHH1737" s="515"/>
      <c r="VHI1737" s="515"/>
      <c r="VHJ1737" s="515"/>
      <c r="VHK1737" s="515"/>
      <c r="VHL1737" s="515"/>
      <c r="VHM1737" s="515"/>
      <c r="VHN1737" s="515"/>
      <c r="VHO1737" s="515"/>
      <c r="VHP1737" s="515"/>
      <c r="VHQ1737" s="515"/>
      <c r="VHR1737" s="515"/>
      <c r="VHS1737" s="515"/>
      <c r="VHT1737" s="515"/>
      <c r="VHU1737" s="515"/>
      <c r="VHV1737" s="515"/>
      <c r="VHW1737" s="515"/>
      <c r="VHX1737" s="515"/>
      <c r="VHY1737" s="515"/>
      <c r="VHZ1737" s="515"/>
      <c r="VIA1737" s="515"/>
      <c r="VIB1737" s="515"/>
      <c r="VIC1737" s="515"/>
      <c r="VID1737" s="515"/>
      <c r="VIE1737" s="515"/>
      <c r="VIF1737" s="515"/>
      <c r="VIG1737" s="515"/>
      <c r="VIH1737" s="515"/>
      <c r="VII1737" s="515"/>
      <c r="VIJ1737" s="515"/>
      <c r="VIK1737" s="515"/>
      <c r="VIL1737" s="515"/>
      <c r="VIM1737" s="515"/>
      <c r="VIN1737" s="515"/>
      <c r="VIO1737" s="515"/>
      <c r="VIP1737" s="515"/>
      <c r="VIQ1737" s="515"/>
      <c r="VIR1737" s="515"/>
      <c r="VIS1737" s="515"/>
      <c r="VIT1737" s="515"/>
      <c r="VIU1737" s="515"/>
      <c r="VIV1737" s="515"/>
      <c r="VIW1737" s="515"/>
      <c r="VIX1737" s="515"/>
      <c r="VIY1737" s="515"/>
      <c r="VIZ1737" s="515"/>
      <c r="VJA1737" s="515"/>
      <c r="VJB1737" s="515"/>
      <c r="VJC1737" s="515"/>
      <c r="VJD1737" s="515"/>
      <c r="VJE1737" s="515"/>
      <c r="VJF1737" s="515"/>
      <c r="VJG1737" s="515"/>
      <c r="VJH1737" s="515"/>
      <c r="VJI1737" s="515"/>
      <c r="VJJ1737" s="515"/>
      <c r="VJK1737" s="515"/>
      <c r="VJL1737" s="515"/>
      <c r="VJM1737" s="515"/>
      <c r="VJN1737" s="515"/>
      <c r="VJO1737" s="515"/>
      <c r="VJP1737" s="515"/>
      <c r="VJQ1737" s="515"/>
      <c r="VJR1737" s="515"/>
      <c r="VJS1737" s="515"/>
      <c r="VJT1737" s="515"/>
      <c r="VJU1737" s="515"/>
      <c r="VJV1737" s="515"/>
      <c r="VJW1737" s="515"/>
      <c r="VJX1737" s="515"/>
      <c r="VJY1737" s="515"/>
      <c r="VJZ1737" s="515"/>
      <c r="VKA1737" s="515"/>
      <c r="VKB1737" s="515"/>
      <c r="VKC1737" s="515"/>
      <c r="VKD1737" s="515"/>
      <c r="VKE1737" s="515"/>
      <c r="VKF1737" s="515"/>
      <c r="VKG1737" s="515"/>
      <c r="VKH1737" s="515"/>
      <c r="VKI1737" s="515"/>
      <c r="VKJ1737" s="515"/>
      <c r="VKK1737" s="515"/>
      <c r="VKL1737" s="515"/>
      <c r="VKM1737" s="515"/>
      <c r="VKN1737" s="515"/>
      <c r="VKO1737" s="515"/>
      <c r="VKP1737" s="515"/>
      <c r="VKQ1737" s="515"/>
      <c r="VKR1737" s="515"/>
      <c r="VKS1737" s="515"/>
      <c r="VKT1737" s="515"/>
      <c r="VKU1737" s="515"/>
      <c r="VKV1737" s="515"/>
      <c r="VKW1737" s="515"/>
      <c r="VKX1737" s="515"/>
      <c r="VKY1737" s="515"/>
      <c r="VKZ1737" s="515"/>
      <c r="VLA1737" s="515"/>
      <c r="VLB1737" s="515"/>
      <c r="VLC1737" s="515"/>
      <c r="VLD1737" s="515"/>
      <c r="VLE1737" s="515"/>
      <c r="VLF1737" s="515"/>
      <c r="VLG1737" s="515"/>
      <c r="VLH1737" s="515"/>
      <c r="VLI1737" s="515"/>
      <c r="VLJ1737" s="515"/>
      <c r="VLK1737" s="515"/>
      <c r="VLL1737" s="515"/>
      <c r="VLM1737" s="515"/>
      <c r="VLN1737" s="515"/>
      <c r="VLO1737" s="515"/>
      <c r="VLP1737" s="515"/>
      <c r="VLQ1737" s="515"/>
      <c r="VLR1737" s="515"/>
      <c r="VLS1737" s="515"/>
      <c r="VLT1737" s="515"/>
      <c r="VLU1737" s="515"/>
      <c r="VLV1737" s="515"/>
      <c r="VLW1737" s="515"/>
      <c r="VLX1737" s="515"/>
      <c r="VLY1737" s="515"/>
      <c r="VLZ1737" s="515"/>
      <c r="VMA1737" s="515"/>
      <c r="VMB1737" s="515"/>
      <c r="VMC1737" s="515"/>
      <c r="VMD1737" s="515"/>
      <c r="VME1737" s="515"/>
      <c r="VMF1737" s="515"/>
      <c r="VMG1737" s="515"/>
      <c r="VMH1737" s="515"/>
      <c r="VMI1737" s="515"/>
      <c r="VMJ1737" s="515"/>
      <c r="VMK1737" s="515"/>
      <c r="VML1737" s="515"/>
      <c r="VMM1737" s="515"/>
      <c r="VMN1737" s="515"/>
      <c r="VMO1737" s="515"/>
      <c r="VMP1737" s="515"/>
      <c r="VMQ1737" s="515"/>
      <c r="VMR1737" s="515"/>
      <c r="VMS1737" s="515"/>
      <c r="VMT1737" s="515"/>
      <c r="VMU1737" s="515"/>
      <c r="VMV1737" s="515"/>
      <c r="VMW1737" s="515"/>
      <c r="VMX1737" s="515"/>
      <c r="VMY1737" s="515"/>
      <c r="VMZ1737" s="515"/>
      <c r="VNA1737" s="515"/>
      <c r="VNB1737" s="515"/>
      <c r="VNC1737" s="515"/>
      <c r="VND1737" s="515"/>
      <c r="VNE1737" s="515"/>
      <c r="VNF1737" s="515"/>
      <c r="VNG1737" s="515"/>
      <c r="VNH1737" s="515"/>
      <c r="VNI1737" s="515"/>
      <c r="VNJ1737" s="515"/>
      <c r="VNK1737" s="515"/>
      <c r="VNL1737" s="515"/>
      <c r="VNM1737" s="515"/>
      <c r="VNN1737" s="515"/>
      <c r="VNO1737" s="515"/>
      <c r="VNP1737" s="515"/>
      <c r="VNQ1737" s="515"/>
      <c r="VNR1737" s="515"/>
      <c r="VNS1737" s="515"/>
      <c r="VNT1737" s="515"/>
      <c r="VNU1737" s="515"/>
      <c r="VNV1737" s="515"/>
      <c r="VNW1737" s="515"/>
      <c r="VNX1737" s="515"/>
      <c r="VNY1737" s="515"/>
      <c r="VNZ1737" s="515"/>
      <c r="VOA1737" s="515"/>
      <c r="VOB1737" s="515"/>
      <c r="VOC1737" s="515"/>
      <c r="VOD1737" s="515"/>
      <c r="VOE1737" s="515"/>
      <c r="VOF1737" s="515"/>
      <c r="VOG1737" s="515"/>
      <c r="VOH1737" s="515"/>
      <c r="VOI1737" s="515"/>
      <c r="VOJ1737" s="515"/>
      <c r="VOK1737" s="515"/>
      <c r="VOL1737" s="515"/>
      <c r="VOM1737" s="515"/>
      <c r="VON1737" s="515"/>
      <c r="VOO1737" s="515"/>
      <c r="VOP1737" s="515"/>
      <c r="VOQ1737" s="515"/>
      <c r="VOR1737" s="515"/>
      <c r="VOS1737" s="515"/>
      <c r="VOT1737" s="515"/>
      <c r="VOU1737" s="515"/>
      <c r="VOV1737" s="515"/>
      <c r="VOW1737" s="515"/>
      <c r="VOX1737" s="515"/>
      <c r="VOY1737" s="515"/>
      <c r="VOZ1737" s="515"/>
      <c r="VPA1737" s="515"/>
      <c r="VPB1737" s="515"/>
      <c r="VPC1737" s="515"/>
      <c r="VPD1737" s="515"/>
      <c r="VPE1737" s="515"/>
      <c r="VPF1737" s="515"/>
      <c r="VPG1737" s="515"/>
      <c r="VPH1737" s="515"/>
      <c r="VPI1737" s="515"/>
      <c r="VPJ1737" s="515"/>
      <c r="VPK1737" s="515"/>
      <c r="VPL1737" s="515"/>
      <c r="VPM1737" s="515"/>
      <c r="VPN1737" s="515"/>
      <c r="VPO1737" s="515"/>
      <c r="VPP1737" s="515"/>
      <c r="VPQ1737" s="515"/>
      <c r="VPR1737" s="515"/>
      <c r="VPS1737" s="515"/>
      <c r="VPT1737" s="515"/>
      <c r="VPU1737" s="515"/>
      <c r="VPV1737" s="515"/>
      <c r="VPW1737" s="515"/>
      <c r="VPX1737" s="515"/>
      <c r="VPY1737" s="515"/>
      <c r="VPZ1737" s="515"/>
      <c r="VQA1737" s="515"/>
      <c r="VQB1737" s="515"/>
      <c r="VQC1737" s="515"/>
      <c r="VQD1737" s="515"/>
      <c r="VQE1737" s="515"/>
      <c r="VQF1737" s="515"/>
      <c r="VQG1737" s="515"/>
      <c r="VQH1737" s="515"/>
      <c r="VQI1737" s="515"/>
      <c r="VQJ1737" s="515"/>
      <c r="VQK1737" s="515"/>
      <c r="VQL1737" s="515"/>
      <c r="VQM1737" s="515"/>
      <c r="VQN1737" s="515"/>
      <c r="VQO1737" s="515"/>
      <c r="VQP1737" s="515"/>
      <c r="VQQ1737" s="515"/>
      <c r="VQR1737" s="515"/>
      <c r="VQS1737" s="515"/>
      <c r="VQT1737" s="515"/>
      <c r="VQU1737" s="515"/>
      <c r="VQV1737" s="515"/>
      <c r="VQW1737" s="515"/>
      <c r="VQX1737" s="515"/>
      <c r="VQY1737" s="515"/>
      <c r="VQZ1737" s="515"/>
      <c r="VRA1737" s="515"/>
      <c r="VRB1737" s="515"/>
      <c r="VRC1737" s="515"/>
      <c r="VRD1737" s="515"/>
      <c r="VRE1737" s="515"/>
      <c r="VRF1737" s="515"/>
      <c r="VRG1737" s="515"/>
      <c r="VRH1737" s="515"/>
      <c r="VRI1737" s="515"/>
      <c r="VRJ1737" s="515"/>
      <c r="VRK1737" s="515"/>
      <c r="VRL1737" s="515"/>
      <c r="VRM1737" s="515"/>
      <c r="VRN1737" s="515"/>
      <c r="VRO1737" s="515"/>
      <c r="VRP1737" s="515"/>
      <c r="VRQ1737" s="515"/>
      <c r="VRR1737" s="515"/>
      <c r="VRS1737" s="515"/>
      <c r="VRT1737" s="515"/>
      <c r="VRU1737" s="515"/>
      <c r="VRV1737" s="515"/>
      <c r="VRW1737" s="515"/>
      <c r="VRX1737" s="515"/>
      <c r="VRY1737" s="515"/>
      <c r="VRZ1737" s="515"/>
      <c r="VSA1737" s="515"/>
      <c r="VSB1737" s="515"/>
      <c r="VSC1737" s="515"/>
      <c r="VSD1737" s="515"/>
      <c r="VSE1737" s="515"/>
      <c r="VSF1737" s="515"/>
      <c r="VSG1737" s="515"/>
      <c r="VSH1737" s="515"/>
      <c r="VSI1737" s="515"/>
      <c r="VSJ1737" s="515"/>
      <c r="VSK1737" s="515"/>
      <c r="VSL1737" s="515"/>
      <c r="VSM1737" s="515"/>
      <c r="VSN1737" s="515"/>
      <c r="VSO1737" s="515"/>
      <c r="VSP1737" s="515"/>
      <c r="VSQ1737" s="515"/>
      <c r="VSR1737" s="515"/>
      <c r="VSS1737" s="515"/>
      <c r="VST1737" s="515"/>
      <c r="VSU1737" s="515"/>
      <c r="VSV1737" s="515"/>
      <c r="VSW1737" s="515"/>
      <c r="VSX1737" s="515"/>
      <c r="VSY1737" s="515"/>
      <c r="VSZ1737" s="515"/>
      <c r="VTA1737" s="515"/>
      <c r="VTB1737" s="515"/>
      <c r="VTC1737" s="515"/>
      <c r="VTD1737" s="515"/>
      <c r="VTE1737" s="515"/>
      <c r="VTF1737" s="515"/>
      <c r="VTG1737" s="515"/>
      <c r="VTH1737" s="515"/>
      <c r="VTI1737" s="515"/>
      <c r="VTJ1737" s="515"/>
      <c r="VTK1737" s="515"/>
      <c r="VTL1737" s="515"/>
      <c r="VTM1737" s="515"/>
      <c r="VTN1737" s="515"/>
      <c r="VTO1737" s="515"/>
      <c r="VTP1737" s="515"/>
      <c r="VTQ1737" s="515"/>
      <c r="VTR1737" s="515"/>
      <c r="VTS1737" s="515"/>
      <c r="VTT1737" s="515"/>
      <c r="VTU1737" s="515"/>
      <c r="VTV1737" s="515"/>
      <c r="VTW1737" s="515"/>
      <c r="VTX1737" s="515"/>
      <c r="VTY1737" s="515"/>
      <c r="VTZ1737" s="515"/>
      <c r="VUA1737" s="515"/>
      <c r="VUB1737" s="515"/>
      <c r="VUC1737" s="515"/>
      <c r="VUD1737" s="515"/>
      <c r="VUE1737" s="515"/>
      <c r="VUF1737" s="515"/>
      <c r="VUG1737" s="515"/>
      <c r="VUH1737" s="515"/>
      <c r="VUI1737" s="515"/>
      <c r="VUJ1737" s="515"/>
      <c r="VUK1737" s="515"/>
      <c r="VUL1737" s="515"/>
      <c r="VUM1737" s="515"/>
      <c r="VUN1737" s="515"/>
      <c r="VUO1737" s="515"/>
      <c r="VUP1737" s="515"/>
      <c r="VUQ1737" s="515"/>
      <c r="VUR1737" s="515"/>
      <c r="VUS1737" s="515"/>
      <c r="VUT1737" s="515"/>
      <c r="VUU1737" s="515"/>
      <c r="VUV1737" s="515"/>
      <c r="VUW1737" s="515"/>
      <c r="VUX1737" s="515"/>
      <c r="VUY1737" s="515"/>
      <c r="VUZ1737" s="515"/>
      <c r="VVA1737" s="515"/>
      <c r="VVB1737" s="515"/>
      <c r="VVC1737" s="515"/>
      <c r="VVD1737" s="515"/>
      <c r="VVE1737" s="515"/>
      <c r="VVF1737" s="515"/>
      <c r="VVG1737" s="515"/>
      <c r="VVH1737" s="515"/>
      <c r="VVI1737" s="515"/>
      <c r="VVJ1737" s="515"/>
      <c r="VVK1737" s="515"/>
      <c r="VVL1737" s="515"/>
      <c r="VVM1737" s="515"/>
      <c r="VVN1737" s="515"/>
      <c r="VVO1737" s="515"/>
      <c r="VVP1737" s="515"/>
      <c r="VVQ1737" s="515"/>
      <c r="VVR1737" s="515"/>
      <c r="VVS1737" s="515"/>
      <c r="VVT1737" s="515"/>
      <c r="VVU1737" s="515"/>
      <c r="VVV1737" s="515"/>
      <c r="VVW1737" s="515"/>
      <c r="VVX1737" s="515"/>
      <c r="VVY1737" s="515"/>
      <c r="VVZ1737" s="515"/>
      <c r="VWA1737" s="515"/>
      <c r="VWB1737" s="515"/>
      <c r="VWC1737" s="515"/>
      <c r="VWD1737" s="515"/>
      <c r="VWE1737" s="515"/>
      <c r="VWF1737" s="515"/>
      <c r="VWG1737" s="515"/>
      <c r="VWH1737" s="515"/>
      <c r="VWI1737" s="515"/>
      <c r="VWJ1737" s="515"/>
      <c r="VWK1737" s="515"/>
      <c r="VWL1737" s="515"/>
      <c r="VWM1737" s="515"/>
      <c r="VWN1737" s="515"/>
      <c r="VWO1737" s="515"/>
      <c r="VWP1737" s="515"/>
      <c r="VWQ1737" s="515"/>
      <c r="VWR1737" s="515"/>
      <c r="VWS1737" s="515"/>
      <c r="VWT1737" s="515"/>
      <c r="VWU1737" s="515"/>
      <c r="VWV1737" s="515"/>
      <c r="VWW1737" s="515"/>
      <c r="VWX1737" s="515"/>
      <c r="VWY1737" s="515"/>
      <c r="VWZ1737" s="515"/>
      <c r="VXA1737" s="515"/>
      <c r="VXB1737" s="515"/>
      <c r="VXC1737" s="515"/>
      <c r="VXD1737" s="515"/>
      <c r="VXE1737" s="515"/>
      <c r="VXF1737" s="515"/>
      <c r="VXG1737" s="515"/>
      <c r="VXH1737" s="515"/>
      <c r="VXI1737" s="515"/>
      <c r="VXJ1737" s="515"/>
      <c r="VXK1737" s="515"/>
      <c r="VXL1737" s="515"/>
      <c r="VXM1737" s="515"/>
      <c r="VXN1737" s="515"/>
      <c r="VXO1737" s="515"/>
      <c r="VXP1737" s="515"/>
      <c r="VXQ1737" s="515"/>
      <c r="VXR1737" s="515"/>
      <c r="VXS1737" s="515"/>
      <c r="VXT1737" s="515"/>
      <c r="VXU1737" s="515"/>
      <c r="VXV1737" s="515"/>
      <c r="VXW1737" s="515"/>
      <c r="VXX1737" s="515"/>
      <c r="VXY1737" s="515"/>
      <c r="VXZ1737" s="515"/>
      <c r="VYA1737" s="515"/>
      <c r="VYB1737" s="515"/>
      <c r="VYC1737" s="515"/>
      <c r="VYD1737" s="515"/>
      <c r="VYE1737" s="515"/>
      <c r="VYF1737" s="515"/>
      <c r="VYG1737" s="515"/>
      <c r="VYH1737" s="515"/>
      <c r="VYI1737" s="515"/>
      <c r="VYJ1737" s="515"/>
      <c r="VYK1737" s="515"/>
      <c r="VYL1737" s="515"/>
      <c r="VYM1737" s="515"/>
      <c r="VYN1737" s="515"/>
      <c r="VYO1737" s="515"/>
      <c r="VYP1737" s="515"/>
      <c r="VYQ1737" s="515"/>
      <c r="VYR1737" s="515"/>
      <c r="VYS1737" s="515"/>
      <c r="VYT1737" s="515"/>
      <c r="VYU1737" s="515"/>
      <c r="VYV1737" s="515"/>
      <c r="VYW1737" s="515"/>
      <c r="VYX1737" s="515"/>
      <c r="VYY1737" s="515"/>
      <c r="VYZ1737" s="515"/>
      <c r="VZA1737" s="515"/>
      <c r="VZB1737" s="515"/>
      <c r="VZC1737" s="515"/>
      <c r="VZD1737" s="515"/>
      <c r="VZE1737" s="515"/>
      <c r="VZF1737" s="515"/>
      <c r="VZG1737" s="515"/>
      <c r="VZH1737" s="515"/>
      <c r="VZI1737" s="515"/>
      <c r="VZJ1737" s="515"/>
      <c r="VZK1737" s="515"/>
      <c r="VZL1737" s="515"/>
      <c r="VZM1737" s="515"/>
      <c r="VZN1737" s="515"/>
      <c r="VZO1737" s="515"/>
      <c r="VZP1737" s="515"/>
      <c r="VZQ1737" s="515"/>
      <c r="VZR1737" s="515"/>
      <c r="VZS1737" s="515"/>
      <c r="VZT1737" s="515"/>
      <c r="VZU1737" s="515"/>
      <c r="VZV1737" s="515"/>
      <c r="VZW1737" s="515"/>
      <c r="VZX1737" s="515"/>
      <c r="VZY1737" s="515"/>
      <c r="VZZ1737" s="515"/>
      <c r="WAA1737" s="515"/>
      <c r="WAB1737" s="515"/>
      <c r="WAC1737" s="515"/>
      <c r="WAD1737" s="515"/>
      <c r="WAE1737" s="515"/>
      <c r="WAF1737" s="515"/>
      <c r="WAG1737" s="515"/>
      <c r="WAH1737" s="515"/>
      <c r="WAI1737" s="515"/>
      <c r="WAJ1737" s="515"/>
      <c r="WAK1737" s="515"/>
      <c r="WAL1737" s="515"/>
      <c r="WAM1737" s="515"/>
      <c r="WAN1737" s="515"/>
      <c r="WAO1737" s="515"/>
      <c r="WAP1737" s="515"/>
      <c r="WAQ1737" s="515"/>
      <c r="WAR1737" s="515"/>
      <c r="WAS1737" s="515"/>
      <c r="WAT1737" s="515"/>
      <c r="WAU1737" s="515"/>
      <c r="WAV1737" s="515"/>
      <c r="WAW1737" s="515"/>
      <c r="WAX1737" s="515"/>
      <c r="WAY1737" s="515"/>
      <c r="WAZ1737" s="515"/>
      <c r="WBA1737" s="515"/>
      <c r="WBB1737" s="515"/>
      <c r="WBC1737" s="515"/>
      <c r="WBD1737" s="515"/>
      <c r="WBE1737" s="515"/>
      <c r="WBF1737" s="515"/>
      <c r="WBG1737" s="515"/>
      <c r="WBH1737" s="515"/>
      <c r="WBI1737" s="515"/>
      <c r="WBJ1737" s="515"/>
      <c r="WBK1737" s="515"/>
      <c r="WBL1737" s="515"/>
      <c r="WBM1737" s="515"/>
      <c r="WBN1737" s="515"/>
      <c r="WBO1737" s="515"/>
      <c r="WBP1737" s="515"/>
      <c r="WBQ1737" s="515"/>
      <c r="WBR1737" s="515"/>
      <c r="WBS1737" s="515"/>
      <c r="WBT1737" s="515"/>
      <c r="WBU1737" s="515"/>
      <c r="WBV1737" s="515"/>
      <c r="WBW1737" s="515"/>
      <c r="WBX1737" s="515"/>
      <c r="WBY1737" s="515"/>
      <c r="WBZ1737" s="515"/>
      <c r="WCA1737" s="515"/>
      <c r="WCB1737" s="515"/>
      <c r="WCC1737" s="515"/>
      <c r="WCD1737" s="515"/>
      <c r="WCE1737" s="515"/>
      <c r="WCF1737" s="515"/>
      <c r="WCG1737" s="515"/>
      <c r="WCH1737" s="515"/>
      <c r="WCI1737" s="515"/>
      <c r="WCJ1737" s="515"/>
      <c r="WCK1737" s="515"/>
      <c r="WCL1737" s="515"/>
      <c r="WCM1737" s="515"/>
      <c r="WCN1737" s="515"/>
      <c r="WCO1737" s="515"/>
      <c r="WCP1737" s="515"/>
      <c r="WCQ1737" s="515"/>
      <c r="WCR1737" s="515"/>
      <c r="WCS1737" s="515"/>
      <c r="WCT1737" s="515"/>
      <c r="WCU1737" s="515"/>
      <c r="WCV1737" s="515"/>
      <c r="WCW1737" s="515"/>
      <c r="WCX1737" s="515"/>
      <c r="WCY1737" s="515"/>
      <c r="WCZ1737" s="515"/>
      <c r="WDA1737" s="515"/>
      <c r="WDB1737" s="515"/>
      <c r="WDC1737" s="515"/>
      <c r="WDD1737" s="515"/>
      <c r="WDE1737" s="515"/>
      <c r="WDF1737" s="515"/>
      <c r="WDG1737" s="515"/>
      <c r="WDH1737" s="515"/>
      <c r="WDI1737" s="515"/>
      <c r="WDJ1737" s="515"/>
      <c r="WDK1737" s="515"/>
      <c r="WDL1737" s="515"/>
      <c r="WDM1737" s="515"/>
      <c r="WDN1737" s="515"/>
      <c r="WDO1737" s="515"/>
      <c r="WDP1737" s="515"/>
      <c r="WDQ1737" s="515"/>
      <c r="WDR1737" s="515"/>
      <c r="WDS1737" s="515"/>
      <c r="WDT1737" s="515"/>
      <c r="WDU1737" s="515"/>
      <c r="WDV1737" s="515"/>
      <c r="WDW1737" s="515"/>
      <c r="WDX1737" s="515"/>
      <c r="WDY1737" s="515"/>
      <c r="WDZ1737" s="515"/>
      <c r="WEA1737" s="515"/>
      <c r="WEB1737" s="515"/>
      <c r="WEC1737" s="515"/>
      <c r="WED1737" s="515"/>
      <c r="WEE1737" s="515"/>
      <c r="WEF1737" s="515"/>
      <c r="WEG1737" s="515"/>
      <c r="WEH1737" s="515"/>
      <c r="WEI1737" s="515"/>
      <c r="WEJ1737" s="515"/>
      <c r="WEK1737" s="515"/>
      <c r="WEL1737" s="515"/>
      <c r="WEM1737" s="515"/>
      <c r="WEN1737" s="515"/>
      <c r="WEO1737" s="515"/>
      <c r="WEP1737" s="515"/>
      <c r="WEQ1737" s="515"/>
      <c r="WER1737" s="515"/>
      <c r="WES1737" s="515"/>
      <c r="WET1737" s="515"/>
      <c r="WEU1737" s="515"/>
      <c r="WEV1737" s="515"/>
      <c r="WEW1737" s="515"/>
      <c r="WEX1737" s="515"/>
      <c r="WEY1737" s="515"/>
      <c r="WEZ1737" s="515"/>
      <c r="WFA1737" s="515"/>
      <c r="WFB1737" s="515"/>
      <c r="WFC1737" s="515"/>
      <c r="WFD1737" s="515"/>
      <c r="WFE1737" s="515"/>
      <c r="WFF1737" s="515"/>
      <c r="WFG1737" s="515"/>
      <c r="WFH1737" s="515"/>
      <c r="WFI1737" s="515"/>
      <c r="WFJ1737" s="515"/>
      <c r="WFK1737" s="515"/>
      <c r="WFL1737" s="515"/>
      <c r="WFM1737" s="515"/>
      <c r="WFN1737" s="515"/>
      <c r="WFO1737" s="515"/>
      <c r="WFP1737" s="515"/>
      <c r="WFQ1737" s="515"/>
      <c r="WFR1737" s="515"/>
      <c r="WFS1737" s="515"/>
      <c r="WFT1737" s="515"/>
      <c r="WFU1737" s="515"/>
      <c r="WFV1737" s="515"/>
      <c r="WFW1737" s="515"/>
      <c r="WFX1737" s="515"/>
      <c r="WFY1737" s="515"/>
      <c r="WFZ1737" s="515"/>
      <c r="WGA1737" s="515"/>
      <c r="WGB1737" s="515"/>
      <c r="WGC1737" s="515"/>
      <c r="WGD1737" s="515"/>
      <c r="WGE1737" s="515"/>
      <c r="WGF1737" s="515"/>
      <c r="WGG1737" s="515"/>
      <c r="WGH1737" s="515"/>
      <c r="WGI1737" s="515"/>
      <c r="WGJ1737" s="515"/>
      <c r="WGK1737" s="515"/>
      <c r="WGL1737" s="515"/>
      <c r="WGM1737" s="515"/>
      <c r="WGN1737" s="515"/>
      <c r="WGO1737" s="515"/>
      <c r="WGP1737" s="515"/>
      <c r="WGQ1737" s="515"/>
      <c r="WGR1737" s="515"/>
      <c r="WGS1737" s="515"/>
      <c r="WGT1737" s="515"/>
      <c r="WGU1737" s="515"/>
      <c r="WGV1737" s="515"/>
      <c r="WGW1737" s="515"/>
      <c r="WGX1737" s="515"/>
      <c r="WGY1737" s="515"/>
      <c r="WGZ1737" s="515"/>
      <c r="WHA1737" s="515"/>
      <c r="WHB1737" s="515"/>
      <c r="WHC1737" s="515"/>
      <c r="WHD1737" s="515"/>
      <c r="WHE1737" s="515"/>
      <c r="WHF1737" s="515"/>
      <c r="WHG1737" s="515"/>
      <c r="WHH1737" s="515"/>
      <c r="WHI1737" s="515"/>
      <c r="WHJ1737" s="515"/>
      <c r="WHK1737" s="515"/>
      <c r="WHL1737" s="515"/>
      <c r="WHM1737" s="515"/>
      <c r="WHN1737" s="515"/>
      <c r="WHO1737" s="515"/>
      <c r="WHP1737" s="515"/>
      <c r="WHQ1737" s="515"/>
      <c r="WHR1737" s="515"/>
      <c r="WHS1737" s="515"/>
      <c r="WHT1737" s="515"/>
      <c r="WHU1737" s="515"/>
      <c r="WHV1737" s="515"/>
      <c r="WHW1737" s="515"/>
      <c r="WHX1737" s="515"/>
      <c r="WHY1737" s="515"/>
      <c r="WHZ1737" s="515"/>
      <c r="WIA1737" s="515"/>
      <c r="WIB1737" s="515"/>
      <c r="WIC1737" s="515"/>
      <c r="WID1737" s="515"/>
      <c r="WIE1737" s="515"/>
      <c r="WIF1737" s="515"/>
      <c r="WIG1737" s="515"/>
      <c r="WIH1737" s="515"/>
      <c r="WII1737" s="515"/>
      <c r="WIJ1737" s="515"/>
      <c r="WIK1737" s="515"/>
      <c r="WIL1737" s="515"/>
      <c r="WIM1737" s="515"/>
      <c r="WIN1737" s="515"/>
      <c r="WIO1737" s="515"/>
      <c r="WIP1737" s="515"/>
      <c r="WIQ1737" s="515"/>
      <c r="WIR1737" s="515"/>
      <c r="WIS1737" s="515"/>
      <c r="WIT1737" s="515"/>
      <c r="WIU1737" s="515"/>
      <c r="WIV1737" s="515"/>
      <c r="WIW1737" s="515"/>
      <c r="WIX1737" s="515"/>
      <c r="WIY1737" s="515"/>
      <c r="WIZ1737" s="515"/>
      <c r="WJA1737" s="515"/>
      <c r="WJB1737" s="515"/>
      <c r="WJC1737" s="515"/>
      <c r="WJD1737" s="515"/>
      <c r="WJE1737" s="515"/>
      <c r="WJF1737" s="515"/>
      <c r="WJG1737" s="515"/>
      <c r="WJH1737" s="515"/>
      <c r="WJI1737" s="515"/>
      <c r="WJJ1737" s="515"/>
      <c r="WJK1737" s="515"/>
      <c r="WJL1737" s="515"/>
      <c r="WJM1737" s="515"/>
      <c r="WJN1737" s="515"/>
      <c r="WJO1737" s="515"/>
      <c r="WJP1737" s="515"/>
      <c r="WJQ1737" s="515"/>
      <c r="WJR1737" s="515"/>
      <c r="WJS1737" s="515"/>
      <c r="WJT1737" s="515"/>
      <c r="WJU1737" s="515"/>
      <c r="WJV1737" s="515"/>
      <c r="WJW1737" s="515"/>
      <c r="WJX1737" s="515"/>
      <c r="WJY1737" s="515"/>
      <c r="WJZ1737" s="515"/>
      <c r="WKA1737" s="515"/>
      <c r="WKB1737" s="515"/>
      <c r="WKC1737" s="515"/>
      <c r="WKD1737" s="515"/>
      <c r="WKE1737" s="515"/>
      <c r="WKF1737" s="515"/>
      <c r="WKG1737" s="515"/>
      <c r="WKH1737" s="515"/>
      <c r="WKI1737" s="515"/>
      <c r="WKJ1737" s="515"/>
      <c r="WKK1737" s="515"/>
      <c r="WKL1737" s="515"/>
      <c r="WKM1737" s="515"/>
      <c r="WKN1737" s="515"/>
      <c r="WKO1737" s="515"/>
      <c r="WKP1737" s="515"/>
      <c r="WKQ1737" s="515"/>
      <c r="WKR1737" s="515"/>
      <c r="WKS1737" s="515"/>
      <c r="WKT1737" s="515"/>
      <c r="WKU1737" s="515"/>
      <c r="WKV1737" s="515"/>
      <c r="WKW1737" s="515"/>
      <c r="WKX1737" s="515"/>
      <c r="WKY1737" s="515"/>
      <c r="WKZ1737" s="515"/>
      <c r="WLA1737" s="515"/>
      <c r="WLB1737" s="515"/>
      <c r="WLC1737" s="515"/>
      <c r="WLD1737" s="515"/>
      <c r="WLE1737" s="515"/>
      <c r="WLF1737" s="515"/>
      <c r="WLG1737" s="515"/>
      <c r="WLH1737" s="515"/>
      <c r="WLI1737" s="515"/>
      <c r="WLJ1737" s="515"/>
      <c r="WLK1737" s="515"/>
      <c r="WLL1737" s="515"/>
      <c r="WLM1737" s="515"/>
      <c r="WLN1737" s="515"/>
      <c r="WLO1737" s="515"/>
      <c r="WLP1737" s="515"/>
      <c r="WLQ1737" s="515"/>
      <c r="WLR1737" s="515"/>
      <c r="WLS1737" s="515"/>
      <c r="WLT1737" s="515"/>
      <c r="WLU1737" s="515"/>
      <c r="WLV1737" s="515"/>
      <c r="WLW1737" s="515"/>
      <c r="WLX1737" s="515"/>
      <c r="WLY1737" s="515"/>
      <c r="WLZ1737" s="515"/>
      <c r="WMA1737" s="515"/>
      <c r="WMB1737" s="515"/>
      <c r="WMC1737" s="515"/>
      <c r="WMD1737" s="515"/>
      <c r="WME1737" s="515"/>
      <c r="WMF1737" s="515"/>
      <c r="WMG1737" s="515"/>
      <c r="WMH1737" s="515"/>
      <c r="WMI1737" s="515"/>
      <c r="WMJ1737" s="515"/>
      <c r="WMK1737" s="515"/>
      <c r="WML1737" s="515"/>
      <c r="WMM1737" s="515"/>
      <c r="WMN1737" s="515"/>
      <c r="WMO1737" s="515"/>
      <c r="WMP1737" s="515"/>
      <c r="WMQ1737" s="515"/>
      <c r="WMR1737" s="515"/>
      <c r="WMS1737" s="515"/>
      <c r="WMT1737" s="515"/>
      <c r="WMU1737" s="515"/>
      <c r="WMV1737" s="515"/>
      <c r="WMW1737" s="515"/>
      <c r="WMX1737" s="515"/>
      <c r="WMY1737" s="515"/>
      <c r="WMZ1737" s="515"/>
      <c r="WNA1737" s="515"/>
      <c r="WNB1737" s="515"/>
      <c r="WNC1737" s="515"/>
      <c r="WND1737" s="515"/>
      <c r="WNE1737" s="515"/>
      <c r="WNF1737" s="515"/>
      <c r="WNG1737" s="515"/>
      <c r="WNH1737" s="515"/>
      <c r="WNI1737" s="515"/>
      <c r="WNJ1737" s="515"/>
      <c r="WNK1737" s="515"/>
      <c r="WNL1737" s="515"/>
      <c r="WNM1737" s="515"/>
      <c r="WNN1737" s="515"/>
      <c r="WNO1737" s="515"/>
      <c r="WNP1737" s="515"/>
      <c r="WNQ1737" s="515"/>
      <c r="WNR1737" s="515"/>
      <c r="WNS1737" s="515"/>
      <c r="WNT1737" s="515"/>
      <c r="WNU1737" s="515"/>
      <c r="WNV1737" s="515"/>
      <c r="WNW1737" s="515"/>
      <c r="WNX1737" s="515"/>
      <c r="WNY1737" s="515"/>
      <c r="WNZ1737" s="515"/>
      <c r="WOA1737" s="515"/>
      <c r="WOB1737" s="515"/>
      <c r="WOC1737" s="515"/>
      <c r="WOD1737" s="515"/>
      <c r="WOE1737" s="515"/>
      <c r="WOF1737" s="515"/>
      <c r="WOG1737" s="515"/>
      <c r="WOH1737" s="515"/>
      <c r="WOI1737" s="515"/>
      <c r="WOJ1737" s="515"/>
      <c r="WOK1737" s="515"/>
      <c r="WOL1737" s="515"/>
      <c r="WOM1737" s="515"/>
      <c r="WON1737" s="515"/>
      <c r="WOO1737" s="515"/>
      <c r="WOP1737" s="515"/>
      <c r="WOQ1737" s="515"/>
      <c r="WOR1737" s="515"/>
      <c r="WOS1737" s="515"/>
      <c r="WOT1737" s="515"/>
      <c r="WOU1737" s="515"/>
      <c r="WOV1737" s="515"/>
      <c r="WOW1737" s="515"/>
      <c r="WOX1737" s="515"/>
      <c r="WOY1737" s="515"/>
      <c r="WOZ1737" s="515"/>
      <c r="WPA1737" s="515"/>
      <c r="WPB1737" s="515"/>
      <c r="WPC1737" s="515"/>
      <c r="WPD1737" s="515"/>
      <c r="WPE1737" s="515"/>
      <c r="WPF1737" s="515"/>
      <c r="WPG1737" s="515"/>
      <c r="WPH1737" s="515"/>
      <c r="WPI1737" s="515"/>
      <c r="WPJ1737" s="515"/>
      <c r="WPK1737" s="515"/>
      <c r="WPL1737" s="515"/>
      <c r="WPM1737" s="515"/>
      <c r="WPN1737" s="515"/>
      <c r="WPO1737" s="515"/>
      <c r="WPP1737" s="515"/>
      <c r="WPQ1737" s="515"/>
      <c r="WPR1737" s="515"/>
      <c r="WPS1737" s="515"/>
      <c r="WPT1737" s="515"/>
      <c r="WPU1737" s="515"/>
      <c r="WPV1737" s="515"/>
      <c r="WPW1737" s="515"/>
      <c r="WPX1737" s="515"/>
      <c r="WPY1737" s="515"/>
      <c r="WPZ1737" s="515"/>
      <c r="WQA1737" s="515"/>
      <c r="WQB1737" s="515"/>
      <c r="WQC1737" s="515"/>
      <c r="WQD1737" s="515"/>
      <c r="WQE1737" s="515"/>
      <c r="WQF1737" s="515"/>
      <c r="WQG1737" s="515"/>
      <c r="WQH1737" s="515"/>
      <c r="WQI1737" s="515"/>
      <c r="WQJ1737" s="515"/>
      <c r="WQK1737" s="515"/>
      <c r="WQL1737" s="515"/>
      <c r="WQM1737" s="515"/>
      <c r="WQN1737" s="515"/>
      <c r="WQO1737" s="515"/>
      <c r="WQP1737" s="515"/>
      <c r="WQQ1737" s="515"/>
      <c r="WQR1737" s="515"/>
      <c r="WQS1737" s="515"/>
      <c r="WQT1737" s="515"/>
      <c r="WQU1737" s="515"/>
      <c r="WQV1737" s="515"/>
      <c r="WQW1737" s="515"/>
      <c r="WQX1737" s="515"/>
      <c r="WQY1737" s="515"/>
      <c r="WQZ1737" s="515"/>
      <c r="WRA1737" s="515"/>
      <c r="WRB1737" s="515"/>
      <c r="WRC1737" s="515"/>
      <c r="WRD1737" s="515"/>
      <c r="WRE1737" s="515"/>
      <c r="WRF1737" s="515"/>
      <c r="WRG1737" s="515"/>
      <c r="WRH1737" s="515"/>
      <c r="WRI1737" s="515"/>
      <c r="WRJ1737" s="515"/>
      <c r="WRK1737" s="515"/>
      <c r="WRL1737" s="515"/>
      <c r="WRM1737" s="515"/>
      <c r="WRN1737" s="515"/>
      <c r="WRO1737" s="515"/>
      <c r="WRP1737" s="515"/>
      <c r="WRQ1737" s="515"/>
      <c r="WRR1737" s="515"/>
      <c r="WRS1737" s="515"/>
      <c r="WRT1737" s="515"/>
      <c r="WRU1737" s="515"/>
      <c r="WRV1737" s="515"/>
      <c r="WRW1737" s="515"/>
      <c r="WRX1737" s="515"/>
      <c r="WRY1737" s="515"/>
      <c r="WRZ1737" s="515"/>
      <c r="WSA1737" s="515"/>
      <c r="WSB1737" s="515"/>
      <c r="WSC1737" s="515"/>
      <c r="WSD1737" s="515"/>
      <c r="WSE1737" s="515"/>
      <c r="WSF1737" s="515"/>
      <c r="WSG1737" s="515"/>
      <c r="WSH1737" s="515"/>
      <c r="WSI1737" s="515"/>
      <c r="WSJ1737" s="515"/>
      <c r="WSK1737" s="515"/>
      <c r="WSL1737" s="515"/>
      <c r="WSM1737" s="515"/>
      <c r="WSN1737" s="515"/>
      <c r="WSO1737" s="515"/>
      <c r="WSP1737" s="515"/>
      <c r="WSQ1737" s="515"/>
      <c r="WSR1737" s="515"/>
      <c r="WSS1737" s="515"/>
      <c r="WST1737" s="515"/>
      <c r="WSU1737" s="515"/>
      <c r="WSV1737" s="515"/>
      <c r="WSW1737" s="515"/>
      <c r="WSX1737" s="515"/>
      <c r="WSY1737" s="515"/>
      <c r="WSZ1737" s="515"/>
      <c r="WTA1737" s="515"/>
      <c r="WTB1737" s="515"/>
      <c r="WTC1737" s="515"/>
      <c r="WTD1737" s="515"/>
      <c r="WTE1737" s="515"/>
      <c r="WTF1737" s="515"/>
      <c r="WTG1737" s="515"/>
      <c r="WTH1737" s="515"/>
      <c r="WTI1737" s="515"/>
      <c r="WTJ1737" s="515"/>
      <c r="WTK1737" s="515"/>
      <c r="WTL1737" s="515"/>
      <c r="WTM1737" s="515"/>
      <c r="WTN1737" s="515"/>
      <c r="WTO1737" s="515"/>
      <c r="WTP1737" s="515"/>
      <c r="WTQ1737" s="515"/>
      <c r="WTR1737" s="515"/>
      <c r="WTS1737" s="515"/>
      <c r="WTT1737" s="515"/>
      <c r="WTU1737" s="515"/>
      <c r="WTV1737" s="515"/>
      <c r="WTW1737" s="515"/>
      <c r="WTX1737" s="515"/>
      <c r="WTY1737" s="515"/>
      <c r="WTZ1737" s="515"/>
      <c r="WUA1737" s="515"/>
      <c r="WUB1737" s="515"/>
      <c r="WUC1737" s="515"/>
      <c r="WUD1737" s="515"/>
      <c r="WUE1737" s="515"/>
      <c r="WUF1737" s="515"/>
      <c r="WUG1737" s="515"/>
      <c r="WUH1737" s="515"/>
      <c r="WUI1737" s="515"/>
      <c r="WUJ1737" s="515"/>
      <c r="WUK1737" s="515"/>
      <c r="WUL1737" s="515"/>
      <c r="WUM1737" s="515"/>
      <c r="WUN1737" s="515"/>
      <c r="WUO1737" s="515"/>
      <c r="WUP1737" s="515"/>
      <c r="WUQ1737" s="515"/>
      <c r="WUR1737" s="515"/>
      <c r="WUS1737" s="515"/>
      <c r="WUT1737" s="515"/>
      <c r="WUU1737" s="515"/>
      <c r="WUV1737" s="515"/>
      <c r="WUW1737" s="515"/>
      <c r="WUX1737" s="515"/>
      <c r="WUY1737" s="515"/>
      <c r="WUZ1737" s="515"/>
      <c r="WVA1737" s="515"/>
      <c r="WVB1737" s="515"/>
      <c r="WVC1737" s="515"/>
      <c r="WVD1737" s="515"/>
      <c r="WVE1737" s="515"/>
      <c r="WVF1737" s="515"/>
      <c r="WVG1737" s="515"/>
      <c r="WVH1737" s="515"/>
      <c r="WVI1737" s="515"/>
      <c r="WVJ1737" s="515"/>
      <c r="WVK1737" s="515"/>
      <c r="WVL1737" s="515"/>
      <c r="WVM1737" s="515"/>
      <c r="WVN1737" s="515"/>
      <c r="WVO1737" s="515"/>
      <c r="WVP1737" s="515"/>
      <c r="WVQ1737" s="515"/>
      <c r="WVR1737" s="515"/>
      <c r="WVS1737" s="515"/>
      <c r="WVT1737" s="515"/>
      <c r="WVU1737" s="515"/>
      <c r="WVV1737" s="515"/>
      <c r="WVW1737" s="515"/>
      <c r="WVX1737" s="515"/>
      <c r="WVY1737" s="515"/>
      <c r="WVZ1737" s="515"/>
      <c r="WWA1737" s="515"/>
      <c r="WWB1737" s="515"/>
      <c r="WWC1737" s="515"/>
      <c r="WWD1737" s="515"/>
      <c r="WWE1737" s="515"/>
      <c r="WWF1737" s="515"/>
      <c r="WWG1737" s="515"/>
      <c r="WWH1737" s="515"/>
      <c r="WWI1737" s="515"/>
      <c r="WWJ1737" s="515"/>
      <c r="WWK1737" s="515"/>
      <c r="WWL1737" s="515"/>
      <c r="WWM1737" s="515"/>
      <c r="WWN1737" s="515"/>
      <c r="WWO1737" s="515"/>
      <c r="WWP1737" s="515"/>
      <c r="WWQ1737" s="515"/>
      <c r="WWR1737" s="515"/>
      <c r="WWS1737" s="515"/>
      <c r="WWT1737" s="515"/>
      <c r="WWU1737" s="515"/>
      <c r="WWV1737" s="515"/>
      <c r="WWW1737" s="515"/>
      <c r="WWX1737" s="515"/>
      <c r="WWY1737" s="515"/>
      <c r="WWZ1737" s="515"/>
      <c r="WXA1737" s="515"/>
      <c r="WXB1737" s="515"/>
      <c r="WXC1737" s="515"/>
      <c r="WXD1737" s="515"/>
      <c r="WXE1737" s="515"/>
      <c r="WXF1737" s="515"/>
      <c r="WXG1737" s="515"/>
      <c r="WXH1737" s="515"/>
      <c r="WXI1737" s="515"/>
      <c r="WXJ1737" s="515"/>
      <c r="WXK1737" s="515"/>
      <c r="WXL1737" s="515"/>
      <c r="WXM1737" s="515"/>
      <c r="WXN1737" s="515"/>
      <c r="WXO1737" s="515"/>
      <c r="WXP1737" s="515"/>
      <c r="WXQ1737" s="515"/>
      <c r="WXR1737" s="515"/>
      <c r="WXS1737" s="515"/>
      <c r="WXT1737" s="515"/>
      <c r="WXU1737" s="515"/>
      <c r="WXV1737" s="515"/>
      <c r="WXW1737" s="515"/>
      <c r="WXX1737" s="515"/>
      <c r="WXY1737" s="515"/>
      <c r="WXZ1737" s="515"/>
      <c r="WYA1737" s="515"/>
      <c r="WYB1737" s="515"/>
      <c r="WYC1737" s="515"/>
      <c r="WYD1737" s="515"/>
      <c r="WYE1737" s="515"/>
      <c r="WYF1737" s="515"/>
      <c r="WYG1737" s="515"/>
      <c r="WYH1737" s="515"/>
      <c r="WYI1737" s="515"/>
      <c r="WYJ1737" s="515"/>
      <c r="WYK1737" s="515"/>
      <c r="WYL1737" s="515"/>
      <c r="WYM1737" s="515"/>
      <c r="WYN1737" s="515"/>
      <c r="WYO1737" s="515"/>
      <c r="WYP1737" s="515"/>
      <c r="WYQ1737" s="515"/>
      <c r="WYR1737" s="515"/>
      <c r="WYS1737" s="515"/>
      <c r="WYT1737" s="515"/>
      <c r="WYU1737" s="515"/>
      <c r="WYV1737" s="515"/>
      <c r="WYW1737" s="515"/>
      <c r="WYX1737" s="515"/>
      <c r="WYY1737" s="515"/>
      <c r="WYZ1737" s="515"/>
      <c r="WZA1737" s="515"/>
      <c r="WZB1737" s="515"/>
      <c r="WZC1737" s="515"/>
      <c r="WZD1737" s="515"/>
      <c r="WZE1737" s="515"/>
      <c r="WZF1737" s="515"/>
      <c r="WZG1737" s="515"/>
      <c r="WZH1737" s="515"/>
      <c r="WZI1737" s="515"/>
      <c r="WZJ1737" s="515"/>
      <c r="WZK1737" s="515"/>
      <c r="WZL1737" s="515"/>
      <c r="WZM1737" s="515"/>
      <c r="WZN1737" s="515"/>
      <c r="WZO1737" s="515"/>
      <c r="WZP1737" s="515"/>
      <c r="WZQ1737" s="515"/>
      <c r="WZR1737" s="515"/>
      <c r="WZS1737" s="515"/>
      <c r="WZT1737" s="515"/>
      <c r="WZU1737" s="515"/>
      <c r="WZV1737" s="515"/>
      <c r="WZW1737" s="515"/>
      <c r="WZX1737" s="515"/>
      <c r="WZY1737" s="515"/>
      <c r="WZZ1737" s="515"/>
      <c r="XAA1737" s="515"/>
      <c r="XAB1737" s="515"/>
      <c r="XAC1737" s="515"/>
      <c r="XAD1737" s="515"/>
      <c r="XAE1737" s="515"/>
      <c r="XAF1737" s="515"/>
      <c r="XAG1737" s="515"/>
      <c r="XAH1737" s="515"/>
      <c r="XAI1737" s="515"/>
      <c r="XAJ1737" s="515"/>
      <c r="XAK1737" s="515"/>
      <c r="XAL1737" s="515"/>
      <c r="XAM1737" s="515"/>
      <c r="XAN1737" s="515"/>
      <c r="XAO1737" s="515"/>
      <c r="XAP1737" s="515"/>
      <c r="XAQ1737" s="515"/>
      <c r="XAR1737" s="515"/>
      <c r="XAS1737" s="515"/>
      <c r="XAT1737" s="515"/>
      <c r="XAU1737" s="515"/>
      <c r="XAV1737" s="515"/>
      <c r="XAW1737" s="515"/>
      <c r="XAX1737" s="515"/>
      <c r="XAY1737" s="515"/>
      <c r="XAZ1737" s="515"/>
      <c r="XBA1737" s="515"/>
      <c r="XBB1737" s="515"/>
      <c r="XBC1737" s="515"/>
      <c r="XBD1737" s="515"/>
      <c r="XBE1737" s="515"/>
      <c r="XBF1737" s="515"/>
      <c r="XBG1737" s="515"/>
      <c r="XBH1737" s="515"/>
      <c r="XBI1737" s="515"/>
      <c r="XBJ1737" s="515"/>
      <c r="XBK1737" s="515"/>
      <c r="XBL1737" s="515"/>
      <c r="XBM1737" s="515"/>
      <c r="XBN1737" s="515"/>
      <c r="XBO1737" s="515"/>
      <c r="XBP1737" s="515"/>
      <c r="XBQ1737" s="515"/>
      <c r="XBR1737" s="515"/>
      <c r="XBS1737" s="515"/>
      <c r="XBT1737" s="515"/>
      <c r="XBU1737" s="515"/>
      <c r="XBV1737" s="515"/>
      <c r="XBW1737" s="515"/>
      <c r="XBX1737" s="515"/>
      <c r="XBY1737" s="515"/>
      <c r="XBZ1737" s="515"/>
      <c r="XCA1737" s="515"/>
      <c r="XCB1737" s="515"/>
      <c r="XCC1737" s="515"/>
      <c r="XCD1737" s="515"/>
      <c r="XCE1737" s="515"/>
      <c r="XCF1737" s="515"/>
      <c r="XCG1737" s="515"/>
      <c r="XCH1737" s="515"/>
      <c r="XCI1737" s="515"/>
      <c r="XCJ1737" s="515"/>
      <c r="XCK1737" s="515"/>
      <c r="XCL1737" s="515"/>
      <c r="XCM1737" s="515"/>
      <c r="XCN1737" s="515"/>
      <c r="XCO1737" s="515"/>
      <c r="XCP1737" s="515"/>
      <c r="XCQ1737" s="515"/>
      <c r="XCR1737" s="515"/>
      <c r="XCS1737" s="515"/>
      <c r="XCT1737" s="515"/>
      <c r="XCU1737" s="515"/>
      <c r="XCV1737" s="515"/>
      <c r="XCW1737" s="515"/>
      <c r="XCX1737" s="515"/>
      <c r="XCY1737" s="515"/>
      <c r="XCZ1737" s="515"/>
      <c r="XDA1737" s="515"/>
      <c r="XDB1737" s="515"/>
      <c r="XDC1737" s="515"/>
      <c r="XDD1737" s="515"/>
      <c r="XDE1737" s="515"/>
      <c r="XDF1737" s="515"/>
      <c r="XDG1737" s="515"/>
      <c r="XDH1737" s="515"/>
      <c r="XDI1737" s="515"/>
      <c r="XDJ1737" s="515"/>
      <c r="XDK1737" s="515"/>
      <c r="XDL1737" s="515"/>
      <c r="XDM1737" s="515"/>
      <c r="XDN1737" s="515"/>
      <c r="XDO1737" s="515"/>
      <c r="XDP1737" s="515"/>
      <c r="XDQ1737" s="515"/>
      <c r="XDR1737" s="515"/>
      <c r="XDS1737" s="515"/>
      <c r="XDT1737" s="515"/>
      <c r="XDU1737" s="515"/>
      <c r="XDV1737" s="515"/>
      <c r="XDW1737" s="515"/>
      <c r="XDX1737" s="515"/>
      <c r="XDY1737" s="515"/>
      <c r="XDZ1737" s="515"/>
      <c r="XEA1737" s="515"/>
      <c r="XEB1737" s="515"/>
      <c r="XEC1737" s="515"/>
      <c r="XED1737" s="515"/>
      <c r="XEE1737" s="515"/>
      <c r="XEF1737" s="515"/>
      <c r="XEG1737" s="515"/>
      <c r="XEH1737" s="515"/>
      <c r="XEI1737" s="515"/>
      <c r="XEJ1737" s="515"/>
      <c r="XEK1737" s="515"/>
      <c r="XEL1737" s="515"/>
      <c r="XEM1737" s="515"/>
      <c r="XEN1737" s="515"/>
      <c r="XEO1737" s="515"/>
      <c r="XEP1737" s="515"/>
      <c r="XEQ1737" s="515"/>
      <c r="XER1737" s="515"/>
      <c r="XES1737" s="515"/>
      <c r="XET1737" s="515"/>
      <c r="XEU1737" s="515"/>
      <c r="XEV1737" s="515"/>
      <c r="XEW1737" s="515"/>
      <c r="XEX1737" s="515"/>
      <c r="XEY1737" s="515"/>
      <c r="XEZ1737" s="515"/>
      <c r="XFA1737" s="515"/>
      <c r="XFB1737" s="515"/>
      <c r="XFC1737" s="515"/>
      <c r="XFD1737" s="515"/>
    </row>
    <row r="1738" spans="1:16384" s="517" customFormat="1" ht="60" customHeight="1">
      <c r="A1738" s="517" t="s">
        <v>2034</v>
      </c>
    </row>
    <row r="1739" spans="1:16384" s="31" customFormat="1" ht="13">
      <c r="A1739" s="405" t="s">
        <v>73</v>
      </c>
      <c r="B1739" s="405" t="s">
        <v>74</v>
      </c>
      <c r="C1739" s="405" t="s">
        <v>75</v>
      </c>
      <c r="D1739" s="405" t="s">
        <v>76</v>
      </c>
      <c r="E1739" s="405" t="s">
        <v>77</v>
      </c>
      <c r="F1739" s="405" t="s">
        <v>78</v>
      </c>
      <c r="G1739" s="405" t="s">
        <v>79</v>
      </c>
      <c r="H1739" s="405" t="s">
        <v>80</v>
      </c>
      <c r="I1739" s="406" t="s">
        <v>260</v>
      </c>
      <c r="J1739" s="406" t="s">
        <v>261</v>
      </c>
      <c r="K1739" s="157"/>
      <c r="L1739" s="315"/>
      <c r="M1739" s="315"/>
      <c r="N1739" s="315"/>
      <c r="O1739" s="315"/>
      <c r="P1739" s="315"/>
      <c r="Q1739" s="315"/>
      <c r="R1739" s="315"/>
      <c r="S1739" s="315"/>
    </row>
    <row r="1740" spans="1:16384" s="31" customFormat="1">
      <c r="A1740" s="122" t="s">
        <v>2035</v>
      </c>
      <c r="B1740" s="122" t="s">
        <v>87</v>
      </c>
      <c r="C1740" s="105" t="s">
        <v>379</v>
      </c>
      <c r="D1740" s="118" t="s">
        <v>93</v>
      </c>
      <c r="E1740" s="105"/>
      <c r="F1740" s="122" t="s">
        <v>2036</v>
      </c>
      <c r="G1740" s="122" t="s">
        <v>90</v>
      </c>
      <c r="H1740" s="105" t="s">
        <v>265</v>
      </c>
      <c r="I1740" s="380" t="str">
        <f>UPPER(SUBSTITUTE(G1740,"_"," "))</f>
        <v>REPORTING MONTH CD</v>
      </c>
      <c r="J1740" s="105" t="s">
        <v>2037</v>
      </c>
      <c r="K1740" s="159"/>
      <c r="L1740" s="33"/>
      <c r="M1740" s="33"/>
      <c r="N1740" s="33"/>
      <c r="O1740" s="33"/>
      <c r="P1740" s="33"/>
      <c r="Q1740" s="33"/>
      <c r="R1740" s="33"/>
      <c r="S1740" s="33"/>
    </row>
    <row r="1741" spans="1:16384" s="31" customFormat="1" ht="37.5">
      <c r="A1741" s="118" t="s">
        <v>2038</v>
      </c>
      <c r="B1741" s="122" t="s">
        <v>92</v>
      </c>
      <c r="C1741" s="105" t="s">
        <v>1292</v>
      </c>
      <c r="D1741" s="118" t="s">
        <v>2039</v>
      </c>
      <c r="E1741" s="118" t="s">
        <v>2040</v>
      </c>
      <c r="F1741" s="122" t="s">
        <v>2036</v>
      </c>
      <c r="G1741" s="122" t="s">
        <v>92</v>
      </c>
      <c r="H1741" s="105" t="s">
        <v>1292</v>
      </c>
      <c r="I1741" s="105"/>
      <c r="J1741" s="105" t="s">
        <v>2037</v>
      </c>
      <c r="K1741" s="157"/>
      <c r="L1741" s="315"/>
      <c r="M1741" s="315"/>
      <c r="N1741" s="315"/>
      <c r="O1741" s="315"/>
      <c r="P1741" s="315"/>
      <c r="Q1741" s="315"/>
      <c r="R1741" s="315"/>
      <c r="S1741" s="315"/>
    </row>
    <row r="1742" spans="1:16384" s="31" customFormat="1" ht="37.5">
      <c r="A1742" s="118" t="s">
        <v>2038</v>
      </c>
      <c r="B1742" s="122" t="s">
        <v>1167</v>
      </c>
      <c r="C1742" s="105" t="s">
        <v>1292</v>
      </c>
      <c r="D1742" s="118" t="s">
        <v>2039</v>
      </c>
      <c r="E1742" s="118" t="s">
        <v>2040</v>
      </c>
      <c r="F1742" s="122" t="s">
        <v>2036</v>
      </c>
      <c r="G1742" s="122" t="s">
        <v>1167</v>
      </c>
      <c r="H1742" s="105" t="s">
        <v>1292</v>
      </c>
      <c r="I1742" s="105"/>
      <c r="J1742" s="105" t="s">
        <v>2037</v>
      </c>
      <c r="K1742" s="157"/>
      <c r="L1742" s="315"/>
      <c r="M1742" s="315"/>
      <c r="N1742" s="315"/>
      <c r="O1742" s="315"/>
      <c r="P1742" s="315"/>
      <c r="Q1742" s="315"/>
      <c r="R1742" s="315"/>
      <c r="S1742" s="315"/>
    </row>
    <row r="1743" spans="1:16384" s="31" customFormat="1" ht="37.5">
      <c r="A1743" s="118" t="s">
        <v>2038</v>
      </c>
      <c r="B1743" s="122" t="s">
        <v>95</v>
      </c>
      <c r="C1743" s="105" t="s">
        <v>1292</v>
      </c>
      <c r="D1743" s="118" t="s">
        <v>2039</v>
      </c>
      <c r="E1743" s="118" t="s">
        <v>2040</v>
      </c>
      <c r="F1743" s="122" t="s">
        <v>2036</v>
      </c>
      <c r="G1743" s="122" t="s">
        <v>95</v>
      </c>
      <c r="H1743" s="105" t="s">
        <v>1292</v>
      </c>
      <c r="I1743" s="105"/>
      <c r="J1743" s="105" t="s">
        <v>2037</v>
      </c>
      <c r="K1743" s="157"/>
      <c r="L1743" s="315"/>
      <c r="M1743" s="315"/>
      <c r="N1743" s="315"/>
      <c r="O1743" s="315"/>
      <c r="P1743" s="315"/>
      <c r="Q1743" s="315"/>
      <c r="R1743" s="315"/>
      <c r="S1743" s="315"/>
    </row>
    <row r="1744" spans="1:16384" s="31" customFormat="1" ht="37.5">
      <c r="A1744" s="118" t="s">
        <v>2038</v>
      </c>
      <c r="B1744" s="122" t="s">
        <v>380</v>
      </c>
      <c r="C1744" s="105" t="s">
        <v>1292</v>
      </c>
      <c r="D1744" s="118" t="s">
        <v>2039</v>
      </c>
      <c r="E1744" s="118" t="s">
        <v>2040</v>
      </c>
      <c r="F1744" s="122" t="s">
        <v>2036</v>
      </c>
      <c r="G1744" s="122" t="s">
        <v>380</v>
      </c>
      <c r="H1744" s="105" t="s">
        <v>1292</v>
      </c>
      <c r="I1744" s="105"/>
      <c r="J1744" s="105" t="s">
        <v>2037</v>
      </c>
      <c r="K1744" s="157"/>
      <c r="L1744" s="315"/>
      <c r="M1744" s="315"/>
      <c r="N1744" s="315"/>
      <c r="O1744" s="315"/>
      <c r="P1744" s="315"/>
      <c r="Q1744" s="315"/>
      <c r="R1744" s="315"/>
      <c r="S1744" s="315"/>
    </row>
    <row r="1745" spans="1:19" s="31" customFormat="1" ht="37.5">
      <c r="A1745" s="118" t="s">
        <v>2038</v>
      </c>
      <c r="B1745" s="122" t="s">
        <v>426</v>
      </c>
      <c r="C1745" s="105" t="s">
        <v>1292</v>
      </c>
      <c r="D1745" s="118" t="s">
        <v>2039</v>
      </c>
      <c r="E1745" s="118" t="s">
        <v>2040</v>
      </c>
      <c r="F1745" s="122" t="s">
        <v>2036</v>
      </c>
      <c r="G1745" s="122" t="s">
        <v>426</v>
      </c>
      <c r="H1745" s="105" t="s">
        <v>1292</v>
      </c>
      <c r="I1745" s="105"/>
      <c r="J1745" s="105" t="s">
        <v>2037</v>
      </c>
      <c r="K1745" s="157"/>
      <c r="L1745" s="315"/>
      <c r="M1745" s="315"/>
      <c r="N1745" s="315"/>
      <c r="O1745" s="315"/>
      <c r="P1745" s="315"/>
      <c r="Q1745" s="315"/>
      <c r="R1745" s="315"/>
      <c r="S1745" s="315"/>
    </row>
    <row r="1746" spans="1:19" s="31" customFormat="1" ht="37.5">
      <c r="A1746" s="118" t="s">
        <v>2038</v>
      </c>
      <c r="B1746" s="122" t="s">
        <v>1133</v>
      </c>
      <c r="C1746" s="105" t="s">
        <v>1292</v>
      </c>
      <c r="D1746" s="118" t="s">
        <v>2039</v>
      </c>
      <c r="E1746" s="118" t="s">
        <v>2040</v>
      </c>
      <c r="F1746" s="122" t="s">
        <v>2036</v>
      </c>
      <c r="G1746" s="122" t="s">
        <v>1133</v>
      </c>
      <c r="H1746" s="105" t="s">
        <v>1292</v>
      </c>
      <c r="I1746" s="105"/>
      <c r="J1746" s="105" t="s">
        <v>2037</v>
      </c>
      <c r="K1746" s="157"/>
      <c r="L1746" s="315"/>
      <c r="M1746" s="315"/>
      <c r="N1746" s="315"/>
      <c r="O1746" s="315"/>
      <c r="P1746" s="315"/>
      <c r="Q1746" s="315"/>
      <c r="R1746" s="315"/>
      <c r="S1746" s="315"/>
    </row>
    <row r="1747" spans="1:19" s="31" customFormat="1" ht="37.5">
      <c r="A1747" s="118" t="s">
        <v>2038</v>
      </c>
      <c r="B1747" s="122" t="s">
        <v>709</v>
      </c>
      <c r="C1747" s="105" t="s">
        <v>1292</v>
      </c>
      <c r="D1747" s="118" t="s">
        <v>2039</v>
      </c>
      <c r="E1747" s="118" t="s">
        <v>2040</v>
      </c>
      <c r="F1747" s="122" t="s">
        <v>2036</v>
      </c>
      <c r="G1747" s="122" t="s">
        <v>709</v>
      </c>
      <c r="H1747" s="105" t="s">
        <v>1292</v>
      </c>
      <c r="I1747" s="105"/>
      <c r="J1747" s="105" t="s">
        <v>2037</v>
      </c>
      <c r="K1747" s="157"/>
      <c r="L1747" s="315"/>
      <c r="M1747" s="315"/>
      <c r="N1747" s="315"/>
      <c r="O1747" s="315"/>
      <c r="P1747" s="315"/>
      <c r="Q1747" s="315"/>
      <c r="R1747" s="315"/>
      <c r="S1747" s="315"/>
    </row>
    <row r="1748" spans="1:19" s="31" customFormat="1" ht="37.5">
      <c r="A1748" s="118" t="s">
        <v>2038</v>
      </c>
      <c r="B1748" s="122" t="s">
        <v>1122</v>
      </c>
      <c r="C1748" s="105" t="s">
        <v>1292</v>
      </c>
      <c r="D1748" s="118" t="s">
        <v>2039</v>
      </c>
      <c r="E1748" s="118" t="s">
        <v>2040</v>
      </c>
      <c r="F1748" s="122" t="s">
        <v>2036</v>
      </c>
      <c r="G1748" s="122" t="s">
        <v>1122</v>
      </c>
      <c r="H1748" s="105" t="s">
        <v>1292</v>
      </c>
      <c r="I1748" s="105"/>
      <c r="J1748" s="105" t="s">
        <v>2037</v>
      </c>
      <c r="K1748" s="157"/>
      <c r="L1748" s="315"/>
      <c r="M1748" s="315"/>
      <c r="N1748" s="315"/>
      <c r="O1748" s="315"/>
      <c r="P1748" s="315"/>
      <c r="Q1748" s="315"/>
      <c r="R1748" s="315"/>
      <c r="S1748" s="315"/>
    </row>
    <row r="1749" spans="1:19" s="31" customFormat="1" ht="37.5">
      <c r="A1749" s="118" t="s">
        <v>2038</v>
      </c>
      <c r="B1749" s="122" t="s">
        <v>1666</v>
      </c>
      <c r="C1749" s="105" t="s">
        <v>1327</v>
      </c>
      <c r="D1749" s="118" t="s">
        <v>2039</v>
      </c>
      <c r="E1749" s="118" t="s">
        <v>2040</v>
      </c>
      <c r="F1749" s="122" t="s">
        <v>2036</v>
      </c>
      <c r="G1749" s="122" t="s">
        <v>1666</v>
      </c>
      <c r="H1749" s="105" t="s">
        <v>1327</v>
      </c>
      <c r="I1749" s="105"/>
      <c r="J1749" s="105" t="s">
        <v>2037</v>
      </c>
      <c r="K1749" s="157"/>
      <c r="L1749" s="315"/>
      <c r="M1749" s="315"/>
      <c r="N1749" s="315"/>
      <c r="O1749" s="315"/>
      <c r="P1749" s="315"/>
      <c r="Q1749" s="315"/>
      <c r="R1749" s="315"/>
      <c r="S1749" s="315"/>
    </row>
    <row r="1750" spans="1:19" s="31" customFormat="1" ht="37.5">
      <c r="A1750" s="118" t="s">
        <v>2038</v>
      </c>
      <c r="B1750" s="122" t="s">
        <v>1673</v>
      </c>
      <c r="C1750" s="105" t="s">
        <v>1327</v>
      </c>
      <c r="D1750" s="118" t="s">
        <v>2039</v>
      </c>
      <c r="E1750" s="118" t="s">
        <v>2040</v>
      </c>
      <c r="F1750" s="122" t="s">
        <v>2036</v>
      </c>
      <c r="G1750" s="122" t="s">
        <v>1673</v>
      </c>
      <c r="H1750" s="105" t="s">
        <v>1327</v>
      </c>
      <c r="I1750" s="105"/>
      <c r="J1750" s="105" t="s">
        <v>2037</v>
      </c>
      <c r="K1750" s="157"/>
      <c r="L1750" s="315"/>
      <c r="M1750" s="315"/>
      <c r="N1750" s="315"/>
      <c r="O1750" s="315"/>
      <c r="P1750" s="315"/>
      <c r="Q1750" s="315"/>
      <c r="R1750" s="315"/>
      <c r="S1750" s="315"/>
    </row>
    <row r="1751" spans="1:19" s="31" customFormat="1" ht="37.5">
      <c r="A1751" s="118" t="s">
        <v>2038</v>
      </c>
      <c r="B1751" s="122" t="s">
        <v>464</v>
      </c>
      <c r="C1751" s="105" t="s">
        <v>1327</v>
      </c>
      <c r="D1751" s="118" t="s">
        <v>2039</v>
      </c>
      <c r="E1751" s="118" t="s">
        <v>2040</v>
      </c>
      <c r="F1751" s="122" t="s">
        <v>2036</v>
      </c>
      <c r="G1751" s="122" t="s">
        <v>464</v>
      </c>
      <c r="H1751" s="105" t="s">
        <v>1327</v>
      </c>
      <c r="I1751" s="105"/>
      <c r="J1751" s="105" t="s">
        <v>2037</v>
      </c>
      <c r="K1751" s="157"/>
      <c r="L1751" s="315"/>
      <c r="M1751" s="315"/>
      <c r="N1751" s="315"/>
      <c r="O1751" s="315"/>
      <c r="P1751" s="315"/>
      <c r="Q1751" s="315"/>
      <c r="R1751" s="315"/>
      <c r="S1751" s="315"/>
    </row>
    <row r="1752" spans="1:19" s="31" customFormat="1" ht="37.5">
      <c r="A1752" s="118" t="s">
        <v>2038</v>
      </c>
      <c r="B1752" s="122" t="s">
        <v>477</v>
      </c>
      <c r="C1752" s="105" t="s">
        <v>1327</v>
      </c>
      <c r="D1752" s="118" t="s">
        <v>2039</v>
      </c>
      <c r="E1752" s="118" t="s">
        <v>2040</v>
      </c>
      <c r="F1752" s="122" t="s">
        <v>2036</v>
      </c>
      <c r="G1752" s="122" t="s">
        <v>477</v>
      </c>
      <c r="H1752" s="105" t="s">
        <v>1327</v>
      </c>
      <c r="I1752" s="105"/>
      <c r="J1752" s="105" t="s">
        <v>2037</v>
      </c>
      <c r="K1752" s="157"/>
      <c r="L1752" s="315"/>
      <c r="M1752" s="315"/>
      <c r="N1752" s="315"/>
      <c r="O1752" s="315"/>
      <c r="P1752" s="315"/>
      <c r="Q1752" s="315"/>
      <c r="R1752" s="315"/>
      <c r="S1752" s="315"/>
    </row>
    <row r="1753" spans="1:19" s="31" customFormat="1" ht="37.5">
      <c r="A1753" s="118" t="s">
        <v>2038</v>
      </c>
      <c r="B1753" s="122" t="s">
        <v>2041</v>
      </c>
      <c r="C1753" s="105" t="s">
        <v>1327</v>
      </c>
      <c r="D1753" s="118" t="s">
        <v>2039</v>
      </c>
      <c r="E1753" s="118" t="s">
        <v>2040</v>
      </c>
      <c r="F1753" s="122" t="s">
        <v>2036</v>
      </c>
      <c r="G1753" s="122" t="s">
        <v>2041</v>
      </c>
      <c r="H1753" s="105" t="s">
        <v>1327</v>
      </c>
      <c r="I1753" s="105"/>
      <c r="J1753" s="105" t="s">
        <v>2037</v>
      </c>
      <c r="K1753" s="157"/>
      <c r="L1753" s="315"/>
      <c r="M1753" s="315"/>
      <c r="N1753" s="315"/>
      <c r="O1753" s="315"/>
      <c r="P1753" s="315"/>
      <c r="Q1753" s="315"/>
      <c r="R1753" s="315"/>
      <c r="S1753" s="315"/>
    </row>
    <row r="1754" spans="1:19" s="31" customFormat="1" ht="37.5">
      <c r="A1754" s="118" t="s">
        <v>2038</v>
      </c>
      <c r="B1754" s="122" t="s">
        <v>472</v>
      </c>
      <c r="C1754" s="105" t="s">
        <v>1327</v>
      </c>
      <c r="D1754" s="118" t="s">
        <v>2039</v>
      </c>
      <c r="E1754" s="118" t="s">
        <v>2040</v>
      </c>
      <c r="F1754" s="122" t="s">
        <v>2036</v>
      </c>
      <c r="G1754" s="122" t="s">
        <v>472</v>
      </c>
      <c r="H1754" s="105" t="s">
        <v>1327</v>
      </c>
      <c r="I1754" s="105"/>
      <c r="J1754" s="105" t="s">
        <v>2037</v>
      </c>
      <c r="K1754" s="157"/>
      <c r="L1754" s="315"/>
      <c r="M1754" s="315"/>
      <c r="N1754" s="315"/>
      <c r="O1754" s="315"/>
      <c r="P1754" s="315"/>
      <c r="Q1754" s="315"/>
      <c r="R1754" s="315"/>
      <c r="S1754" s="315"/>
    </row>
    <row r="1755" spans="1:19" s="31" customFormat="1" ht="37.5">
      <c r="A1755" s="118" t="s">
        <v>2038</v>
      </c>
      <c r="B1755" s="122" t="s">
        <v>2042</v>
      </c>
      <c r="C1755" s="105" t="s">
        <v>1327</v>
      </c>
      <c r="D1755" s="118" t="s">
        <v>2039</v>
      </c>
      <c r="E1755" s="118" t="s">
        <v>2040</v>
      </c>
      <c r="F1755" s="122" t="s">
        <v>2036</v>
      </c>
      <c r="G1755" s="122" t="s">
        <v>2042</v>
      </c>
      <c r="H1755" s="105" t="s">
        <v>1327</v>
      </c>
      <c r="I1755" s="105"/>
      <c r="J1755" s="105" t="s">
        <v>2037</v>
      </c>
      <c r="K1755" s="157"/>
      <c r="L1755" s="315"/>
      <c r="M1755" s="315"/>
      <c r="N1755" s="315"/>
      <c r="O1755" s="315"/>
      <c r="P1755" s="315"/>
      <c r="Q1755" s="315"/>
      <c r="R1755" s="315"/>
      <c r="S1755" s="315"/>
    </row>
    <row r="1756" spans="1:19" s="31" customFormat="1" ht="37.5">
      <c r="A1756" s="118" t="s">
        <v>2038</v>
      </c>
      <c r="B1756" s="122" t="s">
        <v>142</v>
      </c>
      <c r="C1756" s="105" t="s">
        <v>1327</v>
      </c>
      <c r="D1756" s="118" t="s">
        <v>2039</v>
      </c>
      <c r="E1756" s="118" t="s">
        <v>2040</v>
      </c>
      <c r="F1756" s="122" t="s">
        <v>2036</v>
      </c>
      <c r="G1756" s="122" t="s">
        <v>142</v>
      </c>
      <c r="H1756" s="105" t="s">
        <v>1327</v>
      </c>
      <c r="I1756" s="105"/>
      <c r="J1756" s="105" t="s">
        <v>2037</v>
      </c>
      <c r="K1756" s="157"/>
      <c r="L1756" s="315"/>
      <c r="M1756" s="315"/>
      <c r="N1756" s="315"/>
      <c r="O1756" s="315"/>
      <c r="P1756" s="315"/>
      <c r="Q1756" s="315"/>
      <c r="R1756" s="315"/>
      <c r="S1756" s="315"/>
    </row>
    <row r="1757" spans="1:19" s="31" customFormat="1" ht="37.5">
      <c r="A1757" s="118" t="s">
        <v>2038</v>
      </c>
      <c r="B1757" s="122" t="s">
        <v>2043</v>
      </c>
      <c r="C1757" s="105" t="s">
        <v>1327</v>
      </c>
      <c r="D1757" s="118" t="s">
        <v>2039</v>
      </c>
      <c r="E1757" s="118" t="s">
        <v>2040</v>
      </c>
      <c r="F1757" s="122" t="s">
        <v>2036</v>
      </c>
      <c r="G1757" s="122" t="s">
        <v>2043</v>
      </c>
      <c r="H1757" s="105" t="s">
        <v>1327</v>
      </c>
      <c r="I1757" s="105"/>
      <c r="J1757" s="105" t="s">
        <v>2037</v>
      </c>
      <c r="K1757" s="157"/>
      <c r="L1757" s="315"/>
      <c r="M1757" s="315"/>
      <c r="N1757" s="315"/>
      <c r="O1757" s="315"/>
      <c r="P1757" s="315"/>
      <c r="Q1757" s="315"/>
      <c r="R1757" s="315"/>
      <c r="S1757" s="315"/>
    </row>
    <row r="1758" spans="1:19" s="31" customFormat="1" ht="37.5">
      <c r="A1758" s="118" t="s">
        <v>2038</v>
      </c>
      <c r="B1758" s="122" t="s">
        <v>2044</v>
      </c>
      <c r="C1758" s="105" t="s">
        <v>1327</v>
      </c>
      <c r="D1758" s="118" t="s">
        <v>2039</v>
      </c>
      <c r="E1758" s="118" t="s">
        <v>2040</v>
      </c>
      <c r="F1758" s="122" t="s">
        <v>2036</v>
      </c>
      <c r="G1758" s="122" t="s">
        <v>2044</v>
      </c>
      <c r="H1758" s="105" t="s">
        <v>1327</v>
      </c>
      <c r="I1758" s="105"/>
      <c r="J1758" s="105" t="s">
        <v>2037</v>
      </c>
      <c r="K1758" s="157"/>
      <c r="L1758" s="315"/>
      <c r="M1758" s="315"/>
      <c r="N1758" s="315"/>
      <c r="O1758" s="315"/>
      <c r="P1758" s="315"/>
      <c r="Q1758" s="315"/>
      <c r="R1758" s="315"/>
      <c r="S1758" s="315"/>
    </row>
    <row r="1759" spans="1:19" s="31" customFormat="1" ht="37.5">
      <c r="A1759" s="118" t="s">
        <v>2038</v>
      </c>
      <c r="B1759" s="122" t="s">
        <v>2045</v>
      </c>
      <c r="C1759" s="105" t="s">
        <v>1327</v>
      </c>
      <c r="D1759" s="118" t="s">
        <v>2039</v>
      </c>
      <c r="E1759" s="118" t="s">
        <v>2040</v>
      </c>
      <c r="F1759" s="122" t="s">
        <v>2036</v>
      </c>
      <c r="G1759" s="122" t="s">
        <v>2045</v>
      </c>
      <c r="H1759" s="105" t="s">
        <v>1327</v>
      </c>
      <c r="I1759" s="105"/>
      <c r="J1759" s="105" t="s">
        <v>2037</v>
      </c>
      <c r="K1759" s="157"/>
      <c r="L1759" s="315"/>
      <c r="M1759" s="315"/>
      <c r="N1759" s="315"/>
      <c r="O1759" s="315"/>
      <c r="P1759" s="315"/>
      <c r="Q1759" s="315"/>
      <c r="R1759" s="315"/>
      <c r="S1759" s="315"/>
    </row>
    <row r="1760" spans="1:19" s="31" customFormat="1" ht="37.5">
      <c r="A1760" s="118" t="s">
        <v>2038</v>
      </c>
      <c r="B1760" s="122" t="s">
        <v>2046</v>
      </c>
      <c r="C1760" s="105" t="s">
        <v>1327</v>
      </c>
      <c r="D1760" s="118" t="s">
        <v>2039</v>
      </c>
      <c r="E1760" s="118" t="s">
        <v>2040</v>
      </c>
      <c r="F1760" s="122" t="s">
        <v>2036</v>
      </c>
      <c r="G1760" s="122" t="s">
        <v>2046</v>
      </c>
      <c r="H1760" s="105" t="s">
        <v>1327</v>
      </c>
      <c r="I1760" s="105"/>
      <c r="J1760" s="105" t="s">
        <v>2037</v>
      </c>
      <c r="K1760" s="157"/>
      <c r="L1760" s="315"/>
      <c r="M1760" s="315"/>
      <c r="N1760" s="315"/>
      <c r="O1760" s="315"/>
      <c r="P1760" s="315"/>
      <c r="Q1760" s="315"/>
      <c r="R1760" s="315"/>
      <c r="S1760" s="315"/>
    </row>
    <row r="1761" spans="1:19" s="31" customFormat="1" ht="37.5">
      <c r="A1761" s="118" t="s">
        <v>2038</v>
      </c>
      <c r="B1761" s="122" t="s">
        <v>2047</v>
      </c>
      <c r="C1761" s="105" t="s">
        <v>1327</v>
      </c>
      <c r="D1761" s="118" t="s">
        <v>2039</v>
      </c>
      <c r="E1761" s="118" t="s">
        <v>2040</v>
      </c>
      <c r="F1761" s="122" t="s">
        <v>2036</v>
      </c>
      <c r="G1761" s="122" t="s">
        <v>2047</v>
      </c>
      <c r="H1761" s="105" t="s">
        <v>1327</v>
      </c>
      <c r="I1761" s="105"/>
      <c r="J1761" s="105" t="s">
        <v>2037</v>
      </c>
      <c r="K1761" s="157"/>
      <c r="L1761" s="315"/>
      <c r="M1761" s="315"/>
      <c r="N1761" s="315"/>
      <c r="O1761" s="315"/>
      <c r="P1761" s="315"/>
      <c r="Q1761" s="315"/>
      <c r="R1761" s="315"/>
      <c r="S1761" s="315"/>
    </row>
    <row r="1762" spans="1:19" s="31" customFormat="1" ht="37.5">
      <c r="A1762" s="118" t="s">
        <v>2038</v>
      </c>
      <c r="B1762" s="122" t="s">
        <v>2048</v>
      </c>
      <c r="C1762" s="105" t="s">
        <v>1327</v>
      </c>
      <c r="D1762" s="118" t="s">
        <v>2039</v>
      </c>
      <c r="E1762" s="118" t="s">
        <v>2040</v>
      </c>
      <c r="F1762" s="122" t="s">
        <v>2036</v>
      </c>
      <c r="G1762" s="122" t="s">
        <v>2048</v>
      </c>
      <c r="H1762" s="105" t="s">
        <v>1327</v>
      </c>
      <c r="I1762" s="105"/>
      <c r="J1762" s="105" t="s">
        <v>2037</v>
      </c>
      <c r="K1762" s="157"/>
      <c r="L1762" s="315"/>
      <c r="M1762" s="315"/>
      <c r="N1762" s="315"/>
      <c r="O1762" s="315"/>
      <c r="P1762" s="315"/>
      <c r="Q1762" s="315"/>
      <c r="R1762" s="315"/>
      <c r="S1762" s="315"/>
    </row>
    <row r="1763" spans="1:19" s="31" customFormat="1" ht="37.5">
      <c r="A1763" s="118" t="s">
        <v>2038</v>
      </c>
      <c r="B1763" s="122" t="s">
        <v>2049</v>
      </c>
      <c r="C1763" s="105" t="s">
        <v>1327</v>
      </c>
      <c r="D1763" s="118" t="s">
        <v>2039</v>
      </c>
      <c r="E1763" s="118" t="s">
        <v>2040</v>
      </c>
      <c r="F1763" s="122" t="s">
        <v>2036</v>
      </c>
      <c r="G1763" s="122" t="s">
        <v>2049</v>
      </c>
      <c r="H1763" s="105" t="s">
        <v>1327</v>
      </c>
      <c r="I1763" s="105"/>
      <c r="J1763" s="105" t="s">
        <v>2037</v>
      </c>
      <c r="K1763" s="157"/>
      <c r="L1763" s="315"/>
      <c r="M1763" s="315"/>
      <c r="N1763" s="315"/>
      <c r="O1763" s="315"/>
      <c r="P1763" s="315"/>
      <c r="Q1763" s="315"/>
      <c r="R1763" s="315"/>
      <c r="S1763" s="315"/>
    </row>
    <row r="1764" spans="1:19" s="31" customFormat="1" ht="37.5">
      <c r="A1764" s="118" t="s">
        <v>2038</v>
      </c>
      <c r="B1764" s="122" t="s">
        <v>2050</v>
      </c>
      <c r="C1764" s="105" t="s">
        <v>1327</v>
      </c>
      <c r="D1764" s="118" t="s">
        <v>2039</v>
      </c>
      <c r="E1764" s="118" t="s">
        <v>2040</v>
      </c>
      <c r="F1764" s="122" t="s">
        <v>2036</v>
      </c>
      <c r="G1764" s="122" t="s">
        <v>2050</v>
      </c>
      <c r="H1764" s="105" t="s">
        <v>1327</v>
      </c>
      <c r="I1764" s="105"/>
      <c r="J1764" s="105" t="s">
        <v>2037</v>
      </c>
      <c r="K1764" s="157"/>
      <c r="L1764" s="315"/>
      <c r="M1764" s="315"/>
      <c r="N1764" s="315"/>
      <c r="O1764" s="315"/>
      <c r="P1764" s="315"/>
      <c r="Q1764" s="315"/>
      <c r="R1764" s="315"/>
      <c r="S1764" s="315"/>
    </row>
    <row r="1765" spans="1:19" s="31" customFormat="1" ht="37.5">
      <c r="A1765" s="118" t="s">
        <v>2038</v>
      </c>
      <c r="B1765" s="122" t="s">
        <v>2051</v>
      </c>
      <c r="C1765" s="105" t="s">
        <v>1327</v>
      </c>
      <c r="D1765" s="118" t="s">
        <v>2039</v>
      </c>
      <c r="E1765" s="118" t="s">
        <v>2040</v>
      </c>
      <c r="F1765" s="122" t="s">
        <v>2036</v>
      </c>
      <c r="G1765" s="122" t="s">
        <v>2051</v>
      </c>
      <c r="H1765" s="105" t="s">
        <v>1327</v>
      </c>
      <c r="I1765" s="105"/>
      <c r="J1765" s="105" t="s">
        <v>2037</v>
      </c>
      <c r="K1765" s="157"/>
      <c r="L1765" s="315"/>
      <c r="M1765" s="315"/>
      <c r="N1765" s="315"/>
      <c r="O1765" s="315"/>
      <c r="P1765" s="315"/>
      <c r="Q1765" s="315"/>
      <c r="R1765" s="315"/>
      <c r="S1765" s="315"/>
    </row>
    <row r="1766" spans="1:19" s="31" customFormat="1" ht="37.5">
      <c r="A1766" s="118" t="s">
        <v>2038</v>
      </c>
      <c r="B1766" s="122" t="s">
        <v>2052</v>
      </c>
      <c r="C1766" s="105" t="s">
        <v>1327</v>
      </c>
      <c r="D1766" s="118" t="s">
        <v>2039</v>
      </c>
      <c r="E1766" s="118" t="s">
        <v>2040</v>
      </c>
      <c r="F1766" s="122" t="s">
        <v>2036</v>
      </c>
      <c r="G1766" s="122" t="s">
        <v>2052</v>
      </c>
      <c r="H1766" s="105" t="s">
        <v>1327</v>
      </c>
      <c r="I1766" s="105"/>
      <c r="J1766" s="105" t="s">
        <v>2037</v>
      </c>
      <c r="K1766" s="157"/>
      <c r="L1766" s="315"/>
      <c r="M1766" s="315"/>
      <c r="N1766" s="315"/>
      <c r="O1766" s="315"/>
      <c r="P1766" s="315"/>
      <c r="Q1766" s="315"/>
      <c r="R1766" s="315"/>
      <c r="S1766" s="315"/>
    </row>
    <row r="1767" spans="1:19" s="31" customFormat="1" ht="37.5">
      <c r="A1767" s="118" t="s">
        <v>2038</v>
      </c>
      <c r="B1767" s="122" t="s">
        <v>2053</v>
      </c>
      <c r="C1767" s="105" t="s">
        <v>1327</v>
      </c>
      <c r="D1767" s="118" t="s">
        <v>2039</v>
      </c>
      <c r="E1767" s="118" t="s">
        <v>2040</v>
      </c>
      <c r="F1767" s="122" t="s">
        <v>2036</v>
      </c>
      <c r="G1767" s="122" t="s">
        <v>2053</v>
      </c>
      <c r="H1767" s="105" t="s">
        <v>1327</v>
      </c>
      <c r="I1767" s="105"/>
      <c r="J1767" s="105" t="s">
        <v>2037</v>
      </c>
      <c r="K1767" s="157"/>
      <c r="L1767" s="315"/>
      <c r="M1767" s="315"/>
      <c r="N1767" s="315"/>
      <c r="O1767" s="315"/>
      <c r="P1767" s="315"/>
      <c r="Q1767" s="315"/>
      <c r="R1767" s="315"/>
      <c r="S1767" s="315"/>
    </row>
    <row r="1768" spans="1:19" s="31" customFormat="1" ht="37.5">
      <c r="A1768" s="118" t="s">
        <v>2038</v>
      </c>
      <c r="B1768" s="122" t="s">
        <v>2054</v>
      </c>
      <c r="C1768" s="105" t="s">
        <v>1327</v>
      </c>
      <c r="D1768" s="118" t="s">
        <v>2039</v>
      </c>
      <c r="E1768" s="118" t="s">
        <v>2040</v>
      </c>
      <c r="F1768" s="122" t="s">
        <v>2036</v>
      </c>
      <c r="G1768" s="122" t="s">
        <v>2054</v>
      </c>
      <c r="H1768" s="105" t="s">
        <v>1327</v>
      </c>
      <c r="I1768" s="105"/>
      <c r="J1768" s="105" t="s">
        <v>2037</v>
      </c>
      <c r="K1768" s="157"/>
      <c r="L1768" s="315"/>
      <c r="M1768" s="315"/>
      <c r="N1768" s="315"/>
      <c r="O1768" s="315"/>
      <c r="P1768" s="315"/>
      <c r="Q1768" s="315"/>
      <c r="R1768" s="315"/>
      <c r="S1768" s="315"/>
    </row>
    <row r="1769" spans="1:19" s="31" customFormat="1" ht="37.5">
      <c r="A1769" s="118" t="s">
        <v>2038</v>
      </c>
      <c r="B1769" s="122" t="s">
        <v>2055</v>
      </c>
      <c r="C1769" s="105" t="s">
        <v>1327</v>
      </c>
      <c r="D1769" s="118" t="s">
        <v>2039</v>
      </c>
      <c r="E1769" s="118" t="s">
        <v>2040</v>
      </c>
      <c r="F1769" s="122" t="s">
        <v>2036</v>
      </c>
      <c r="G1769" s="122" t="s">
        <v>2055</v>
      </c>
      <c r="H1769" s="105" t="s">
        <v>1327</v>
      </c>
      <c r="I1769" s="105"/>
      <c r="J1769" s="105" t="s">
        <v>2037</v>
      </c>
      <c r="K1769" s="157"/>
      <c r="L1769" s="315"/>
      <c r="M1769" s="315"/>
      <c r="N1769" s="315"/>
      <c r="O1769" s="315"/>
      <c r="P1769" s="315"/>
      <c r="Q1769" s="315"/>
      <c r="R1769" s="315"/>
      <c r="S1769" s="315"/>
    </row>
    <row r="1770" spans="1:19" s="31" customFormat="1" ht="37.5">
      <c r="A1770" s="118" t="s">
        <v>2038</v>
      </c>
      <c r="B1770" s="122" t="s">
        <v>2056</v>
      </c>
      <c r="C1770" s="105" t="s">
        <v>1327</v>
      </c>
      <c r="D1770" s="118" t="s">
        <v>2039</v>
      </c>
      <c r="E1770" s="118" t="s">
        <v>2040</v>
      </c>
      <c r="F1770" s="122" t="s">
        <v>2036</v>
      </c>
      <c r="G1770" s="122" t="s">
        <v>2056</v>
      </c>
      <c r="H1770" s="105" t="s">
        <v>1327</v>
      </c>
      <c r="I1770" s="105"/>
      <c r="J1770" s="105" t="s">
        <v>2037</v>
      </c>
      <c r="K1770" s="157"/>
      <c r="L1770" s="315"/>
      <c r="M1770" s="315"/>
      <c r="N1770" s="315"/>
      <c r="O1770" s="315"/>
      <c r="P1770" s="315"/>
      <c r="Q1770" s="315"/>
      <c r="R1770" s="315"/>
      <c r="S1770" s="315"/>
    </row>
    <row r="1771" spans="1:19" s="31" customFormat="1" ht="37.5">
      <c r="A1771" s="118" t="s">
        <v>2038</v>
      </c>
      <c r="B1771" s="122" t="s">
        <v>2057</v>
      </c>
      <c r="C1771" s="105" t="s">
        <v>1327</v>
      </c>
      <c r="D1771" s="118" t="s">
        <v>2039</v>
      </c>
      <c r="E1771" s="118" t="s">
        <v>2040</v>
      </c>
      <c r="F1771" s="122" t="s">
        <v>2036</v>
      </c>
      <c r="G1771" s="122" t="s">
        <v>2057</v>
      </c>
      <c r="H1771" s="105" t="s">
        <v>1327</v>
      </c>
      <c r="I1771" s="105"/>
      <c r="J1771" s="105" t="s">
        <v>2037</v>
      </c>
      <c r="K1771" s="157"/>
      <c r="L1771" s="315"/>
      <c r="M1771" s="315"/>
      <c r="N1771" s="315"/>
      <c r="O1771" s="315"/>
      <c r="P1771" s="315"/>
      <c r="Q1771" s="315"/>
      <c r="R1771" s="315"/>
      <c r="S1771" s="315"/>
    </row>
    <row r="1772" spans="1:19" s="31" customFormat="1" ht="37.5">
      <c r="A1772" s="118" t="s">
        <v>2038</v>
      </c>
      <c r="B1772" s="122" t="s">
        <v>2058</v>
      </c>
      <c r="C1772" s="105" t="s">
        <v>1327</v>
      </c>
      <c r="D1772" s="118" t="s">
        <v>2039</v>
      </c>
      <c r="E1772" s="118" t="s">
        <v>2040</v>
      </c>
      <c r="F1772" s="122" t="s">
        <v>2036</v>
      </c>
      <c r="G1772" s="122" t="s">
        <v>2058</v>
      </c>
      <c r="H1772" s="105" t="s">
        <v>1327</v>
      </c>
      <c r="I1772" s="105"/>
      <c r="J1772" s="105" t="s">
        <v>2037</v>
      </c>
      <c r="K1772" s="157"/>
      <c r="L1772" s="315"/>
      <c r="M1772" s="315"/>
      <c r="N1772" s="315"/>
      <c r="O1772" s="315"/>
      <c r="P1772" s="315"/>
      <c r="Q1772" s="315"/>
      <c r="R1772" s="315"/>
      <c r="S1772" s="315"/>
    </row>
    <row r="1773" spans="1:19" s="31" customFormat="1" ht="37.5">
      <c r="A1773" s="118" t="s">
        <v>2038</v>
      </c>
      <c r="B1773" s="122" t="s">
        <v>2059</v>
      </c>
      <c r="C1773" s="105" t="s">
        <v>1327</v>
      </c>
      <c r="D1773" s="118" t="s">
        <v>2039</v>
      </c>
      <c r="E1773" s="118" t="s">
        <v>2040</v>
      </c>
      <c r="F1773" s="122" t="s">
        <v>2036</v>
      </c>
      <c r="G1773" s="122" t="s">
        <v>2059</v>
      </c>
      <c r="H1773" s="105" t="s">
        <v>1327</v>
      </c>
      <c r="I1773" s="105"/>
      <c r="J1773" s="105" t="s">
        <v>2037</v>
      </c>
      <c r="K1773" s="157"/>
      <c r="L1773" s="315"/>
      <c r="M1773" s="315"/>
      <c r="N1773" s="315"/>
      <c r="O1773" s="315"/>
      <c r="P1773" s="315"/>
      <c r="Q1773" s="315"/>
      <c r="R1773" s="315"/>
      <c r="S1773" s="315"/>
    </row>
    <row r="1774" spans="1:19" s="31" customFormat="1" ht="37.5">
      <c r="A1774" s="118" t="s">
        <v>2038</v>
      </c>
      <c r="B1774" s="122" t="s">
        <v>2060</v>
      </c>
      <c r="C1774" s="105" t="s">
        <v>1327</v>
      </c>
      <c r="D1774" s="118" t="s">
        <v>2039</v>
      </c>
      <c r="E1774" s="118" t="s">
        <v>2040</v>
      </c>
      <c r="F1774" s="122" t="s">
        <v>2036</v>
      </c>
      <c r="G1774" s="122" t="s">
        <v>2060</v>
      </c>
      <c r="H1774" s="105" t="s">
        <v>1327</v>
      </c>
      <c r="I1774" s="105"/>
      <c r="J1774" s="105" t="s">
        <v>2037</v>
      </c>
      <c r="K1774" s="157"/>
      <c r="L1774" s="315"/>
      <c r="M1774" s="315"/>
      <c r="N1774" s="315"/>
      <c r="O1774" s="315"/>
      <c r="P1774" s="315"/>
      <c r="Q1774" s="315"/>
      <c r="R1774" s="315"/>
      <c r="S1774" s="315"/>
    </row>
    <row r="1775" spans="1:19" s="31" customFormat="1" ht="37.5">
      <c r="A1775" s="118" t="s">
        <v>2038</v>
      </c>
      <c r="B1775" s="122" t="s">
        <v>2061</v>
      </c>
      <c r="C1775" s="105" t="s">
        <v>1327</v>
      </c>
      <c r="D1775" s="118" t="s">
        <v>2039</v>
      </c>
      <c r="E1775" s="118" t="s">
        <v>2040</v>
      </c>
      <c r="F1775" s="122" t="s">
        <v>2036</v>
      </c>
      <c r="G1775" s="122" t="s">
        <v>2061</v>
      </c>
      <c r="H1775" s="105" t="s">
        <v>1327</v>
      </c>
      <c r="I1775" s="105"/>
      <c r="J1775" s="105" t="s">
        <v>2037</v>
      </c>
      <c r="K1775" s="157"/>
      <c r="L1775" s="315"/>
      <c r="M1775" s="315"/>
      <c r="N1775" s="315"/>
      <c r="O1775" s="315"/>
      <c r="P1775" s="315"/>
      <c r="Q1775" s="315"/>
      <c r="R1775" s="315"/>
      <c r="S1775" s="315"/>
    </row>
    <row r="1776" spans="1:19" s="31" customFormat="1" ht="37.5">
      <c r="A1776" s="118" t="s">
        <v>2038</v>
      </c>
      <c r="B1776" s="122" t="s">
        <v>2062</v>
      </c>
      <c r="C1776" s="105" t="s">
        <v>1327</v>
      </c>
      <c r="D1776" s="118" t="s">
        <v>2039</v>
      </c>
      <c r="E1776" s="118" t="s">
        <v>2040</v>
      </c>
      <c r="F1776" s="122" t="s">
        <v>2036</v>
      </c>
      <c r="G1776" s="122" t="s">
        <v>2062</v>
      </c>
      <c r="H1776" s="105" t="s">
        <v>1327</v>
      </c>
      <c r="I1776" s="105"/>
      <c r="J1776" s="105" t="s">
        <v>2037</v>
      </c>
      <c r="K1776" s="157"/>
      <c r="L1776" s="315"/>
      <c r="M1776" s="315"/>
      <c r="N1776" s="315"/>
      <c r="O1776" s="315"/>
      <c r="P1776" s="315"/>
      <c r="Q1776" s="315"/>
      <c r="R1776" s="315"/>
      <c r="S1776" s="315"/>
    </row>
    <row r="1777" spans="1:19" s="31" customFormat="1" ht="37.5">
      <c r="A1777" s="118" t="s">
        <v>2038</v>
      </c>
      <c r="B1777" s="122" t="s">
        <v>2063</v>
      </c>
      <c r="C1777" s="105" t="s">
        <v>1327</v>
      </c>
      <c r="D1777" s="118" t="s">
        <v>2039</v>
      </c>
      <c r="E1777" s="118" t="s">
        <v>2040</v>
      </c>
      <c r="F1777" s="122" t="s">
        <v>2036</v>
      </c>
      <c r="G1777" s="122" t="s">
        <v>2063</v>
      </c>
      <c r="H1777" s="105" t="s">
        <v>1327</v>
      </c>
      <c r="I1777" s="105"/>
      <c r="J1777" s="105" t="s">
        <v>2037</v>
      </c>
      <c r="K1777" s="157"/>
      <c r="L1777" s="315"/>
      <c r="M1777" s="315"/>
      <c r="N1777" s="315"/>
      <c r="O1777" s="315"/>
      <c r="P1777" s="315"/>
      <c r="Q1777" s="315"/>
      <c r="R1777" s="315"/>
      <c r="S1777" s="315"/>
    </row>
    <row r="1778" spans="1:19" s="31" customFormat="1" ht="37.5">
      <c r="A1778" s="118" t="s">
        <v>2038</v>
      </c>
      <c r="B1778" s="122" t="s">
        <v>2064</v>
      </c>
      <c r="C1778" s="105" t="s">
        <v>1327</v>
      </c>
      <c r="D1778" s="118" t="s">
        <v>2039</v>
      </c>
      <c r="E1778" s="118" t="s">
        <v>2040</v>
      </c>
      <c r="F1778" s="122" t="s">
        <v>2036</v>
      </c>
      <c r="G1778" s="122" t="s">
        <v>2064</v>
      </c>
      <c r="H1778" s="105" t="s">
        <v>1327</v>
      </c>
      <c r="I1778" s="105"/>
      <c r="J1778" s="105" t="s">
        <v>2037</v>
      </c>
      <c r="K1778" s="157"/>
      <c r="L1778" s="315"/>
      <c r="M1778" s="315"/>
      <c r="N1778" s="315"/>
      <c r="O1778" s="315"/>
      <c r="P1778" s="315"/>
      <c r="Q1778" s="315"/>
      <c r="R1778" s="315"/>
      <c r="S1778" s="315"/>
    </row>
    <row r="1779" spans="1:19" s="31" customFormat="1" ht="37.5">
      <c r="A1779" s="118" t="s">
        <v>2038</v>
      </c>
      <c r="B1779" s="122" t="s">
        <v>2065</v>
      </c>
      <c r="C1779" s="105" t="s">
        <v>1293</v>
      </c>
      <c r="D1779" s="118" t="s">
        <v>2039</v>
      </c>
      <c r="E1779" s="118" t="s">
        <v>2040</v>
      </c>
      <c r="F1779" s="122" t="s">
        <v>2036</v>
      </c>
      <c r="G1779" s="122" t="s">
        <v>2065</v>
      </c>
      <c r="H1779" s="105" t="s">
        <v>1293</v>
      </c>
      <c r="I1779" s="105"/>
      <c r="J1779" s="105" t="s">
        <v>2037</v>
      </c>
      <c r="K1779" s="157"/>
      <c r="L1779" s="315"/>
      <c r="M1779" s="315"/>
      <c r="N1779" s="315"/>
      <c r="O1779" s="315"/>
      <c r="P1779" s="315"/>
      <c r="Q1779" s="315"/>
      <c r="R1779" s="315"/>
      <c r="S1779" s="315"/>
    </row>
    <row r="1780" spans="1:19" s="31" customFormat="1" ht="37.5">
      <c r="A1780" s="118" t="s">
        <v>2038</v>
      </c>
      <c r="B1780" s="122" t="s">
        <v>2066</v>
      </c>
      <c r="C1780" s="105" t="s">
        <v>1327</v>
      </c>
      <c r="D1780" s="118" t="s">
        <v>2039</v>
      </c>
      <c r="E1780" s="118" t="s">
        <v>2040</v>
      </c>
      <c r="F1780" s="122" t="s">
        <v>2036</v>
      </c>
      <c r="G1780" s="122" t="s">
        <v>2066</v>
      </c>
      <c r="H1780" s="105" t="s">
        <v>1327</v>
      </c>
      <c r="I1780" s="105"/>
      <c r="J1780" s="105" t="s">
        <v>2037</v>
      </c>
      <c r="K1780" s="157"/>
      <c r="L1780" s="315"/>
      <c r="M1780" s="315"/>
      <c r="N1780" s="315"/>
      <c r="O1780" s="315"/>
      <c r="P1780" s="315"/>
      <c r="Q1780" s="315"/>
      <c r="R1780" s="315"/>
      <c r="S1780" s="315"/>
    </row>
    <row r="1781" spans="1:19" s="31" customFormat="1" ht="37.5">
      <c r="A1781" s="118" t="s">
        <v>2038</v>
      </c>
      <c r="B1781" s="122" t="s">
        <v>2067</v>
      </c>
      <c r="C1781" s="105" t="s">
        <v>1327</v>
      </c>
      <c r="D1781" s="118" t="s">
        <v>2039</v>
      </c>
      <c r="E1781" s="118" t="s">
        <v>2040</v>
      </c>
      <c r="F1781" s="122" t="s">
        <v>2036</v>
      </c>
      <c r="G1781" s="122" t="s">
        <v>2067</v>
      </c>
      <c r="H1781" s="105" t="s">
        <v>1327</v>
      </c>
      <c r="I1781" s="105"/>
      <c r="J1781" s="105" t="s">
        <v>2037</v>
      </c>
      <c r="K1781" s="157"/>
      <c r="L1781" s="315"/>
      <c r="M1781" s="315"/>
      <c r="N1781" s="315"/>
      <c r="O1781" s="315"/>
      <c r="P1781" s="315"/>
      <c r="Q1781" s="315"/>
      <c r="R1781" s="315"/>
      <c r="S1781" s="315"/>
    </row>
    <row r="1782" spans="1:19" s="31" customFormat="1" ht="37.5">
      <c r="A1782" s="118" t="s">
        <v>2038</v>
      </c>
      <c r="B1782" s="122" t="s">
        <v>2068</v>
      </c>
      <c r="C1782" s="105" t="s">
        <v>1327</v>
      </c>
      <c r="D1782" s="118" t="s">
        <v>2039</v>
      </c>
      <c r="E1782" s="118" t="s">
        <v>2040</v>
      </c>
      <c r="F1782" s="122" t="s">
        <v>2036</v>
      </c>
      <c r="G1782" s="122" t="s">
        <v>2068</v>
      </c>
      <c r="H1782" s="105" t="s">
        <v>1327</v>
      </c>
      <c r="I1782" s="105"/>
      <c r="J1782" s="105" t="s">
        <v>2037</v>
      </c>
      <c r="K1782" s="157"/>
      <c r="L1782" s="315"/>
      <c r="M1782" s="315"/>
      <c r="N1782" s="315"/>
      <c r="O1782" s="315"/>
      <c r="P1782" s="315"/>
      <c r="Q1782" s="315"/>
      <c r="R1782" s="315"/>
      <c r="S1782" s="315"/>
    </row>
    <row r="1783" spans="1:19" s="31" customFormat="1" ht="37.5">
      <c r="A1783" s="118" t="s">
        <v>2038</v>
      </c>
      <c r="B1783" s="122" t="s">
        <v>2069</v>
      </c>
      <c r="C1783" s="105" t="s">
        <v>1327</v>
      </c>
      <c r="D1783" s="118" t="s">
        <v>2039</v>
      </c>
      <c r="E1783" s="118" t="s">
        <v>2040</v>
      </c>
      <c r="F1783" s="122" t="s">
        <v>2036</v>
      </c>
      <c r="G1783" s="122" t="s">
        <v>2069</v>
      </c>
      <c r="H1783" s="105" t="s">
        <v>1327</v>
      </c>
      <c r="I1783" s="105"/>
      <c r="J1783" s="105" t="s">
        <v>2037</v>
      </c>
      <c r="K1783" s="157"/>
      <c r="L1783" s="315"/>
      <c r="M1783" s="315"/>
      <c r="N1783" s="315"/>
      <c r="O1783" s="315"/>
      <c r="P1783" s="315"/>
      <c r="Q1783" s="315"/>
      <c r="R1783" s="315"/>
      <c r="S1783" s="315"/>
    </row>
    <row r="1784" spans="1:19" s="31" customFormat="1" ht="37.5">
      <c r="A1784" s="118" t="s">
        <v>2038</v>
      </c>
      <c r="B1784" s="122" t="s">
        <v>1384</v>
      </c>
      <c r="C1784" s="105" t="s">
        <v>1327</v>
      </c>
      <c r="D1784" s="118" t="s">
        <v>2039</v>
      </c>
      <c r="E1784" s="118" t="s">
        <v>2040</v>
      </c>
      <c r="F1784" s="122" t="s">
        <v>2036</v>
      </c>
      <c r="G1784" s="122" t="s">
        <v>1384</v>
      </c>
      <c r="H1784" s="105" t="s">
        <v>1327</v>
      </c>
      <c r="I1784" s="105"/>
      <c r="J1784" s="105" t="s">
        <v>2037</v>
      </c>
      <c r="K1784" s="157"/>
      <c r="L1784" s="315"/>
      <c r="M1784" s="315"/>
      <c r="N1784" s="315"/>
      <c r="O1784" s="315"/>
      <c r="P1784" s="315"/>
      <c r="Q1784" s="315"/>
      <c r="R1784" s="315"/>
      <c r="S1784" s="315"/>
    </row>
    <row r="1785" spans="1:19" s="31" customFormat="1" ht="37.5">
      <c r="A1785" s="118" t="s">
        <v>2038</v>
      </c>
      <c r="B1785" s="122" t="s">
        <v>878</v>
      </c>
      <c r="C1785" s="105" t="s">
        <v>1327</v>
      </c>
      <c r="D1785" s="118" t="s">
        <v>2039</v>
      </c>
      <c r="E1785" s="118" t="s">
        <v>2040</v>
      </c>
      <c r="F1785" s="122" t="s">
        <v>2036</v>
      </c>
      <c r="G1785" s="122" t="s">
        <v>2070</v>
      </c>
      <c r="H1785" s="105" t="s">
        <v>1327</v>
      </c>
      <c r="I1785" s="105"/>
      <c r="J1785" s="105" t="s">
        <v>2037</v>
      </c>
      <c r="K1785" s="157"/>
      <c r="L1785" s="315"/>
      <c r="M1785" s="315"/>
      <c r="N1785" s="315"/>
      <c r="O1785" s="315"/>
      <c r="P1785" s="315"/>
      <c r="Q1785" s="315"/>
      <c r="R1785" s="315"/>
      <c r="S1785" s="315"/>
    </row>
    <row r="1786" spans="1:19" s="31" customFormat="1" ht="37.5">
      <c r="A1786" s="118" t="s">
        <v>2038</v>
      </c>
      <c r="B1786" s="122" t="s">
        <v>2071</v>
      </c>
      <c r="C1786" s="105" t="s">
        <v>1327</v>
      </c>
      <c r="D1786" s="118" t="s">
        <v>2039</v>
      </c>
      <c r="E1786" s="118" t="s">
        <v>2040</v>
      </c>
      <c r="F1786" s="122" t="s">
        <v>2036</v>
      </c>
      <c r="G1786" s="122" t="s">
        <v>2072</v>
      </c>
      <c r="H1786" s="105" t="s">
        <v>1327</v>
      </c>
      <c r="I1786" s="105"/>
      <c r="J1786" s="105" t="s">
        <v>2037</v>
      </c>
      <c r="K1786" s="157"/>
      <c r="L1786" s="315"/>
      <c r="M1786" s="315"/>
      <c r="N1786" s="315"/>
      <c r="O1786" s="315"/>
      <c r="P1786" s="315"/>
      <c r="Q1786" s="315"/>
      <c r="R1786" s="315"/>
      <c r="S1786" s="315"/>
    </row>
    <row r="1787" spans="1:19" s="31" customFormat="1" ht="37.5">
      <c r="A1787" s="118" t="s">
        <v>2038</v>
      </c>
      <c r="B1787" s="122" t="s">
        <v>2073</v>
      </c>
      <c r="C1787" s="105" t="s">
        <v>1327</v>
      </c>
      <c r="D1787" s="118" t="s">
        <v>2039</v>
      </c>
      <c r="E1787" s="118" t="s">
        <v>2040</v>
      </c>
      <c r="F1787" s="122" t="s">
        <v>2036</v>
      </c>
      <c r="G1787" s="122" t="s">
        <v>2074</v>
      </c>
      <c r="H1787" s="105" t="s">
        <v>1327</v>
      </c>
      <c r="I1787" s="105"/>
      <c r="J1787" s="105" t="s">
        <v>2037</v>
      </c>
      <c r="K1787" s="157"/>
      <c r="L1787" s="315"/>
      <c r="M1787" s="315"/>
      <c r="N1787" s="315"/>
      <c r="O1787" s="315"/>
      <c r="P1787" s="315"/>
      <c r="Q1787" s="315"/>
      <c r="R1787" s="315"/>
      <c r="S1787" s="315"/>
    </row>
    <row r="1788" spans="1:19" s="31" customFormat="1" ht="50">
      <c r="A1788" s="118" t="s">
        <v>2075</v>
      </c>
      <c r="B1788" s="123" t="s">
        <v>2076</v>
      </c>
      <c r="C1788" s="105" t="s">
        <v>1292</v>
      </c>
      <c r="D1788" s="105" t="s">
        <v>2039</v>
      </c>
      <c r="E1788" s="118" t="s">
        <v>2077</v>
      </c>
      <c r="F1788" s="122" t="s">
        <v>2036</v>
      </c>
      <c r="G1788" s="123" t="s">
        <v>2076</v>
      </c>
      <c r="H1788" s="105" t="s">
        <v>1292</v>
      </c>
      <c r="I1788" s="105"/>
      <c r="J1788" s="105" t="s">
        <v>2037</v>
      </c>
      <c r="K1788" s="157"/>
      <c r="L1788" s="315"/>
      <c r="M1788" s="315"/>
      <c r="N1788" s="315"/>
      <c r="O1788" s="315"/>
      <c r="P1788" s="315"/>
      <c r="Q1788" s="315"/>
      <c r="R1788" s="315"/>
      <c r="S1788" s="315"/>
    </row>
    <row r="1789" spans="1:19" s="31" customFormat="1" ht="50">
      <c r="A1789" s="118" t="s">
        <v>2075</v>
      </c>
      <c r="B1789" s="123" t="s">
        <v>2078</v>
      </c>
      <c r="C1789" s="105" t="s">
        <v>1292</v>
      </c>
      <c r="D1789" s="105" t="s">
        <v>2039</v>
      </c>
      <c r="E1789" s="118" t="s">
        <v>2077</v>
      </c>
      <c r="F1789" s="122" t="s">
        <v>2036</v>
      </c>
      <c r="G1789" s="123" t="s">
        <v>2078</v>
      </c>
      <c r="H1789" s="105" t="s">
        <v>1292</v>
      </c>
      <c r="I1789" s="105"/>
      <c r="J1789" s="105" t="s">
        <v>2037</v>
      </c>
      <c r="K1789" s="157"/>
      <c r="L1789" s="315"/>
      <c r="M1789" s="315"/>
      <c r="N1789" s="315"/>
      <c r="O1789" s="315"/>
      <c r="P1789" s="315"/>
      <c r="Q1789" s="315"/>
      <c r="R1789" s="315"/>
      <c r="S1789" s="315"/>
    </row>
    <row r="1790" spans="1:19" s="31" customFormat="1" ht="50">
      <c r="A1790" s="118" t="s">
        <v>2075</v>
      </c>
      <c r="B1790" s="123" t="s">
        <v>2079</v>
      </c>
      <c r="C1790" s="105" t="s">
        <v>1292</v>
      </c>
      <c r="D1790" s="105" t="s">
        <v>2039</v>
      </c>
      <c r="E1790" s="118" t="s">
        <v>2077</v>
      </c>
      <c r="F1790" s="122" t="s">
        <v>2036</v>
      </c>
      <c r="G1790" s="123" t="s">
        <v>2079</v>
      </c>
      <c r="H1790" s="105" t="s">
        <v>1292</v>
      </c>
      <c r="I1790" s="105"/>
      <c r="J1790" s="105" t="s">
        <v>2037</v>
      </c>
      <c r="K1790" s="157"/>
      <c r="L1790" s="315"/>
      <c r="M1790" s="315"/>
      <c r="N1790" s="315"/>
      <c r="O1790" s="315"/>
      <c r="P1790" s="315"/>
      <c r="Q1790" s="315"/>
      <c r="R1790" s="315"/>
      <c r="S1790" s="315"/>
    </row>
    <row r="1791" spans="1:19" s="31" customFormat="1" ht="50">
      <c r="A1791" s="118" t="s">
        <v>2075</v>
      </c>
      <c r="B1791" s="123" t="s">
        <v>2080</v>
      </c>
      <c r="C1791" s="105" t="s">
        <v>1292</v>
      </c>
      <c r="D1791" s="105" t="s">
        <v>2039</v>
      </c>
      <c r="E1791" s="118" t="s">
        <v>2077</v>
      </c>
      <c r="F1791" s="122" t="s">
        <v>2036</v>
      </c>
      <c r="G1791" s="123" t="s">
        <v>2080</v>
      </c>
      <c r="H1791" s="105" t="s">
        <v>1292</v>
      </c>
      <c r="I1791" s="105"/>
      <c r="J1791" s="105" t="s">
        <v>2037</v>
      </c>
      <c r="K1791" s="157"/>
      <c r="L1791" s="315"/>
      <c r="M1791" s="315"/>
      <c r="N1791" s="315"/>
      <c r="O1791" s="315"/>
      <c r="P1791" s="315"/>
      <c r="Q1791" s="315"/>
      <c r="R1791" s="315"/>
      <c r="S1791" s="315"/>
    </row>
    <row r="1792" spans="1:19" s="31" customFormat="1" ht="50">
      <c r="A1792" s="118" t="s">
        <v>2075</v>
      </c>
      <c r="B1792" s="124" t="s">
        <v>2081</v>
      </c>
      <c r="C1792" s="105" t="s">
        <v>1327</v>
      </c>
      <c r="D1792" s="105" t="s">
        <v>2039</v>
      </c>
      <c r="E1792" s="118" t="s">
        <v>2077</v>
      </c>
      <c r="F1792" s="122" t="s">
        <v>2036</v>
      </c>
      <c r="G1792" s="124" t="s">
        <v>2081</v>
      </c>
      <c r="H1792" s="105" t="s">
        <v>1327</v>
      </c>
      <c r="I1792" s="105"/>
      <c r="J1792" s="105" t="s">
        <v>2037</v>
      </c>
      <c r="K1792" s="157"/>
      <c r="L1792" s="315"/>
      <c r="M1792" s="315"/>
      <c r="N1792" s="315"/>
      <c r="O1792" s="315"/>
      <c r="P1792" s="315"/>
      <c r="Q1792" s="315"/>
      <c r="R1792" s="315"/>
      <c r="S1792" s="315"/>
    </row>
    <row r="1793" spans="1:19" s="31" customFormat="1" ht="50">
      <c r="A1793" s="118" t="s">
        <v>2075</v>
      </c>
      <c r="B1793" s="122" t="s">
        <v>2082</v>
      </c>
      <c r="C1793" s="105" t="s">
        <v>1327</v>
      </c>
      <c r="D1793" s="105" t="s">
        <v>2039</v>
      </c>
      <c r="E1793" s="118" t="s">
        <v>2077</v>
      </c>
      <c r="F1793" s="122" t="s">
        <v>2036</v>
      </c>
      <c r="G1793" s="122" t="s">
        <v>2082</v>
      </c>
      <c r="H1793" s="105" t="s">
        <v>1327</v>
      </c>
      <c r="I1793" s="105"/>
      <c r="J1793" s="105" t="s">
        <v>2037</v>
      </c>
      <c r="K1793" s="157"/>
      <c r="L1793" s="315"/>
      <c r="M1793" s="315"/>
      <c r="N1793" s="315"/>
      <c r="O1793" s="315"/>
      <c r="P1793" s="315"/>
      <c r="Q1793" s="315"/>
      <c r="R1793" s="315"/>
      <c r="S1793" s="315"/>
    </row>
    <row r="1794" spans="1:19" s="31" customFormat="1" ht="50">
      <c r="A1794" s="118" t="s">
        <v>2075</v>
      </c>
      <c r="B1794" s="123" t="s">
        <v>2083</v>
      </c>
      <c r="C1794" s="105" t="s">
        <v>1327</v>
      </c>
      <c r="D1794" s="105" t="s">
        <v>2039</v>
      </c>
      <c r="E1794" s="118" t="s">
        <v>2077</v>
      </c>
      <c r="F1794" s="122" t="s">
        <v>2036</v>
      </c>
      <c r="G1794" s="123" t="s">
        <v>2083</v>
      </c>
      <c r="H1794" s="105" t="s">
        <v>1327</v>
      </c>
      <c r="I1794" s="105"/>
      <c r="J1794" s="105" t="s">
        <v>2037</v>
      </c>
      <c r="K1794" s="157"/>
      <c r="L1794" s="315"/>
      <c r="M1794" s="315"/>
      <c r="N1794" s="315"/>
      <c r="O1794" s="315"/>
      <c r="P1794" s="315"/>
      <c r="Q1794" s="315"/>
      <c r="R1794" s="315"/>
      <c r="S1794" s="315"/>
    </row>
    <row r="1795" spans="1:19" s="31" customFormat="1" ht="50">
      <c r="A1795" s="118" t="s">
        <v>2075</v>
      </c>
      <c r="B1795" s="123" t="s">
        <v>2084</v>
      </c>
      <c r="C1795" s="105" t="s">
        <v>1327</v>
      </c>
      <c r="D1795" s="105" t="s">
        <v>2039</v>
      </c>
      <c r="E1795" s="118" t="s">
        <v>2077</v>
      </c>
      <c r="F1795" s="122" t="s">
        <v>2036</v>
      </c>
      <c r="G1795" s="123" t="s">
        <v>2084</v>
      </c>
      <c r="H1795" s="105" t="s">
        <v>1327</v>
      </c>
      <c r="I1795" s="105"/>
      <c r="J1795" s="105" t="s">
        <v>2037</v>
      </c>
      <c r="K1795" s="157"/>
      <c r="L1795" s="315"/>
      <c r="M1795" s="315"/>
      <c r="N1795" s="315"/>
      <c r="O1795" s="315"/>
      <c r="P1795" s="315"/>
      <c r="Q1795" s="315"/>
      <c r="R1795" s="315"/>
      <c r="S1795" s="315"/>
    </row>
    <row r="1796" spans="1:19" s="31" customFormat="1" ht="50">
      <c r="A1796" s="118" t="s">
        <v>2075</v>
      </c>
      <c r="B1796" s="122" t="s">
        <v>2085</v>
      </c>
      <c r="C1796" s="105" t="s">
        <v>1327</v>
      </c>
      <c r="D1796" s="105" t="s">
        <v>2039</v>
      </c>
      <c r="E1796" s="118" t="s">
        <v>2077</v>
      </c>
      <c r="F1796" s="122" t="s">
        <v>2036</v>
      </c>
      <c r="G1796" s="122" t="s">
        <v>2085</v>
      </c>
      <c r="H1796" s="105" t="s">
        <v>1327</v>
      </c>
      <c r="I1796" s="105"/>
      <c r="J1796" s="105" t="s">
        <v>2037</v>
      </c>
      <c r="K1796" s="157"/>
      <c r="L1796" s="315"/>
      <c r="M1796" s="315"/>
      <c r="N1796" s="315"/>
      <c r="O1796" s="315"/>
      <c r="P1796" s="315"/>
      <c r="Q1796" s="315"/>
      <c r="R1796" s="315"/>
      <c r="S1796" s="315"/>
    </row>
    <row r="1797" spans="1:19" s="31" customFormat="1" ht="50">
      <c r="A1797" s="118" t="s">
        <v>2075</v>
      </c>
      <c r="B1797" s="118" t="s">
        <v>2086</v>
      </c>
      <c r="C1797" s="105" t="s">
        <v>1327</v>
      </c>
      <c r="D1797" s="105" t="s">
        <v>2039</v>
      </c>
      <c r="E1797" s="118" t="s">
        <v>2077</v>
      </c>
      <c r="F1797" s="122" t="s">
        <v>2036</v>
      </c>
      <c r="G1797" s="118" t="s">
        <v>2086</v>
      </c>
      <c r="H1797" s="105" t="s">
        <v>1327</v>
      </c>
      <c r="I1797" s="105"/>
      <c r="J1797" s="105" t="s">
        <v>2037</v>
      </c>
      <c r="K1797" s="157"/>
      <c r="L1797" s="315"/>
      <c r="M1797" s="315"/>
      <c r="N1797" s="315"/>
      <c r="O1797" s="315"/>
      <c r="P1797" s="315"/>
      <c r="Q1797" s="315"/>
      <c r="R1797" s="315"/>
      <c r="S1797" s="315"/>
    </row>
    <row r="1798" spans="1:19" s="31" customFormat="1" ht="50">
      <c r="A1798" s="118" t="s">
        <v>2075</v>
      </c>
      <c r="B1798" s="118" t="s">
        <v>2087</v>
      </c>
      <c r="C1798" s="105" t="s">
        <v>1327</v>
      </c>
      <c r="D1798" s="105" t="s">
        <v>2039</v>
      </c>
      <c r="E1798" s="118" t="s">
        <v>2077</v>
      </c>
      <c r="F1798" s="122" t="s">
        <v>2036</v>
      </c>
      <c r="G1798" s="118" t="s">
        <v>2087</v>
      </c>
      <c r="H1798" s="105" t="s">
        <v>1327</v>
      </c>
      <c r="I1798" s="105"/>
      <c r="J1798" s="105" t="s">
        <v>2037</v>
      </c>
      <c r="K1798" s="157"/>
      <c r="L1798" s="315"/>
      <c r="M1798" s="315"/>
      <c r="N1798" s="315"/>
      <c r="O1798" s="315"/>
      <c r="P1798" s="315"/>
      <c r="Q1798" s="315"/>
      <c r="R1798" s="315"/>
      <c r="S1798" s="315"/>
    </row>
    <row r="1799" spans="1:19" s="31" customFormat="1" ht="50">
      <c r="A1799" s="118" t="s">
        <v>2075</v>
      </c>
      <c r="B1799" s="122" t="s">
        <v>2088</v>
      </c>
      <c r="C1799" s="105" t="s">
        <v>1327</v>
      </c>
      <c r="D1799" s="105" t="s">
        <v>2039</v>
      </c>
      <c r="E1799" s="118" t="s">
        <v>2077</v>
      </c>
      <c r="F1799" s="122" t="s">
        <v>2036</v>
      </c>
      <c r="G1799" s="122" t="s">
        <v>2088</v>
      </c>
      <c r="H1799" s="105" t="s">
        <v>1327</v>
      </c>
      <c r="I1799" s="105"/>
      <c r="J1799" s="105" t="s">
        <v>2037</v>
      </c>
      <c r="K1799" s="157"/>
      <c r="L1799" s="315"/>
      <c r="M1799" s="315"/>
      <c r="N1799" s="315"/>
      <c r="O1799" s="315"/>
      <c r="P1799" s="315"/>
      <c r="Q1799" s="315"/>
      <c r="R1799" s="315"/>
      <c r="S1799" s="315"/>
    </row>
    <row r="1800" spans="1:19" s="31" customFormat="1" ht="50">
      <c r="A1800" s="118" t="s">
        <v>2075</v>
      </c>
      <c r="B1800" s="122" t="s">
        <v>2089</v>
      </c>
      <c r="C1800" s="105" t="s">
        <v>1327</v>
      </c>
      <c r="D1800" s="105" t="s">
        <v>2039</v>
      </c>
      <c r="E1800" s="118" t="s">
        <v>2077</v>
      </c>
      <c r="F1800" s="122" t="s">
        <v>2036</v>
      </c>
      <c r="G1800" s="122" t="s">
        <v>2089</v>
      </c>
      <c r="H1800" s="105" t="s">
        <v>1327</v>
      </c>
      <c r="I1800" s="105"/>
      <c r="J1800" s="105" t="s">
        <v>2037</v>
      </c>
      <c r="K1800" s="157"/>
      <c r="L1800" s="315"/>
      <c r="M1800" s="315"/>
      <c r="N1800" s="315"/>
      <c r="O1800" s="315"/>
      <c r="P1800" s="315"/>
      <c r="Q1800" s="315"/>
      <c r="R1800" s="315"/>
      <c r="S1800" s="315"/>
    </row>
    <row r="1801" spans="1:19" s="31" customFormat="1" ht="50">
      <c r="A1801" s="118" t="s">
        <v>2075</v>
      </c>
      <c r="B1801" s="122" t="s">
        <v>2090</v>
      </c>
      <c r="C1801" s="105" t="s">
        <v>1327</v>
      </c>
      <c r="D1801" s="105" t="s">
        <v>2039</v>
      </c>
      <c r="E1801" s="118" t="s">
        <v>2077</v>
      </c>
      <c r="F1801" s="122" t="s">
        <v>2036</v>
      </c>
      <c r="G1801" s="122" t="s">
        <v>2090</v>
      </c>
      <c r="H1801" s="105" t="s">
        <v>1327</v>
      </c>
      <c r="I1801" s="105"/>
      <c r="J1801" s="105" t="s">
        <v>2037</v>
      </c>
      <c r="K1801" s="157"/>
      <c r="L1801" s="315"/>
      <c r="M1801" s="315"/>
      <c r="N1801" s="315"/>
      <c r="O1801" s="315"/>
      <c r="P1801" s="315"/>
      <c r="Q1801" s="315"/>
      <c r="R1801" s="315"/>
      <c r="S1801" s="315"/>
    </row>
    <row r="1802" spans="1:19" s="31" customFormat="1" ht="50">
      <c r="A1802" s="118" t="s">
        <v>2075</v>
      </c>
      <c r="B1802" s="115" t="s">
        <v>2091</v>
      </c>
      <c r="C1802" s="105" t="s">
        <v>1327</v>
      </c>
      <c r="D1802" s="105" t="s">
        <v>2039</v>
      </c>
      <c r="E1802" s="118" t="s">
        <v>2077</v>
      </c>
      <c r="F1802" s="122" t="s">
        <v>2036</v>
      </c>
      <c r="G1802" s="115" t="s">
        <v>2091</v>
      </c>
      <c r="H1802" s="105" t="s">
        <v>1327</v>
      </c>
      <c r="I1802" s="105"/>
      <c r="J1802" s="105" t="s">
        <v>2037</v>
      </c>
      <c r="K1802" s="157"/>
      <c r="L1802" s="315"/>
      <c r="M1802" s="315"/>
      <c r="N1802" s="315"/>
      <c r="O1802" s="315"/>
      <c r="P1802" s="315"/>
      <c r="Q1802" s="315"/>
      <c r="R1802" s="315"/>
      <c r="S1802" s="315"/>
    </row>
    <row r="1803" spans="1:19" s="31" customFormat="1" ht="50">
      <c r="A1803" s="118" t="s">
        <v>2075</v>
      </c>
      <c r="B1803" s="115" t="s">
        <v>2092</v>
      </c>
      <c r="C1803" s="105" t="s">
        <v>1327</v>
      </c>
      <c r="D1803" s="105" t="s">
        <v>2039</v>
      </c>
      <c r="E1803" s="118" t="s">
        <v>2077</v>
      </c>
      <c r="F1803" s="122" t="s">
        <v>2036</v>
      </c>
      <c r="G1803" s="115" t="s">
        <v>2092</v>
      </c>
      <c r="H1803" s="105" t="s">
        <v>1327</v>
      </c>
      <c r="I1803" s="105"/>
      <c r="J1803" s="105" t="s">
        <v>2037</v>
      </c>
      <c r="K1803" s="157"/>
      <c r="L1803" s="315"/>
      <c r="M1803" s="315"/>
      <c r="N1803" s="315"/>
      <c r="O1803" s="315"/>
      <c r="P1803" s="315"/>
      <c r="Q1803" s="315"/>
      <c r="R1803" s="315"/>
      <c r="S1803" s="315"/>
    </row>
    <row r="1804" spans="1:19" s="31" customFormat="1" ht="50">
      <c r="A1804" s="118" t="s">
        <v>2075</v>
      </c>
      <c r="B1804" s="115" t="s">
        <v>2093</v>
      </c>
      <c r="C1804" s="105" t="s">
        <v>1327</v>
      </c>
      <c r="D1804" s="105" t="s">
        <v>2039</v>
      </c>
      <c r="E1804" s="118" t="s">
        <v>2077</v>
      </c>
      <c r="F1804" s="122" t="s">
        <v>2036</v>
      </c>
      <c r="G1804" s="115" t="s">
        <v>2093</v>
      </c>
      <c r="H1804" s="105" t="s">
        <v>1327</v>
      </c>
      <c r="I1804" s="105"/>
      <c r="J1804" s="105" t="s">
        <v>2037</v>
      </c>
      <c r="K1804" s="157"/>
      <c r="L1804" s="315"/>
      <c r="M1804" s="315"/>
      <c r="N1804" s="315"/>
      <c r="O1804" s="315"/>
      <c r="P1804" s="315"/>
      <c r="Q1804" s="315"/>
      <c r="R1804" s="315"/>
      <c r="S1804" s="315"/>
    </row>
    <row r="1805" spans="1:19" s="31" customFormat="1" ht="50">
      <c r="A1805" s="118" t="s">
        <v>2075</v>
      </c>
      <c r="B1805" s="115" t="s">
        <v>2094</v>
      </c>
      <c r="C1805" s="105" t="s">
        <v>1327</v>
      </c>
      <c r="D1805" s="105" t="s">
        <v>2039</v>
      </c>
      <c r="E1805" s="118" t="s">
        <v>2077</v>
      </c>
      <c r="F1805" s="122" t="s">
        <v>2036</v>
      </c>
      <c r="G1805" s="115" t="s">
        <v>2094</v>
      </c>
      <c r="H1805" s="105" t="s">
        <v>1327</v>
      </c>
      <c r="I1805" s="105"/>
      <c r="J1805" s="105" t="s">
        <v>2037</v>
      </c>
      <c r="K1805" s="157"/>
      <c r="L1805" s="315"/>
      <c r="M1805" s="315"/>
      <c r="N1805" s="315"/>
      <c r="O1805" s="315"/>
      <c r="P1805" s="315"/>
      <c r="Q1805" s="315"/>
      <c r="R1805" s="315"/>
      <c r="S1805" s="315"/>
    </row>
    <row r="1806" spans="1:19" s="31" customFormat="1" ht="50">
      <c r="A1806" s="118" t="s">
        <v>2075</v>
      </c>
      <c r="B1806" s="115" t="s">
        <v>2095</v>
      </c>
      <c r="C1806" s="105" t="s">
        <v>1327</v>
      </c>
      <c r="D1806" s="105" t="s">
        <v>2039</v>
      </c>
      <c r="E1806" s="118" t="s">
        <v>2077</v>
      </c>
      <c r="F1806" s="122" t="s">
        <v>2036</v>
      </c>
      <c r="G1806" s="115" t="s">
        <v>2095</v>
      </c>
      <c r="H1806" s="105" t="s">
        <v>1327</v>
      </c>
      <c r="I1806" s="105"/>
      <c r="J1806" s="105" t="s">
        <v>2037</v>
      </c>
      <c r="K1806" s="157"/>
      <c r="L1806" s="315"/>
      <c r="M1806" s="315"/>
      <c r="N1806" s="315"/>
      <c r="O1806" s="315"/>
      <c r="P1806" s="315"/>
      <c r="Q1806" s="315"/>
      <c r="R1806" s="315"/>
      <c r="S1806" s="315"/>
    </row>
    <row r="1807" spans="1:19" s="33" customFormat="1" ht="50">
      <c r="A1807" s="118" t="s">
        <v>2075</v>
      </c>
      <c r="B1807" s="122" t="s">
        <v>2096</v>
      </c>
      <c r="C1807" s="122" t="s">
        <v>1327</v>
      </c>
      <c r="D1807" s="105" t="s">
        <v>2039</v>
      </c>
      <c r="E1807" s="118" t="s">
        <v>2077</v>
      </c>
      <c r="F1807" s="122" t="s">
        <v>2036</v>
      </c>
      <c r="G1807" s="122" t="s">
        <v>2096</v>
      </c>
      <c r="H1807" s="122" t="s">
        <v>1327</v>
      </c>
      <c r="I1807" s="122"/>
      <c r="J1807" s="105" t="s">
        <v>2037</v>
      </c>
      <c r="K1807" s="159"/>
    </row>
    <row r="1808" spans="1:19" s="33" customFormat="1" ht="50">
      <c r="A1808" s="118" t="s">
        <v>2097</v>
      </c>
      <c r="B1808" s="122" t="s">
        <v>2098</v>
      </c>
      <c r="C1808" s="122" t="s">
        <v>1327</v>
      </c>
      <c r="D1808" s="105" t="s">
        <v>2039</v>
      </c>
      <c r="E1808" s="118" t="s">
        <v>2099</v>
      </c>
      <c r="F1808" s="122" t="s">
        <v>2036</v>
      </c>
      <c r="G1808" s="122" t="s">
        <v>2098</v>
      </c>
      <c r="H1808" s="122" t="s">
        <v>1327</v>
      </c>
      <c r="I1808" s="122"/>
      <c r="J1808" s="105" t="s">
        <v>2037</v>
      </c>
      <c r="K1808" s="159"/>
    </row>
    <row r="1809" spans="1:19" s="33" customFormat="1" ht="50">
      <c r="A1809" s="118" t="s">
        <v>2097</v>
      </c>
      <c r="B1809" s="122" t="s">
        <v>2100</v>
      </c>
      <c r="C1809" s="122" t="s">
        <v>1327</v>
      </c>
      <c r="D1809" s="105" t="s">
        <v>2039</v>
      </c>
      <c r="E1809" s="118" t="s">
        <v>2099</v>
      </c>
      <c r="F1809" s="122" t="s">
        <v>2036</v>
      </c>
      <c r="G1809" s="122" t="s">
        <v>2100</v>
      </c>
      <c r="H1809" s="122" t="s">
        <v>1327</v>
      </c>
      <c r="I1809" s="122"/>
      <c r="J1809" s="105" t="s">
        <v>2037</v>
      </c>
      <c r="K1809" s="159"/>
    </row>
    <row r="1810" spans="1:19" s="33" customFormat="1" ht="50">
      <c r="A1810" s="118" t="s">
        <v>2097</v>
      </c>
      <c r="B1810" s="122" t="s">
        <v>2101</v>
      </c>
      <c r="C1810" s="122" t="s">
        <v>1327</v>
      </c>
      <c r="D1810" s="105" t="s">
        <v>2039</v>
      </c>
      <c r="E1810" s="118" t="s">
        <v>2099</v>
      </c>
      <c r="F1810" s="122" t="s">
        <v>2036</v>
      </c>
      <c r="G1810" s="122" t="s">
        <v>2101</v>
      </c>
      <c r="H1810" s="122" t="s">
        <v>1327</v>
      </c>
      <c r="I1810" s="122"/>
      <c r="J1810" s="105" t="s">
        <v>2037</v>
      </c>
      <c r="K1810" s="159"/>
    </row>
    <row r="1811" spans="1:19" s="33" customFormat="1" ht="50">
      <c r="A1811" s="118" t="s">
        <v>2097</v>
      </c>
      <c r="B1811" s="122" t="s">
        <v>2102</v>
      </c>
      <c r="C1811" s="105" t="s">
        <v>1292</v>
      </c>
      <c r="D1811" s="105" t="s">
        <v>2039</v>
      </c>
      <c r="E1811" s="118" t="s">
        <v>2099</v>
      </c>
      <c r="F1811" s="122" t="s">
        <v>2036</v>
      </c>
      <c r="G1811" s="122" t="s">
        <v>2102</v>
      </c>
      <c r="H1811" s="105" t="s">
        <v>1292</v>
      </c>
      <c r="I1811" s="122"/>
      <c r="J1811" s="105" t="s">
        <v>2037</v>
      </c>
      <c r="K1811" s="159"/>
    </row>
    <row r="1812" spans="1:19" s="33" customFormat="1" ht="50">
      <c r="A1812" s="118" t="s">
        <v>2097</v>
      </c>
      <c r="B1812" s="122" t="s">
        <v>2103</v>
      </c>
      <c r="C1812" s="105" t="s">
        <v>1292</v>
      </c>
      <c r="D1812" s="105" t="s">
        <v>2039</v>
      </c>
      <c r="E1812" s="118" t="s">
        <v>2099</v>
      </c>
      <c r="F1812" s="122" t="s">
        <v>2036</v>
      </c>
      <c r="G1812" s="122" t="s">
        <v>2103</v>
      </c>
      <c r="H1812" s="105" t="s">
        <v>1292</v>
      </c>
      <c r="I1812" s="122"/>
      <c r="J1812" s="105" t="s">
        <v>2037</v>
      </c>
      <c r="K1812" s="159"/>
    </row>
    <row r="1813" spans="1:19" s="33" customFormat="1" ht="50">
      <c r="A1813" s="118" t="s">
        <v>2097</v>
      </c>
      <c r="B1813" s="122" t="s">
        <v>2104</v>
      </c>
      <c r="C1813" s="105" t="s">
        <v>1292</v>
      </c>
      <c r="D1813" s="105" t="s">
        <v>2039</v>
      </c>
      <c r="E1813" s="118" t="s">
        <v>2099</v>
      </c>
      <c r="F1813" s="122" t="s">
        <v>2036</v>
      </c>
      <c r="G1813" s="122" t="s">
        <v>2104</v>
      </c>
      <c r="H1813" s="105" t="s">
        <v>1292</v>
      </c>
      <c r="I1813" s="122"/>
      <c r="J1813" s="105" t="s">
        <v>2037</v>
      </c>
      <c r="K1813" s="159"/>
    </row>
    <row r="1814" spans="1:19" s="33" customFormat="1" ht="50">
      <c r="A1814" s="118" t="s">
        <v>2097</v>
      </c>
      <c r="B1814" s="122" t="s">
        <v>2105</v>
      </c>
      <c r="C1814" s="105" t="s">
        <v>1292</v>
      </c>
      <c r="D1814" s="105" t="s">
        <v>2039</v>
      </c>
      <c r="E1814" s="118" t="s">
        <v>2099</v>
      </c>
      <c r="F1814" s="122" t="s">
        <v>2036</v>
      </c>
      <c r="G1814" s="122" t="s">
        <v>2105</v>
      </c>
      <c r="H1814" s="105" t="s">
        <v>1292</v>
      </c>
      <c r="I1814" s="122"/>
      <c r="J1814" s="105" t="s">
        <v>2037</v>
      </c>
      <c r="K1814" s="159"/>
    </row>
    <row r="1815" spans="1:19" s="33" customFormat="1" ht="50">
      <c r="A1815" s="118" t="s">
        <v>2097</v>
      </c>
      <c r="B1815" s="122" t="s">
        <v>2106</v>
      </c>
      <c r="C1815" s="105" t="s">
        <v>1292</v>
      </c>
      <c r="D1815" s="105" t="s">
        <v>2039</v>
      </c>
      <c r="E1815" s="118" t="s">
        <v>2099</v>
      </c>
      <c r="F1815" s="122" t="s">
        <v>2036</v>
      </c>
      <c r="G1815" s="122" t="s">
        <v>2106</v>
      </c>
      <c r="H1815" s="105" t="s">
        <v>1292</v>
      </c>
      <c r="I1815" s="122"/>
      <c r="J1815" s="105" t="s">
        <v>2037</v>
      </c>
      <c r="K1815" s="159"/>
    </row>
    <row r="1816" spans="1:19" s="33" customFormat="1" ht="50">
      <c r="A1816" s="118" t="s">
        <v>2097</v>
      </c>
      <c r="B1816" s="122" t="s">
        <v>2107</v>
      </c>
      <c r="C1816" s="105" t="s">
        <v>1292</v>
      </c>
      <c r="D1816" s="105" t="s">
        <v>2039</v>
      </c>
      <c r="E1816" s="118" t="s">
        <v>2099</v>
      </c>
      <c r="F1816" s="122" t="s">
        <v>2036</v>
      </c>
      <c r="G1816" s="122" t="s">
        <v>2108</v>
      </c>
      <c r="H1816" s="105" t="s">
        <v>1292</v>
      </c>
      <c r="I1816" s="122"/>
      <c r="J1816" s="105" t="s">
        <v>2037</v>
      </c>
      <c r="K1816" s="159"/>
    </row>
    <row r="1817" spans="1:19" s="33" customFormat="1" ht="50">
      <c r="A1817" s="118" t="s">
        <v>2097</v>
      </c>
      <c r="B1817" s="122" t="s">
        <v>2109</v>
      </c>
      <c r="C1817" s="105" t="s">
        <v>1292</v>
      </c>
      <c r="D1817" s="105" t="s">
        <v>2039</v>
      </c>
      <c r="E1817" s="118" t="s">
        <v>2099</v>
      </c>
      <c r="F1817" s="122" t="s">
        <v>2036</v>
      </c>
      <c r="G1817" s="122" t="s">
        <v>2109</v>
      </c>
      <c r="H1817" s="105" t="s">
        <v>1292</v>
      </c>
      <c r="I1817" s="122"/>
      <c r="J1817" s="105" t="s">
        <v>2037</v>
      </c>
      <c r="K1817" s="159"/>
    </row>
    <row r="1818" spans="1:19" s="33" customFormat="1" ht="50">
      <c r="A1818" s="118" t="s">
        <v>2097</v>
      </c>
      <c r="B1818" s="122" t="s">
        <v>2110</v>
      </c>
      <c r="C1818" s="105" t="s">
        <v>1292</v>
      </c>
      <c r="D1818" s="105" t="s">
        <v>2039</v>
      </c>
      <c r="E1818" s="118" t="s">
        <v>2099</v>
      </c>
      <c r="F1818" s="122" t="s">
        <v>2036</v>
      </c>
      <c r="G1818" s="122" t="s">
        <v>2110</v>
      </c>
      <c r="H1818" s="105" t="s">
        <v>1292</v>
      </c>
      <c r="I1818" s="122"/>
      <c r="J1818" s="105" t="s">
        <v>2037</v>
      </c>
      <c r="K1818" s="159"/>
    </row>
    <row r="1819" spans="1:19" s="31" customFormat="1" ht="62.5">
      <c r="A1819" s="118" t="s">
        <v>2111</v>
      </c>
      <c r="B1819" s="122" t="s">
        <v>2112</v>
      </c>
      <c r="C1819" s="105" t="s">
        <v>1293</v>
      </c>
      <c r="D1819" s="105" t="s">
        <v>2039</v>
      </c>
      <c r="E1819" s="118" t="s">
        <v>2113</v>
      </c>
      <c r="F1819" s="122" t="s">
        <v>2036</v>
      </c>
      <c r="G1819" s="122" t="s">
        <v>2112</v>
      </c>
      <c r="H1819" s="105" t="s">
        <v>1293</v>
      </c>
      <c r="I1819" s="105"/>
      <c r="J1819" s="105" t="s">
        <v>2037</v>
      </c>
      <c r="K1819" s="157"/>
      <c r="L1819" s="315"/>
      <c r="M1819" s="315"/>
      <c r="N1819" s="315"/>
      <c r="O1819" s="315"/>
      <c r="P1819" s="315"/>
      <c r="Q1819" s="315"/>
      <c r="R1819" s="315"/>
      <c r="S1819" s="315"/>
    </row>
    <row r="1820" spans="1:19" s="31" customFormat="1" ht="62.5">
      <c r="A1820" s="118" t="s">
        <v>2111</v>
      </c>
      <c r="B1820" s="122" t="s">
        <v>2114</v>
      </c>
      <c r="C1820" s="105" t="s">
        <v>1292</v>
      </c>
      <c r="D1820" s="105" t="s">
        <v>2039</v>
      </c>
      <c r="E1820" s="118" t="s">
        <v>2113</v>
      </c>
      <c r="F1820" s="122" t="s">
        <v>2036</v>
      </c>
      <c r="G1820" s="122" t="s">
        <v>2114</v>
      </c>
      <c r="H1820" s="105" t="s">
        <v>1292</v>
      </c>
      <c r="I1820" s="105"/>
      <c r="J1820" s="105" t="s">
        <v>2037</v>
      </c>
      <c r="K1820" s="157"/>
      <c r="L1820" s="315"/>
      <c r="M1820" s="315"/>
      <c r="N1820" s="315"/>
      <c r="O1820" s="315"/>
      <c r="P1820" s="315"/>
      <c r="Q1820" s="315"/>
      <c r="R1820" s="315"/>
      <c r="S1820" s="315"/>
    </row>
    <row r="1821" spans="1:19" s="31" customFormat="1" ht="25">
      <c r="A1821" s="118" t="s">
        <v>2111</v>
      </c>
      <c r="B1821" s="122" t="s">
        <v>2115</v>
      </c>
      <c r="C1821" s="105" t="s">
        <v>1293</v>
      </c>
      <c r="D1821" s="105" t="s">
        <v>2039</v>
      </c>
      <c r="E1821" s="118" t="s">
        <v>2116</v>
      </c>
      <c r="F1821" s="122" t="s">
        <v>2036</v>
      </c>
      <c r="G1821" s="122" t="s">
        <v>2115</v>
      </c>
      <c r="H1821" s="105" t="s">
        <v>1293</v>
      </c>
      <c r="I1821" s="105"/>
      <c r="J1821" s="105" t="s">
        <v>2037</v>
      </c>
      <c r="K1821" s="157"/>
      <c r="L1821" s="315"/>
      <c r="M1821" s="315"/>
      <c r="N1821" s="315"/>
      <c r="O1821" s="315"/>
      <c r="P1821" s="315"/>
      <c r="Q1821" s="315"/>
      <c r="R1821" s="315"/>
      <c r="S1821" s="315"/>
    </row>
    <row r="1822" spans="1:19" s="31" customFormat="1" ht="62.5">
      <c r="A1822" s="118" t="s">
        <v>2111</v>
      </c>
      <c r="B1822" s="122" t="s">
        <v>2117</v>
      </c>
      <c r="C1822" s="105" t="s">
        <v>1292</v>
      </c>
      <c r="D1822" s="105" t="s">
        <v>2039</v>
      </c>
      <c r="E1822" s="118" t="s">
        <v>2113</v>
      </c>
      <c r="F1822" s="122" t="s">
        <v>2036</v>
      </c>
      <c r="G1822" s="122" t="s">
        <v>2117</v>
      </c>
      <c r="H1822" s="105" t="s">
        <v>1292</v>
      </c>
      <c r="I1822" s="105"/>
      <c r="J1822" s="105" t="s">
        <v>2037</v>
      </c>
      <c r="K1822" s="157"/>
      <c r="L1822" s="315"/>
      <c r="M1822" s="315"/>
      <c r="N1822" s="315"/>
      <c r="O1822" s="315"/>
      <c r="P1822" s="315"/>
      <c r="Q1822" s="315"/>
      <c r="R1822" s="315"/>
      <c r="S1822" s="315"/>
    </row>
    <row r="1823" spans="1:19" s="31" customFormat="1" ht="87.5">
      <c r="A1823" s="118" t="s">
        <v>2111</v>
      </c>
      <c r="B1823" s="122" t="s">
        <v>2071</v>
      </c>
      <c r="C1823" s="105" t="s">
        <v>1327</v>
      </c>
      <c r="D1823" s="105" t="s">
        <v>2039</v>
      </c>
      <c r="E1823" s="118" t="s">
        <v>2118</v>
      </c>
      <c r="F1823" s="122" t="s">
        <v>2036</v>
      </c>
      <c r="G1823" s="122" t="s">
        <v>2119</v>
      </c>
      <c r="H1823" s="105" t="s">
        <v>1327</v>
      </c>
      <c r="I1823" s="105"/>
      <c r="J1823" s="105" t="s">
        <v>2037</v>
      </c>
      <c r="K1823" s="157"/>
      <c r="L1823" s="315"/>
      <c r="M1823" s="315"/>
      <c r="N1823" s="315"/>
      <c r="O1823" s="315"/>
      <c r="P1823" s="315"/>
      <c r="Q1823" s="315"/>
      <c r="R1823" s="315"/>
      <c r="S1823" s="315"/>
    </row>
    <row r="1824" spans="1:19" s="31" customFormat="1" ht="87.5">
      <c r="A1824" s="118" t="s">
        <v>2111</v>
      </c>
      <c r="B1824" s="122" t="s">
        <v>2073</v>
      </c>
      <c r="C1824" s="105" t="s">
        <v>1327</v>
      </c>
      <c r="D1824" s="105" t="s">
        <v>2039</v>
      </c>
      <c r="E1824" s="118" t="s">
        <v>2118</v>
      </c>
      <c r="F1824" s="122" t="s">
        <v>2036</v>
      </c>
      <c r="G1824" s="122" t="s">
        <v>2120</v>
      </c>
      <c r="H1824" s="105" t="s">
        <v>1327</v>
      </c>
      <c r="I1824" s="105"/>
      <c r="J1824" s="105" t="s">
        <v>2037</v>
      </c>
      <c r="K1824" s="157"/>
      <c r="L1824" s="315"/>
      <c r="M1824" s="315"/>
      <c r="N1824" s="315"/>
      <c r="O1824" s="315"/>
      <c r="P1824" s="315"/>
      <c r="Q1824" s="315"/>
      <c r="R1824" s="315"/>
      <c r="S1824" s="315"/>
    </row>
    <row r="1825" spans="1:19" s="31" customFormat="1" ht="87.5">
      <c r="A1825" s="118" t="s">
        <v>2111</v>
      </c>
      <c r="B1825" s="122" t="s">
        <v>878</v>
      </c>
      <c r="C1825" s="105" t="s">
        <v>1327</v>
      </c>
      <c r="D1825" s="105" t="s">
        <v>2039</v>
      </c>
      <c r="E1825" s="118" t="s">
        <v>2118</v>
      </c>
      <c r="F1825" s="122" t="s">
        <v>2036</v>
      </c>
      <c r="G1825" s="122" t="s">
        <v>2121</v>
      </c>
      <c r="H1825" s="105" t="s">
        <v>1327</v>
      </c>
      <c r="I1825" s="105"/>
      <c r="J1825" s="105" t="s">
        <v>2037</v>
      </c>
      <c r="K1825" s="157"/>
      <c r="L1825" s="315"/>
      <c r="M1825" s="315"/>
      <c r="N1825" s="315"/>
      <c r="O1825" s="315"/>
      <c r="P1825" s="315"/>
      <c r="Q1825" s="315"/>
      <c r="R1825" s="315"/>
      <c r="S1825" s="315"/>
    </row>
    <row r="1826" spans="1:19" s="31" customFormat="1" ht="87.5">
      <c r="A1826" s="118" t="s">
        <v>2111</v>
      </c>
      <c r="B1826" s="122" t="s">
        <v>2122</v>
      </c>
      <c r="C1826" s="105" t="s">
        <v>1293</v>
      </c>
      <c r="D1826" s="105" t="s">
        <v>2039</v>
      </c>
      <c r="E1826" s="118" t="s">
        <v>2118</v>
      </c>
      <c r="F1826" s="122" t="s">
        <v>2036</v>
      </c>
      <c r="G1826" s="122" t="s">
        <v>2122</v>
      </c>
      <c r="H1826" s="105" t="s">
        <v>1293</v>
      </c>
      <c r="I1826" s="105"/>
      <c r="J1826" s="105" t="s">
        <v>2037</v>
      </c>
      <c r="K1826" s="157"/>
      <c r="L1826" s="315"/>
      <c r="M1826" s="315"/>
      <c r="N1826" s="315"/>
      <c r="O1826" s="315"/>
      <c r="P1826" s="315"/>
      <c r="Q1826" s="315"/>
      <c r="R1826" s="315"/>
      <c r="S1826" s="315"/>
    </row>
    <row r="1827" spans="1:19" s="31" customFormat="1" ht="87.5">
      <c r="A1827" s="118" t="s">
        <v>2111</v>
      </c>
      <c r="B1827" s="122" t="s">
        <v>2123</v>
      </c>
      <c r="C1827" s="105" t="s">
        <v>1327</v>
      </c>
      <c r="D1827" s="105" t="s">
        <v>2039</v>
      </c>
      <c r="E1827" s="118" t="s">
        <v>2118</v>
      </c>
      <c r="F1827" s="122" t="s">
        <v>2036</v>
      </c>
      <c r="G1827" s="122" t="s">
        <v>2123</v>
      </c>
      <c r="H1827" s="105" t="s">
        <v>1327</v>
      </c>
      <c r="I1827" s="105"/>
      <c r="J1827" s="105" t="s">
        <v>2037</v>
      </c>
      <c r="K1827" s="157"/>
      <c r="L1827" s="315"/>
      <c r="M1827" s="315"/>
      <c r="N1827" s="315"/>
      <c r="O1827" s="315"/>
      <c r="P1827" s="315"/>
      <c r="Q1827" s="315"/>
      <c r="R1827" s="315"/>
      <c r="S1827" s="315"/>
    </row>
    <row r="1828" spans="1:19" s="33" customFormat="1">
      <c r="A1828" s="159"/>
      <c r="B1828" s="159"/>
      <c r="C1828" s="159"/>
      <c r="D1828" s="159"/>
      <c r="E1828" s="159"/>
      <c r="F1828" s="159"/>
      <c r="G1828" s="159"/>
      <c r="H1828" s="159"/>
      <c r="I1828" s="159"/>
      <c r="J1828" s="159"/>
      <c r="K1828" s="159"/>
    </row>
    <row r="1829" spans="1:19" s="33" customFormat="1">
      <c r="A1829" s="159"/>
      <c r="B1829" s="159"/>
      <c r="C1829" s="159"/>
      <c r="D1829" s="159"/>
      <c r="E1829" s="159"/>
      <c r="F1829" s="159"/>
      <c r="G1829" s="159"/>
      <c r="H1829" s="159"/>
      <c r="I1829" s="159"/>
      <c r="J1829" s="159"/>
      <c r="K1829" s="159"/>
    </row>
    <row r="1830" spans="1:19" s="33" customFormat="1">
      <c r="A1830" s="159"/>
      <c r="B1830" s="159"/>
      <c r="C1830" s="159"/>
      <c r="D1830" s="159"/>
      <c r="E1830" s="159"/>
      <c r="F1830" s="159"/>
      <c r="G1830" s="159"/>
      <c r="H1830" s="159"/>
      <c r="I1830" s="159"/>
      <c r="J1830" s="159"/>
      <c r="K1830" s="159"/>
    </row>
    <row r="1831" spans="1:19" s="31" customFormat="1" ht="13">
      <c r="A1831" s="518" t="s">
        <v>2124</v>
      </c>
      <c r="B1831" s="518"/>
      <c r="C1831" s="518"/>
      <c r="D1831" s="518"/>
      <c r="E1831" s="518"/>
      <c r="F1831" s="518"/>
      <c r="G1831" s="518"/>
      <c r="H1831" s="518"/>
      <c r="I1831" s="518"/>
      <c r="J1831" s="518"/>
      <c r="K1831" s="157"/>
      <c r="L1831" s="315"/>
      <c r="M1831" s="315"/>
      <c r="N1831" s="315"/>
      <c r="O1831" s="315"/>
      <c r="P1831" s="315"/>
      <c r="Q1831" s="315"/>
      <c r="R1831" s="315"/>
      <c r="S1831" s="315"/>
    </row>
    <row r="1832" spans="1:19" s="31" customFormat="1">
      <c r="A1832" s="113"/>
      <c r="B1832" s="113"/>
      <c r="C1832" s="113"/>
      <c r="D1832" s="113"/>
      <c r="E1832" s="113"/>
      <c r="F1832" s="157"/>
      <c r="G1832" s="157"/>
      <c r="H1832" s="157"/>
      <c r="I1832" s="157"/>
      <c r="J1832" s="157"/>
      <c r="K1832" s="157"/>
      <c r="L1832" s="315"/>
      <c r="M1832" s="315"/>
      <c r="N1832" s="315"/>
      <c r="O1832" s="315"/>
      <c r="P1832" s="315"/>
      <c r="Q1832" s="315"/>
      <c r="R1832" s="315"/>
      <c r="S1832" s="315"/>
    </row>
    <row r="1833" spans="1:19" s="31" customFormat="1">
      <c r="A1833" s="113"/>
      <c r="B1833" s="113"/>
      <c r="C1833" s="113"/>
      <c r="D1833" s="113"/>
      <c r="E1833" s="113"/>
      <c r="F1833" s="157"/>
      <c r="G1833" s="157"/>
      <c r="H1833" s="157"/>
      <c r="I1833" s="157"/>
      <c r="J1833" s="157"/>
      <c r="K1833" s="157"/>
      <c r="L1833" s="315"/>
      <c r="M1833" s="315"/>
      <c r="N1833" s="315"/>
      <c r="O1833" s="315"/>
      <c r="P1833" s="315"/>
      <c r="Q1833" s="315"/>
      <c r="R1833" s="315"/>
      <c r="S1833" s="315"/>
    </row>
    <row r="1834" spans="1:19" s="31" customFormat="1" ht="13">
      <c r="A1834" s="185" t="s">
        <v>73</v>
      </c>
      <c r="B1834" s="185" t="s">
        <v>74</v>
      </c>
      <c r="C1834" s="185" t="s">
        <v>75</v>
      </c>
      <c r="D1834" s="185" t="s">
        <v>76</v>
      </c>
      <c r="E1834" s="321" t="s">
        <v>77</v>
      </c>
      <c r="F1834" s="186" t="s">
        <v>78</v>
      </c>
      <c r="G1834" s="186" t="s">
        <v>79</v>
      </c>
      <c r="H1834" s="186" t="s">
        <v>80</v>
      </c>
      <c r="I1834" s="186" t="s">
        <v>683</v>
      </c>
      <c r="J1834" s="322" t="s">
        <v>260</v>
      </c>
      <c r="K1834" s="186" t="s">
        <v>261</v>
      </c>
      <c r="L1834" s="315"/>
      <c r="M1834" s="315"/>
      <c r="N1834" s="315"/>
      <c r="O1834" s="315"/>
      <c r="P1834" s="315"/>
      <c r="Q1834" s="315"/>
      <c r="R1834" s="315"/>
      <c r="S1834" s="315"/>
    </row>
    <row r="1835" spans="1:19" s="31" customFormat="1" ht="37.5">
      <c r="A1835" s="172" t="s">
        <v>2036</v>
      </c>
      <c r="B1835" s="141" t="s">
        <v>87</v>
      </c>
      <c r="C1835" s="172"/>
      <c r="D1835" s="141" t="s">
        <v>93</v>
      </c>
      <c r="E1835" s="120" t="s">
        <v>909</v>
      </c>
      <c r="F1835" s="187" t="s">
        <v>2125</v>
      </c>
      <c r="G1835" s="141" t="s">
        <v>911</v>
      </c>
      <c r="H1835" s="141" t="s">
        <v>379</v>
      </c>
      <c r="I1835" s="141" t="str">
        <f>UPPER(SUBSTITUTE(G1835,"_"," "))</f>
        <v>RPT DT</v>
      </c>
      <c r="J1835" s="304"/>
      <c r="K1835" s="141" t="s">
        <v>2126</v>
      </c>
      <c r="L1835" s="33"/>
      <c r="M1835" s="33"/>
      <c r="N1835" s="33"/>
      <c r="O1835" s="33"/>
      <c r="P1835" s="33"/>
      <c r="Q1835" s="33"/>
      <c r="R1835" s="33"/>
      <c r="S1835" s="33"/>
    </row>
    <row r="1836" spans="1:19" s="31" customFormat="1" ht="37.5">
      <c r="A1836" s="172" t="s">
        <v>2036</v>
      </c>
      <c r="B1836" s="141" t="s">
        <v>95</v>
      </c>
      <c r="C1836" s="193"/>
      <c r="D1836" s="141" t="s">
        <v>93</v>
      </c>
      <c r="E1836" s="120"/>
      <c r="F1836" s="187" t="s">
        <v>2125</v>
      </c>
      <c r="G1836" s="142" t="s">
        <v>312</v>
      </c>
      <c r="H1836" s="141" t="s">
        <v>1292</v>
      </c>
      <c r="I1836" s="141" t="str">
        <f t="shared" ref="I1836:I1867" si="1">UPPER(SUBSTITUTE(G1836,"_"," "))</f>
        <v>SUB SUBSCRIPTION CD</v>
      </c>
      <c r="J1836" s="304"/>
      <c r="K1836" s="141" t="s">
        <v>2126</v>
      </c>
      <c r="L1836" s="315"/>
      <c r="M1836" s="315"/>
      <c r="N1836" s="315"/>
      <c r="O1836" s="315"/>
      <c r="P1836" s="315"/>
      <c r="Q1836" s="315"/>
      <c r="R1836" s="315"/>
      <c r="S1836" s="315"/>
    </row>
    <row r="1837" spans="1:19" s="478" customFormat="1" ht="37.5">
      <c r="A1837" s="161" t="s">
        <v>2036</v>
      </c>
      <c r="B1837" s="181" t="s">
        <v>92</v>
      </c>
      <c r="C1837" s="212"/>
      <c r="D1837" s="181" t="s">
        <v>93</v>
      </c>
      <c r="E1837" s="137"/>
      <c r="F1837" s="189" t="s">
        <v>2125</v>
      </c>
      <c r="G1837" s="208" t="s">
        <v>310</v>
      </c>
      <c r="H1837" s="181" t="s">
        <v>1292</v>
      </c>
      <c r="I1837" s="181" t="str">
        <f t="shared" si="1"/>
        <v>CUS CUSTOMER CD</v>
      </c>
      <c r="J1837" s="479"/>
      <c r="K1837" s="181" t="s">
        <v>2126</v>
      </c>
      <c r="L1837" s="315"/>
      <c r="M1837" s="315"/>
      <c r="N1837" s="315"/>
      <c r="O1837" s="315"/>
      <c r="P1837" s="315"/>
      <c r="Q1837" s="315"/>
      <c r="R1837" s="315"/>
      <c r="S1837" s="315"/>
    </row>
    <row r="1838" spans="1:19" s="478" customFormat="1" ht="37.5">
      <c r="A1838" s="161" t="s">
        <v>2036</v>
      </c>
      <c r="B1838" s="181" t="s">
        <v>1168</v>
      </c>
      <c r="C1838" s="212"/>
      <c r="D1838" s="181" t="s">
        <v>93</v>
      </c>
      <c r="E1838" s="137"/>
      <c r="F1838" s="189" t="s">
        <v>2125</v>
      </c>
      <c r="G1838" s="181" t="s">
        <v>1168</v>
      </c>
      <c r="H1838" s="181" t="s">
        <v>1292</v>
      </c>
      <c r="I1838" s="181" t="str">
        <f t="shared" si="1"/>
        <v>CUS SEGMENT EXT CD</v>
      </c>
      <c r="J1838" s="479"/>
      <c r="K1838" s="181" t="s">
        <v>2126</v>
      </c>
      <c r="L1838" s="315"/>
      <c r="M1838" s="315"/>
      <c r="N1838" s="315"/>
      <c r="O1838" s="315"/>
      <c r="P1838" s="315"/>
      <c r="Q1838" s="315"/>
      <c r="R1838" s="315"/>
      <c r="S1838" s="315"/>
    </row>
    <row r="1839" spans="1:19" s="478" customFormat="1" ht="37.5">
      <c r="A1839" s="161" t="s">
        <v>2036</v>
      </c>
      <c r="B1839" s="181" t="s">
        <v>170</v>
      </c>
      <c r="C1839" s="212"/>
      <c r="D1839" s="181" t="s">
        <v>93</v>
      </c>
      <c r="E1839" s="137"/>
      <c r="F1839" s="189" t="s">
        <v>2125</v>
      </c>
      <c r="G1839" s="181" t="s">
        <v>170</v>
      </c>
      <c r="H1839" s="181" t="s">
        <v>1292</v>
      </c>
      <c r="I1839" s="181" t="str">
        <f t="shared" si="1"/>
        <v>TRANSACTION TYPE</v>
      </c>
      <c r="J1839" s="479"/>
      <c r="K1839" s="181" t="s">
        <v>2126</v>
      </c>
      <c r="L1839" s="315"/>
      <c r="M1839" s="315"/>
      <c r="N1839" s="315"/>
      <c r="O1839" s="315"/>
      <c r="P1839" s="315"/>
      <c r="Q1839" s="315"/>
      <c r="R1839" s="315"/>
      <c r="S1839" s="315"/>
    </row>
    <row r="1840" spans="1:19" s="478" customFormat="1" ht="37.5">
      <c r="A1840" s="161" t="s">
        <v>2036</v>
      </c>
      <c r="B1840" s="181" t="s">
        <v>1131</v>
      </c>
      <c r="C1840" s="212"/>
      <c r="D1840" s="181" t="s">
        <v>93</v>
      </c>
      <c r="E1840" s="137"/>
      <c r="F1840" s="189" t="s">
        <v>2125</v>
      </c>
      <c r="G1840" s="181" t="s">
        <v>1131</v>
      </c>
      <c r="H1840" s="181" t="s">
        <v>1292</v>
      </c>
      <c r="I1840" s="181" t="str">
        <f t="shared" si="1"/>
        <v>PRICEPLAN DESC</v>
      </c>
      <c r="J1840" s="479"/>
      <c r="K1840" s="181" t="s">
        <v>2126</v>
      </c>
      <c r="L1840" s="315"/>
      <c r="M1840" s="315"/>
      <c r="N1840" s="315"/>
      <c r="O1840" s="315"/>
      <c r="P1840" s="315"/>
      <c r="Q1840" s="315"/>
      <c r="R1840" s="315"/>
      <c r="S1840" s="315"/>
    </row>
    <row r="1841" spans="1:19" s="478" customFormat="1" ht="37.5">
      <c r="A1841" s="161" t="s">
        <v>2036</v>
      </c>
      <c r="B1841" s="480" t="s">
        <v>1134</v>
      </c>
      <c r="C1841" s="212"/>
      <c r="D1841" s="181" t="s">
        <v>93</v>
      </c>
      <c r="E1841" s="137"/>
      <c r="F1841" s="189" t="s">
        <v>2125</v>
      </c>
      <c r="G1841" s="480" t="s">
        <v>1134</v>
      </c>
      <c r="H1841" s="181" t="s">
        <v>1292</v>
      </c>
      <c r="I1841" s="181" t="str">
        <f t="shared" si="1"/>
        <v>SIMO DEVICE IND</v>
      </c>
      <c r="J1841" s="479"/>
      <c r="K1841" s="181" t="s">
        <v>2126</v>
      </c>
      <c r="L1841" s="315"/>
      <c r="M1841" s="315"/>
      <c r="N1841" s="315"/>
      <c r="O1841" s="315"/>
      <c r="P1841" s="315"/>
      <c r="Q1841" s="315"/>
      <c r="R1841" s="315"/>
      <c r="S1841" s="315"/>
    </row>
    <row r="1842" spans="1:19" s="478" customFormat="1" ht="37.5">
      <c r="A1842" s="161" t="s">
        <v>2036</v>
      </c>
      <c r="B1842" s="181" t="s">
        <v>116</v>
      </c>
      <c r="C1842" s="212"/>
      <c r="D1842" s="181" t="s">
        <v>93</v>
      </c>
      <c r="E1842" s="137"/>
      <c r="F1842" s="189" t="s">
        <v>2125</v>
      </c>
      <c r="G1842" s="181" t="s">
        <v>116</v>
      </c>
      <c r="H1842" s="181" t="s">
        <v>1292</v>
      </c>
      <c r="I1842" s="181" t="str">
        <f t="shared" si="1"/>
        <v>CHNL LEVEL 2</v>
      </c>
      <c r="J1842" s="479"/>
      <c r="K1842" s="181" t="s">
        <v>2126</v>
      </c>
      <c r="L1842" s="315"/>
      <c r="M1842" s="315"/>
      <c r="N1842" s="315"/>
      <c r="O1842" s="315"/>
      <c r="P1842" s="315"/>
      <c r="Q1842" s="315"/>
      <c r="R1842" s="315"/>
      <c r="S1842" s="315"/>
    </row>
    <row r="1843" spans="1:19" s="478" customFormat="1" ht="37.5">
      <c r="A1843" s="161" t="s">
        <v>2036</v>
      </c>
      <c r="B1843" s="181" t="s">
        <v>1123</v>
      </c>
      <c r="C1843" s="212"/>
      <c r="D1843" s="181" t="s">
        <v>93</v>
      </c>
      <c r="E1843" s="137"/>
      <c r="F1843" s="189" t="s">
        <v>2125</v>
      </c>
      <c r="G1843" s="181" t="s">
        <v>1123</v>
      </c>
      <c r="H1843" s="181" t="s">
        <v>1292</v>
      </c>
      <c r="I1843" s="181" t="str">
        <f t="shared" si="1"/>
        <v>DLR DEALER SRC CD</v>
      </c>
      <c r="J1843" s="479"/>
      <c r="K1843" s="181" t="s">
        <v>2126</v>
      </c>
      <c r="L1843" s="315"/>
      <c r="M1843" s="315"/>
      <c r="N1843" s="315"/>
      <c r="O1843" s="315"/>
      <c r="P1843" s="315"/>
      <c r="Q1843" s="315"/>
      <c r="R1843" s="315"/>
      <c r="S1843" s="315"/>
    </row>
    <row r="1844" spans="1:19" s="31" customFormat="1" ht="37.5">
      <c r="A1844" s="172"/>
      <c r="B1844" s="141"/>
      <c r="C1844" s="193"/>
      <c r="D1844" s="141" t="s">
        <v>279</v>
      </c>
      <c r="E1844" s="381" t="s">
        <v>2127</v>
      </c>
      <c r="F1844" s="187" t="s">
        <v>2125</v>
      </c>
      <c r="G1844" s="142" t="s">
        <v>271</v>
      </c>
      <c r="H1844" s="141" t="s">
        <v>1292</v>
      </c>
      <c r="I1844" s="141" t="str">
        <f t="shared" si="1"/>
        <v>SUB BILL TYPE EXT CD</v>
      </c>
      <c r="J1844" s="304"/>
      <c r="K1844" s="141" t="s">
        <v>2126</v>
      </c>
      <c r="L1844" s="315"/>
      <c r="M1844" s="315"/>
      <c r="N1844" s="315"/>
      <c r="O1844" s="315"/>
      <c r="P1844" s="315"/>
      <c r="Q1844" s="315"/>
      <c r="R1844" s="315"/>
      <c r="S1844" s="315"/>
    </row>
    <row r="1845" spans="1:19" s="315" customFormat="1" ht="37.5">
      <c r="A1845" s="120" t="s">
        <v>2036</v>
      </c>
      <c r="B1845" s="122" t="s">
        <v>2102</v>
      </c>
      <c r="C1845" s="17"/>
      <c r="D1845" s="17" t="s">
        <v>263</v>
      </c>
      <c r="E1845" s="122" t="s">
        <v>2128</v>
      </c>
      <c r="F1845" s="187" t="s">
        <v>2125</v>
      </c>
      <c r="G1845" s="122" t="s">
        <v>2129</v>
      </c>
      <c r="H1845" s="141" t="s">
        <v>1292</v>
      </c>
      <c r="I1845" s="141" t="str">
        <f t="shared" si="1"/>
        <v>TOP TRIGGER FEATURE 1</v>
      </c>
      <c r="J1845" s="17"/>
      <c r="K1845" s="141" t="s">
        <v>2126</v>
      </c>
    </row>
    <row r="1846" spans="1:19" s="315" customFormat="1" ht="37.5">
      <c r="A1846" s="120" t="s">
        <v>2036</v>
      </c>
      <c r="B1846" s="122"/>
      <c r="C1846" s="17"/>
      <c r="D1846" s="17" t="s">
        <v>263</v>
      </c>
      <c r="E1846" s="122" t="s">
        <v>2130</v>
      </c>
      <c r="F1846" s="187" t="s">
        <v>2125</v>
      </c>
      <c r="G1846" s="122" t="s">
        <v>2131</v>
      </c>
      <c r="H1846" s="141" t="s">
        <v>1292</v>
      </c>
      <c r="I1846" s="141" t="str">
        <f t="shared" si="1"/>
        <v>TOP TRIGGER FEATURE 2</v>
      </c>
      <c r="J1846" s="17"/>
      <c r="K1846" s="141" t="s">
        <v>2126</v>
      </c>
    </row>
    <row r="1847" spans="1:19" s="315" customFormat="1" ht="37.5">
      <c r="A1847" s="120" t="s">
        <v>2036</v>
      </c>
      <c r="B1847" s="122" t="s">
        <v>2104</v>
      </c>
      <c r="C1847" s="17"/>
      <c r="D1847" s="17" t="s">
        <v>263</v>
      </c>
      <c r="E1847" s="122" t="s">
        <v>2132</v>
      </c>
      <c r="F1847" s="187" t="s">
        <v>2125</v>
      </c>
      <c r="G1847" s="122" t="s">
        <v>2133</v>
      </c>
      <c r="H1847" s="141" t="s">
        <v>1292</v>
      </c>
      <c r="I1847" s="141" t="str">
        <f t="shared" si="1"/>
        <v>TOP TRIGGER FEATURE 3</v>
      </c>
      <c r="J1847" s="17"/>
      <c r="K1847" s="141" t="s">
        <v>2126</v>
      </c>
    </row>
    <row r="1848" spans="1:19" s="315" customFormat="1" ht="37.5">
      <c r="A1848" s="120" t="s">
        <v>2036</v>
      </c>
      <c r="B1848" s="122" t="s">
        <v>2105</v>
      </c>
      <c r="C1848" s="17"/>
      <c r="D1848" s="17" t="s">
        <v>263</v>
      </c>
      <c r="E1848" s="122" t="s">
        <v>2134</v>
      </c>
      <c r="F1848" s="187" t="s">
        <v>2125</v>
      </c>
      <c r="G1848" s="122" t="s">
        <v>2135</v>
      </c>
      <c r="H1848" s="141" t="s">
        <v>1292</v>
      </c>
      <c r="I1848" s="141" t="str">
        <f t="shared" si="1"/>
        <v>TOP TRIGGER FEATURE 4</v>
      </c>
      <c r="J1848" s="17"/>
      <c r="K1848" s="141" t="s">
        <v>2126</v>
      </c>
    </row>
    <row r="1849" spans="1:19" s="315" customFormat="1" ht="37.5">
      <c r="A1849" s="120" t="s">
        <v>2036</v>
      </c>
      <c r="B1849" s="122" t="s">
        <v>2106</v>
      </c>
      <c r="C1849" s="17"/>
      <c r="D1849" s="17" t="s">
        <v>263</v>
      </c>
      <c r="E1849" s="122" t="s">
        <v>2136</v>
      </c>
      <c r="F1849" s="187" t="s">
        <v>2125</v>
      </c>
      <c r="G1849" s="122" t="s">
        <v>2137</v>
      </c>
      <c r="H1849" s="141" t="s">
        <v>1292</v>
      </c>
      <c r="I1849" s="141" t="str">
        <f t="shared" si="1"/>
        <v>TOP TRIGGER FEATURE 5</v>
      </c>
      <c r="J1849" s="17"/>
      <c r="K1849" s="141" t="s">
        <v>2126</v>
      </c>
    </row>
    <row r="1850" spans="1:19" s="315" customFormat="1" ht="75" customHeight="1">
      <c r="A1850" s="120" t="s">
        <v>2036</v>
      </c>
      <c r="B1850" s="122" t="s">
        <v>2108</v>
      </c>
      <c r="C1850" s="17"/>
      <c r="D1850" s="17"/>
      <c r="E1850" s="122"/>
      <c r="F1850" s="187" t="s">
        <v>2125</v>
      </c>
      <c r="G1850" s="122" t="s">
        <v>2138</v>
      </c>
      <c r="H1850" s="141" t="s">
        <v>1292</v>
      </c>
      <c r="I1850" s="141" t="str">
        <f t="shared" si="1"/>
        <v>TT FEATURES EXP</v>
      </c>
      <c r="J1850" s="17"/>
      <c r="K1850" s="141" t="s">
        <v>2126</v>
      </c>
    </row>
    <row r="1851" spans="1:19" s="315" customFormat="1" ht="37.5">
      <c r="A1851" s="120" t="s">
        <v>2036</v>
      </c>
      <c r="B1851" s="122" t="s">
        <v>2109</v>
      </c>
      <c r="C1851" s="17"/>
      <c r="D1851" s="17" t="s">
        <v>263</v>
      </c>
      <c r="E1851" s="122" t="s">
        <v>2139</v>
      </c>
      <c r="F1851" s="187" t="s">
        <v>2125</v>
      </c>
      <c r="G1851" s="122" t="s">
        <v>2140</v>
      </c>
      <c r="H1851" s="141" t="s">
        <v>1292</v>
      </c>
      <c r="I1851" s="141" t="str">
        <f t="shared" si="1"/>
        <v>TTF1 TYPE</v>
      </c>
      <c r="J1851" s="17"/>
      <c r="K1851" s="141" t="s">
        <v>2126</v>
      </c>
    </row>
    <row r="1852" spans="1:19" s="315" customFormat="1" ht="50">
      <c r="A1852" s="120" t="s">
        <v>2036</v>
      </c>
      <c r="B1852" s="122" t="s">
        <v>2110</v>
      </c>
      <c r="C1852" s="17"/>
      <c r="D1852" s="17" t="s">
        <v>263</v>
      </c>
      <c r="E1852" s="118" t="s">
        <v>2141</v>
      </c>
      <c r="F1852" s="187" t="s">
        <v>2125</v>
      </c>
      <c r="G1852" s="122" t="s">
        <v>2142</v>
      </c>
      <c r="H1852" s="141" t="s">
        <v>1292</v>
      </c>
      <c r="I1852" s="141" t="str">
        <f t="shared" si="1"/>
        <v>TTF2 TYPE</v>
      </c>
      <c r="J1852" s="17"/>
      <c r="K1852" s="141" t="s">
        <v>2126</v>
      </c>
    </row>
    <row r="1853" spans="1:19" customFormat="1" ht="37.5">
      <c r="A1853" s="120" t="s">
        <v>2036</v>
      </c>
      <c r="B1853" s="122" t="s">
        <v>2076</v>
      </c>
      <c r="C1853" s="105" t="s">
        <v>1292</v>
      </c>
      <c r="D1853" s="172" t="s">
        <v>93</v>
      </c>
      <c r="E1853" s="122"/>
      <c r="F1853" s="187" t="s">
        <v>2125</v>
      </c>
      <c r="G1853" s="122" t="s">
        <v>2143</v>
      </c>
      <c r="H1853" s="141" t="s">
        <v>1292</v>
      </c>
      <c r="I1853" s="141" t="str">
        <f t="shared" si="1"/>
        <v>PRICEPLAN CHANGE</v>
      </c>
      <c r="J1853" s="17"/>
      <c r="K1853" s="141" t="s">
        <v>2126</v>
      </c>
    </row>
    <row r="1854" spans="1:19" customFormat="1" ht="37.5">
      <c r="A1854" s="120" t="s">
        <v>2036</v>
      </c>
      <c r="B1854" s="122" t="s">
        <v>2078</v>
      </c>
      <c r="C1854" s="105" t="s">
        <v>1292</v>
      </c>
      <c r="D1854" s="172" t="s">
        <v>93</v>
      </c>
      <c r="E1854" s="122"/>
      <c r="F1854" s="187" t="s">
        <v>2125</v>
      </c>
      <c r="G1854" s="122" t="s">
        <v>2144</v>
      </c>
      <c r="H1854" s="141" t="s">
        <v>1292</v>
      </c>
      <c r="I1854" s="141" t="str">
        <f t="shared" si="1"/>
        <v>PRICEPLAN CHANGE GRP</v>
      </c>
      <c r="J1854" s="17"/>
      <c r="K1854" s="141" t="s">
        <v>2126</v>
      </c>
    </row>
    <row r="1855" spans="1:19" customFormat="1" ht="37.5">
      <c r="A1855" s="120" t="s">
        <v>2036</v>
      </c>
      <c r="B1855" s="122" t="s">
        <v>2079</v>
      </c>
      <c r="C1855" s="105" t="s">
        <v>1292</v>
      </c>
      <c r="D1855" s="172" t="s">
        <v>93</v>
      </c>
      <c r="E1855" s="122"/>
      <c r="F1855" s="187" t="s">
        <v>2125</v>
      </c>
      <c r="G1855" s="122" t="s">
        <v>2145</v>
      </c>
      <c r="H1855" s="141" t="s">
        <v>1292</v>
      </c>
      <c r="I1855" s="141" t="str">
        <f t="shared" si="1"/>
        <v>TRANSACTION TYPE CHANGE</v>
      </c>
      <c r="J1855" s="17"/>
      <c r="K1855" s="141" t="s">
        <v>2126</v>
      </c>
    </row>
    <row r="1856" spans="1:19" customFormat="1" ht="37.5">
      <c r="A1856" s="120" t="s">
        <v>2036</v>
      </c>
      <c r="B1856" s="122" t="s">
        <v>2080</v>
      </c>
      <c r="C1856" s="105" t="s">
        <v>1292</v>
      </c>
      <c r="D1856" s="172" t="s">
        <v>93</v>
      </c>
      <c r="E1856" s="122"/>
      <c r="F1856" s="187" t="s">
        <v>2125</v>
      </c>
      <c r="G1856" s="122" t="s">
        <v>2146</v>
      </c>
      <c r="H1856" s="141" t="s">
        <v>1292</v>
      </c>
      <c r="I1856" s="141" t="str">
        <f t="shared" si="1"/>
        <v>SUBS DIFF</v>
      </c>
      <c r="J1856" s="17"/>
      <c r="K1856" s="141" t="s">
        <v>2126</v>
      </c>
    </row>
    <row r="1857" spans="1:19" customFormat="1" ht="37.5">
      <c r="A1857" s="120" t="s">
        <v>2036</v>
      </c>
      <c r="B1857" s="122" t="s">
        <v>2114</v>
      </c>
      <c r="C1857" s="105" t="s">
        <v>1292</v>
      </c>
      <c r="D1857" s="172" t="s">
        <v>93</v>
      </c>
      <c r="E1857" s="122"/>
      <c r="F1857" s="187" t="s">
        <v>2125</v>
      </c>
      <c r="G1857" s="122" t="s">
        <v>2147</v>
      </c>
      <c r="H1857" s="141" t="s">
        <v>1292</v>
      </c>
      <c r="I1857" s="141" t="str">
        <f t="shared" si="1"/>
        <v>CUS SEGMENT EXT CD GRP</v>
      </c>
      <c r="J1857" s="17"/>
      <c r="K1857" s="141" t="s">
        <v>2126</v>
      </c>
    </row>
    <row r="1858" spans="1:19" s="31" customFormat="1" ht="37.5">
      <c r="A1858" s="120" t="s">
        <v>2036</v>
      </c>
      <c r="B1858" s="141" t="s">
        <v>2070</v>
      </c>
      <c r="C1858" s="193"/>
      <c r="D1858" s="141" t="s">
        <v>93</v>
      </c>
      <c r="E1858" s="120"/>
      <c r="F1858" s="187" t="s">
        <v>2125</v>
      </c>
      <c r="G1858" s="141" t="s">
        <v>2148</v>
      </c>
      <c r="H1858" s="141" t="s">
        <v>1327</v>
      </c>
      <c r="I1858" s="141" t="str">
        <f t="shared" si="1"/>
        <v>PROFITABILITY ANOMALY AA CPAM Q</v>
      </c>
      <c r="J1858" s="304"/>
      <c r="K1858" s="141" t="s">
        <v>2126</v>
      </c>
      <c r="L1858" s="315"/>
      <c r="M1858"/>
      <c r="N1858" s="315"/>
      <c r="O1858" s="315"/>
      <c r="P1858" s="315"/>
      <c r="Q1858" s="315"/>
      <c r="R1858" s="315"/>
      <c r="S1858" s="315"/>
    </row>
    <row r="1859" spans="1:19" s="31" customFormat="1" ht="37.5">
      <c r="A1859" s="172" t="s">
        <v>2036</v>
      </c>
      <c r="B1859" s="141" t="s">
        <v>2098</v>
      </c>
      <c r="C1859" s="193"/>
      <c r="D1859" s="141" t="s">
        <v>93</v>
      </c>
      <c r="E1859" s="120"/>
      <c r="F1859" s="187" t="s">
        <v>2125</v>
      </c>
      <c r="G1859" s="187" t="s">
        <v>2149</v>
      </c>
      <c r="H1859" s="141" t="s">
        <v>1327</v>
      </c>
      <c r="I1859" s="141" t="str">
        <f t="shared" si="1"/>
        <v>AIRTIME MARGIN CURR VS PREV AA CPAM Q</v>
      </c>
      <c r="J1859" s="304"/>
      <c r="K1859" s="141" t="s">
        <v>2126</v>
      </c>
      <c r="L1859" s="315"/>
      <c r="M1859"/>
      <c r="N1859" s="315"/>
      <c r="O1859" s="315"/>
      <c r="P1859" s="315"/>
      <c r="Q1859" s="315"/>
      <c r="R1859" s="315"/>
      <c r="S1859" s="315"/>
    </row>
    <row r="1860" spans="1:19" s="31" customFormat="1" ht="37.5">
      <c r="A1860" s="172" t="s">
        <v>2036</v>
      </c>
      <c r="B1860" s="141" t="s">
        <v>2101</v>
      </c>
      <c r="C1860" s="122"/>
      <c r="D1860" s="141" t="s">
        <v>93</v>
      </c>
      <c r="E1860" s="123"/>
      <c r="F1860" s="187" t="s">
        <v>2125</v>
      </c>
      <c r="G1860" s="141" t="s">
        <v>2150</v>
      </c>
      <c r="H1860" s="141" t="s">
        <v>1327</v>
      </c>
      <c r="I1860" s="141" t="str">
        <f t="shared" si="1"/>
        <v>KPI AR EST TOTAL CST DIFF AA CPAM Q</v>
      </c>
      <c r="J1860" s="304"/>
      <c r="K1860" s="141" t="s">
        <v>2126</v>
      </c>
      <c r="L1860" s="315"/>
      <c r="M1860"/>
      <c r="N1860" s="315"/>
      <c r="O1860" s="315"/>
      <c r="P1860" s="315"/>
      <c r="Q1860" s="315"/>
      <c r="R1860" s="315"/>
      <c r="S1860" s="315"/>
    </row>
    <row r="1861" spans="1:19" s="31" customFormat="1" ht="37.5">
      <c r="A1861" s="120" t="s">
        <v>2036</v>
      </c>
      <c r="B1861" s="142" t="s">
        <v>2072</v>
      </c>
      <c r="C1861" s="122"/>
      <c r="D1861" s="141" t="s">
        <v>93</v>
      </c>
      <c r="E1861" s="119"/>
      <c r="F1861" s="187" t="s">
        <v>2125</v>
      </c>
      <c r="G1861" s="141" t="s">
        <v>2151</v>
      </c>
      <c r="H1861" s="141" t="s">
        <v>1327</v>
      </c>
      <c r="I1861" s="141" t="str">
        <f t="shared" si="1"/>
        <v>TOTAL REVENUE AA CPAM Q</v>
      </c>
      <c r="J1861" s="304"/>
      <c r="K1861" s="141" t="s">
        <v>2126</v>
      </c>
      <c r="L1861" s="315"/>
      <c r="M1861"/>
      <c r="N1861" s="315"/>
      <c r="O1861" s="315"/>
      <c r="P1861" s="315"/>
      <c r="Q1861" s="315"/>
      <c r="R1861" s="315"/>
      <c r="S1861" s="315"/>
    </row>
    <row r="1862" spans="1:19" s="31" customFormat="1" ht="37.5">
      <c r="A1862" s="172" t="s">
        <v>2036</v>
      </c>
      <c r="B1862" s="142" t="s">
        <v>2074</v>
      </c>
      <c r="C1862" s="122"/>
      <c r="D1862" s="141" t="s">
        <v>93</v>
      </c>
      <c r="E1862" s="120"/>
      <c r="F1862" s="187" t="s">
        <v>2125</v>
      </c>
      <c r="G1862" s="141" t="s">
        <v>2152</v>
      </c>
      <c r="H1862" s="141" t="s">
        <v>1327</v>
      </c>
      <c r="I1862" s="141" t="str">
        <f t="shared" si="1"/>
        <v>TOTAL COST AA CPAM Q</v>
      </c>
      <c r="J1862" s="304"/>
      <c r="K1862" s="141" t="s">
        <v>2126</v>
      </c>
      <c r="L1862" s="315"/>
      <c r="M1862"/>
      <c r="N1862" s="315"/>
      <c r="O1862" s="315"/>
      <c r="P1862" s="315"/>
      <c r="Q1862" s="315"/>
      <c r="R1862" s="315"/>
      <c r="S1862" s="315"/>
    </row>
    <row r="1863" spans="1:19" s="31" customFormat="1" ht="37.5">
      <c r="A1863" s="172" t="s">
        <v>2036</v>
      </c>
      <c r="B1863" s="141" t="s">
        <v>2070</v>
      </c>
      <c r="C1863" s="141" t="s">
        <v>1327</v>
      </c>
      <c r="D1863" s="141" t="s">
        <v>93</v>
      </c>
      <c r="E1863" s="120"/>
      <c r="F1863" s="187" t="s">
        <v>2125</v>
      </c>
      <c r="G1863" s="141" t="s">
        <v>2153</v>
      </c>
      <c r="H1863" s="141" t="s">
        <v>1327</v>
      </c>
      <c r="I1863" s="141" t="str">
        <f t="shared" si="1"/>
        <v>AIRTIME MARGIN AA CPAM Q</v>
      </c>
      <c r="J1863" s="304"/>
      <c r="K1863" s="141" t="s">
        <v>2126</v>
      </c>
      <c r="L1863" s="315"/>
      <c r="M1863"/>
      <c r="N1863" s="315"/>
      <c r="O1863" s="315"/>
      <c r="P1863" s="315"/>
      <c r="Q1863" s="315"/>
      <c r="R1863" s="315"/>
      <c r="S1863" s="315"/>
    </row>
    <row r="1864" spans="1:19" s="31" customFormat="1" ht="37.5">
      <c r="A1864" s="172" t="s">
        <v>2036</v>
      </c>
      <c r="B1864" s="142" t="s">
        <v>1666</v>
      </c>
      <c r="C1864" s="122"/>
      <c r="D1864" s="141" t="s">
        <v>93</v>
      </c>
      <c r="E1864" s="120"/>
      <c r="F1864" s="187" t="s">
        <v>2125</v>
      </c>
      <c r="G1864" s="141" t="s">
        <v>2154</v>
      </c>
      <c r="H1864" s="141" t="s">
        <v>1327</v>
      </c>
      <c r="I1864" s="141" t="str">
        <f t="shared" si="1"/>
        <v>CONTENT REV AA CPAM Q</v>
      </c>
      <c r="J1864" s="304"/>
      <c r="K1864" s="141" t="s">
        <v>2126</v>
      </c>
      <c r="L1864" s="315"/>
      <c r="M1864"/>
      <c r="N1864" s="315"/>
      <c r="O1864" s="315"/>
      <c r="P1864" s="315"/>
      <c r="Q1864" s="315"/>
      <c r="R1864" s="315"/>
      <c r="S1864" s="315"/>
    </row>
    <row r="1865" spans="1:19" s="31" customFormat="1" ht="37.5">
      <c r="A1865" s="172" t="s">
        <v>2036</v>
      </c>
      <c r="B1865" s="142" t="s">
        <v>1673</v>
      </c>
      <c r="C1865" s="122"/>
      <c r="D1865" s="141" t="s">
        <v>93</v>
      </c>
      <c r="E1865" s="120"/>
      <c r="F1865" s="187" t="s">
        <v>2125</v>
      </c>
      <c r="G1865" s="141" t="s">
        <v>2155</v>
      </c>
      <c r="H1865" s="141" t="s">
        <v>1327</v>
      </c>
      <c r="I1865" s="141" t="str">
        <f t="shared" si="1"/>
        <v>VAS REV AA CPAM Q</v>
      </c>
      <c r="J1865" s="304"/>
      <c r="K1865" s="141" t="s">
        <v>2126</v>
      </c>
      <c r="L1865" s="315"/>
      <c r="M1865"/>
      <c r="N1865" s="315"/>
      <c r="O1865" s="315"/>
      <c r="P1865" s="315"/>
      <c r="Q1865" s="315"/>
      <c r="R1865" s="315"/>
      <c r="S1865" s="315"/>
    </row>
    <row r="1866" spans="1:19" s="31" customFormat="1" ht="37.5">
      <c r="A1866" s="172" t="s">
        <v>2036</v>
      </c>
      <c r="B1866" s="142" t="s">
        <v>464</v>
      </c>
      <c r="C1866" s="122"/>
      <c r="D1866" s="141" t="s">
        <v>93</v>
      </c>
      <c r="E1866" s="120"/>
      <c r="F1866" s="187" t="s">
        <v>2125</v>
      </c>
      <c r="G1866" s="141" t="s">
        <v>2156</v>
      </c>
      <c r="H1866" s="141" t="s">
        <v>1327</v>
      </c>
      <c r="I1866" s="141" t="str">
        <f t="shared" si="1"/>
        <v>INSURANCE REV AA CPAM Q</v>
      </c>
      <c r="J1866" s="304"/>
      <c r="K1866" s="141" t="s">
        <v>2126</v>
      </c>
      <c r="L1866" s="315"/>
      <c r="M1866"/>
      <c r="N1866" s="315"/>
      <c r="O1866" s="315"/>
      <c r="P1866" s="315"/>
      <c r="Q1866" s="315"/>
      <c r="R1866" s="315"/>
      <c r="S1866" s="315"/>
    </row>
    <row r="1867" spans="1:19" s="31" customFormat="1" ht="37.5">
      <c r="A1867" s="172" t="s">
        <v>2036</v>
      </c>
      <c r="B1867" s="142" t="s">
        <v>477</v>
      </c>
      <c r="C1867" s="122"/>
      <c r="D1867" s="141" t="s">
        <v>263</v>
      </c>
      <c r="E1867" s="120"/>
      <c r="F1867" s="187" t="s">
        <v>2125</v>
      </c>
      <c r="G1867" s="141" t="s">
        <v>2157</v>
      </c>
      <c r="H1867" s="141" t="s">
        <v>1327</v>
      </c>
      <c r="I1867" s="141" t="str">
        <f t="shared" si="1"/>
        <v>INCOMING REV AA CPAM Q</v>
      </c>
      <c r="J1867" s="304"/>
      <c r="K1867" s="141" t="s">
        <v>2126</v>
      </c>
      <c r="L1867" s="315"/>
      <c r="M1867"/>
      <c r="N1867" s="315"/>
      <c r="O1867" s="315"/>
      <c r="P1867" s="315"/>
      <c r="Q1867" s="315"/>
      <c r="R1867" s="315"/>
      <c r="S1867" s="315"/>
    </row>
    <row r="1868" spans="1:19" s="31" customFormat="1" ht="75">
      <c r="A1868" s="172" t="s">
        <v>2036</v>
      </c>
      <c r="B1868" s="142"/>
      <c r="C1868" s="142"/>
      <c r="D1868" s="141" t="s">
        <v>263</v>
      </c>
      <c r="E1868" s="120" t="s">
        <v>2158</v>
      </c>
      <c r="F1868" s="187" t="s">
        <v>2125</v>
      </c>
      <c r="G1868" s="141" t="s">
        <v>2159</v>
      </c>
      <c r="H1868" s="141" t="s">
        <v>1327</v>
      </c>
      <c r="I1868" s="141" t="str">
        <f>UPPER(SUBSTITUTE(G1868,"_"," "))</f>
        <v>INBUNDLE REV AA CPAM Q</v>
      </c>
      <c r="J1868" s="304"/>
      <c r="K1868" s="141" t="s">
        <v>2126</v>
      </c>
      <c r="L1868" s="315"/>
      <c r="M1868"/>
      <c r="N1868" s="315"/>
      <c r="O1868" s="315"/>
      <c r="P1868" s="315"/>
      <c r="Q1868" s="315"/>
      <c r="R1868" s="315"/>
      <c r="S1868" s="315"/>
    </row>
    <row r="1869" spans="1:19" s="31" customFormat="1" ht="75">
      <c r="A1869" s="172" t="s">
        <v>2036</v>
      </c>
      <c r="B1869" s="142"/>
      <c r="C1869" s="142"/>
      <c r="D1869" s="141" t="s">
        <v>263</v>
      </c>
      <c r="E1869" s="120" t="s">
        <v>2160</v>
      </c>
      <c r="F1869" s="187" t="s">
        <v>2125</v>
      </c>
      <c r="G1869" s="141" t="s">
        <v>2161</v>
      </c>
      <c r="H1869" s="141" t="s">
        <v>1327</v>
      </c>
      <c r="I1869" s="141" t="str">
        <f>UPPER(SUBSTITUTE(G1869,"_"," "))</f>
        <v>OUTBUNDLE REV AA CPAM Q</v>
      </c>
      <c r="J1869" s="304"/>
      <c r="K1869" s="141" t="s">
        <v>2126</v>
      </c>
      <c r="L1869" s="315"/>
      <c r="M1869"/>
      <c r="N1869" s="315"/>
      <c r="O1869" s="315"/>
      <c r="P1869" s="315"/>
      <c r="Q1869" s="315"/>
      <c r="R1869" s="315"/>
      <c r="S1869" s="315"/>
    </row>
    <row r="1870" spans="1:19" s="31" customFormat="1" ht="75">
      <c r="A1870" s="172" t="s">
        <v>2036</v>
      </c>
      <c r="B1870" s="142"/>
      <c r="C1870" s="142"/>
      <c r="D1870" s="141" t="s">
        <v>263</v>
      </c>
      <c r="E1870" s="120" t="s">
        <v>2162</v>
      </c>
      <c r="F1870" s="187" t="s">
        <v>2125</v>
      </c>
      <c r="G1870" s="141" t="s">
        <v>2163</v>
      </c>
      <c r="H1870" s="141" t="s">
        <v>1327</v>
      </c>
      <c r="I1870" s="141" t="str">
        <f>UPPER(SUBSTITUTE(G1870,"_"," "))</f>
        <v>ADD SERVICE REV AA CPAM Q</v>
      </c>
      <c r="J1870" s="304"/>
      <c r="K1870" s="141" t="s">
        <v>2126</v>
      </c>
      <c r="L1870" s="315"/>
      <c r="M1870"/>
      <c r="N1870" s="315"/>
      <c r="O1870" s="315"/>
      <c r="P1870" s="315"/>
      <c r="Q1870" s="315"/>
      <c r="R1870" s="315"/>
      <c r="S1870" s="315"/>
    </row>
    <row r="1871" spans="1:19" s="31" customFormat="1" ht="75">
      <c r="A1871" s="172" t="s">
        <v>2036</v>
      </c>
      <c r="B1871" s="142"/>
      <c r="C1871" s="142"/>
      <c r="D1871" s="141" t="s">
        <v>263</v>
      </c>
      <c r="E1871" s="120" t="s">
        <v>2164</v>
      </c>
      <c r="F1871" s="187" t="s">
        <v>2125</v>
      </c>
      <c r="G1871" s="141" t="s">
        <v>2165</v>
      </c>
      <c r="H1871" s="141" t="s">
        <v>1327</v>
      </c>
      <c r="I1871" s="141" t="str">
        <f>UPPER(SUBSTITUTE(G1871,"_"," "))</f>
        <v>DISCOUNT CST AA CPAM Q</v>
      </c>
      <c r="J1871" s="304"/>
      <c r="K1871" s="141" t="s">
        <v>2126</v>
      </c>
      <c r="L1871" s="315"/>
      <c r="M1871"/>
      <c r="N1871" s="315"/>
      <c r="O1871" s="315"/>
      <c r="P1871" s="315"/>
      <c r="Q1871" s="315"/>
      <c r="R1871" s="315"/>
      <c r="S1871" s="315"/>
    </row>
    <row r="1872" spans="1:19" s="31" customFormat="1" ht="37.5">
      <c r="A1872" s="172" t="s">
        <v>2036</v>
      </c>
      <c r="B1872" s="142" t="s">
        <v>2043</v>
      </c>
      <c r="C1872" s="122"/>
      <c r="D1872" s="141" t="s">
        <v>93</v>
      </c>
      <c r="E1872" s="120"/>
      <c r="F1872" s="187" t="s">
        <v>2125</v>
      </c>
      <c r="G1872" s="141" t="s">
        <v>2166</v>
      </c>
      <c r="H1872" s="141" t="s">
        <v>1327</v>
      </c>
      <c r="I1872" s="141" t="str">
        <f t="shared" ref="I1872:I1873" si="2">UPPER(SUBSTITUTE(G1872,"_"," "))</f>
        <v>INSURANCE CST AA CPAM Q</v>
      </c>
      <c r="J1872" s="304"/>
      <c r="K1872" s="141" t="s">
        <v>2126</v>
      </c>
      <c r="L1872" s="315"/>
      <c r="M1872"/>
      <c r="N1872" s="315"/>
      <c r="O1872" s="315"/>
      <c r="P1872" s="315"/>
      <c r="Q1872" s="315"/>
      <c r="R1872" s="315"/>
      <c r="S1872" s="315"/>
    </row>
    <row r="1873" spans="1:19" s="31" customFormat="1" ht="37.5">
      <c r="A1873" s="172" t="s">
        <v>2036</v>
      </c>
      <c r="B1873" s="142" t="s">
        <v>2044</v>
      </c>
      <c r="C1873" s="122"/>
      <c r="D1873" s="141" t="s">
        <v>93</v>
      </c>
      <c r="E1873" s="120"/>
      <c r="F1873" s="187" t="s">
        <v>2125</v>
      </c>
      <c r="G1873" s="141" t="s">
        <v>2167</v>
      </c>
      <c r="H1873" s="141" t="s">
        <v>1327</v>
      </c>
      <c r="I1873" s="141" t="str">
        <f t="shared" si="2"/>
        <v>CONTENT CST AA CPAM Q</v>
      </c>
      <c r="J1873" s="304"/>
      <c r="K1873" s="141" t="s">
        <v>2126</v>
      </c>
      <c r="L1873" s="315"/>
      <c r="M1873"/>
      <c r="N1873" s="315"/>
      <c r="O1873" s="315"/>
      <c r="P1873" s="315"/>
      <c r="Q1873" s="315"/>
      <c r="R1873" s="315"/>
      <c r="S1873" s="315"/>
    </row>
    <row r="1874" spans="1:19" s="31" customFormat="1" ht="75">
      <c r="A1874" s="172" t="s">
        <v>2036</v>
      </c>
      <c r="B1874" s="142"/>
      <c r="C1874" s="142"/>
      <c r="D1874" s="141" t="s">
        <v>263</v>
      </c>
      <c r="E1874" s="120" t="s">
        <v>2168</v>
      </c>
      <c r="F1874" s="187" t="s">
        <v>2125</v>
      </c>
      <c r="G1874" s="141" t="s">
        <v>2169</v>
      </c>
      <c r="H1874" s="141" t="s">
        <v>1327</v>
      </c>
      <c r="I1874" s="141" t="str">
        <f>UPPER(SUBSTITUTE(G1874,"_"," "))</f>
        <v>CREDIT AMT CST AA CPAM Q</v>
      </c>
      <c r="J1874" s="304"/>
      <c r="K1874" s="141" t="s">
        <v>2126</v>
      </c>
      <c r="L1874" s="315"/>
      <c r="M1874"/>
      <c r="N1874" s="315"/>
      <c r="O1874" s="315"/>
      <c r="P1874" s="315"/>
      <c r="Q1874" s="315"/>
      <c r="R1874" s="315"/>
      <c r="S1874" s="315"/>
    </row>
    <row r="1875" spans="1:19" s="31" customFormat="1" ht="75">
      <c r="A1875" s="172" t="s">
        <v>2036</v>
      </c>
      <c r="B1875" s="142"/>
      <c r="C1875" s="142"/>
      <c r="D1875" s="141" t="s">
        <v>263</v>
      </c>
      <c r="E1875" s="120" t="s">
        <v>2170</v>
      </c>
      <c r="F1875" s="187" t="s">
        <v>2125</v>
      </c>
      <c r="G1875" s="141" t="s">
        <v>2171</v>
      </c>
      <c r="H1875" s="141" t="s">
        <v>1327</v>
      </c>
      <c r="I1875" s="141" t="str">
        <f>UPPER(SUBSTITUTE(G1875,"_"," "))</f>
        <v>IC NTL CST AA CPAM Q</v>
      </c>
      <c r="J1875" s="304"/>
      <c r="K1875" s="141" t="s">
        <v>2126</v>
      </c>
      <c r="L1875" s="315"/>
      <c r="M1875"/>
      <c r="N1875" s="315"/>
      <c r="O1875" s="315"/>
      <c r="P1875" s="315"/>
      <c r="Q1875" s="315"/>
      <c r="R1875" s="315"/>
      <c r="S1875" s="315"/>
    </row>
    <row r="1876" spans="1:19" s="31" customFormat="1" ht="87.5">
      <c r="A1876" s="172" t="s">
        <v>2036</v>
      </c>
      <c r="B1876" s="142"/>
      <c r="C1876" s="142"/>
      <c r="D1876" s="141" t="s">
        <v>263</v>
      </c>
      <c r="E1876" s="120" t="s">
        <v>2172</v>
      </c>
      <c r="F1876" s="187" t="s">
        <v>2125</v>
      </c>
      <c r="G1876" s="141" t="s">
        <v>2173</v>
      </c>
      <c r="H1876" s="141" t="s">
        <v>1327</v>
      </c>
      <c r="I1876" s="141" t="str">
        <f>UPPER(SUBSTITUTE(G1876,"_"," "))</f>
        <v>IC INTL CST AA CPAM Q</v>
      </c>
      <c r="J1876" s="304"/>
      <c r="K1876" s="141" t="s">
        <v>2126</v>
      </c>
      <c r="L1876" s="315"/>
      <c r="M1876"/>
      <c r="N1876" s="315"/>
      <c r="O1876" s="315"/>
      <c r="P1876" s="315"/>
      <c r="Q1876" s="315"/>
      <c r="R1876" s="315"/>
      <c r="S1876" s="315"/>
    </row>
    <row r="1877" spans="1:19" s="31" customFormat="1" ht="87.5">
      <c r="A1877" s="172" t="s">
        <v>2036</v>
      </c>
      <c r="B1877" s="142"/>
      <c r="C1877" s="142"/>
      <c r="D1877" s="141" t="s">
        <v>263</v>
      </c>
      <c r="E1877" s="120" t="s">
        <v>2174</v>
      </c>
      <c r="F1877" s="187" t="s">
        <v>2125</v>
      </c>
      <c r="G1877" s="141" t="s">
        <v>2175</v>
      </c>
      <c r="H1877" s="141" t="s">
        <v>1327</v>
      </c>
      <c r="I1877" s="141" t="str">
        <f t="shared" ref="I1877:I1882" si="3">UPPER(SUBSTITUTE(G1877,"_"," "))</f>
        <v>ROAMING VOICE CST AA CPAM Q</v>
      </c>
      <c r="J1877" s="304"/>
      <c r="K1877" s="141" t="s">
        <v>2126</v>
      </c>
      <c r="L1877" s="315"/>
      <c r="M1877"/>
      <c r="N1877" s="315"/>
      <c r="O1877" s="315"/>
      <c r="P1877" s="315"/>
      <c r="Q1877" s="315"/>
      <c r="R1877" s="315"/>
      <c r="S1877" s="315"/>
    </row>
    <row r="1878" spans="1:19" s="31" customFormat="1" ht="75">
      <c r="A1878" s="172" t="s">
        <v>2036</v>
      </c>
      <c r="B1878" s="142"/>
      <c r="C1878" s="142"/>
      <c r="D1878" s="141" t="s">
        <v>263</v>
      </c>
      <c r="E1878" s="120" t="s">
        <v>2176</v>
      </c>
      <c r="F1878" s="187" t="s">
        <v>2125</v>
      </c>
      <c r="G1878" s="141" t="s">
        <v>2177</v>
      </c>
      <c r="H1878" s="141" t="s">
        <v>1327</v>
      </c>
      <c r="I1878" s="141" t="str">
        <f t="shared" si="3"/>
        <v>ROAMING SMS CST AA CPAM Q</v>
      </c>
      <c r="J1878" s="304"/>
      <c r="K1878" s="141" t="s">
        <v>2126</v>
      </c>
      <c r="L1878" s="315"/>
      <c r="M1878"/>
      <c r="N1878" s="315"/>
      <c r="O1878" s="315"/>
      <c r="P1878" s="315"/>
      <c r="Q1878" s="315"/>
      <c r="R1878" s="315"/>
      <c r="S1878" s="315"/>
    </row>
    <row r="1879" spans="1:19" s="31" customFormat="1" ht="75">
      <c r="A1879" s="172" t="s">
        <v>2036</v>
      </c>
      <c r="B1879" s="142"/>
      <c r="C1879" s="122"/>
      <c r="D1879" s="141" t="s">
        <v>263</v>
      </c>
      <c r="E1879" s="120" t="s">
        <v>2178</v>
      </c>
      <c r="F1879" s="187" t="s">
        <v>2125</v>
      </c>
      <c r="G1879" s="141" t="s">
        <v>2179</v>
      </c>
      <c r="H1879" s="141" t="s">
        <v>1327</v>
      </c>
      <c r="I1879" s="141" t="str">
        <f t="shared" si="3"/>
        <v>ROAMING DATA CST AA CPAM Q</v>
      </c>
      <c r="J1879" s="304"/>
      <c r="K1879" s="141" t="s">
        <v>2126</v>
      </c>
      <c r="L1879" s="315"/>
      <c r="M1879"/>
      <c r="N1879" s="315"/>
      <c r="O1879" s="315"/>
      <c r="P1879" s="315"/>
      <c r="Q1879" s="315"/>
      <c r="R1879" s="315"/>
      <c r="S1879" s="315"/>
    </row>
    <row r="1880" spans="1:19" s="31" customFormat="1" ht="37.5">
      <c r="A1880" s="172" t="s">
        <v>2036</v>
      </c>
      <c r="B1880" s="142" t="s">
        <v>2067</v>
      </c>
      <c r="C1880" s="122"/>
      <c r="D1880" s="141" t="s">
        <v>93</v>
      </c>
      <c r="E1880" s="120"/>
      <c r="F1880" s="187" t="s">
        <v>2125</v>
      </c>
      <c r="G1880" s="141" t="s">
        <v>2180</v>
      </c>
      <c r="H1880" s="141" t="s">
        <v>1327</v>
      </c>
      <c r="I1880" s="141" t="str">
        <f t="shared" si="3"/>
        <v>SUBSIDY AA CPAM Q</v>
      </c>
      <c r="J1880" s="304"/>
      <c r="K1880" s="141" t="s">
        <v>2126</v>
      </c>
      <c r="L1880" s="315"/>
      <c r="M1880"/>
      <c r="N1880" s="315"/>
      <c r="O1880" s="315"/>
      <c r="P1880" s="315"/>
      <c r="Q1880" s="315"/>
      <c r="R1880" s="315"/>
      <c r="S1880" s="315"/>
    </row>
    <row r="1881" spans="1:19" s="31" customFormat="1" ht="37.5">
      <c r="A1881" s="172" t="s">
        <v>2036</v>
      </c>
      <c r="B1881" s="142" t="s">
        <v>2068</v>
      </c>
      <c r="C1881" s="122"/>
      <c r="D1881" s="141" t="s">
        <v>93</v>
      </c>
      <c r="E1881" s="120"/>
      <c r="F1881" s="187" t="s">
        <v>2125</v>
      </c>
      <c r="G1881" s="141" t="s">
        <v>2181</v>
      </c>
      <c r="H1881" s="141" t="s">
        <v>1327</v>
      </c>
      <c r="I1881" s="141" t="str">
        <f t="shared" si="3"/>
        <v>COMMISSION COST AA CPAM Q</v>
      </c>
      <c r="J1881" s="304"/>
      <c r="K1881" s="141" t="s">
        <v>2126</v>
      </c>
      <c r="L1881" s="315"/>
      <c r="M1881"/>
      <c r="N1881" s="315"/>
      <c r="O1881" s="315"/>
      <c r="P1881" s="315"/>
      <c r="Q1881" s="315"/>
      <c r="R1881" s="315"/>
      <c r="S1881" s="315"/>
    </row>
    <row r="1882" spans="1:19" s="31" customFormat="1" ht="37.5">
      <c r="A1882" s="172" t="s">
        <v>2036</v>
      </c>
      <c r="B1882" s="142" t="s">
        <v>2069</v>
      </c>
      <c r="C1882" s="122"/>
      <c r="D1882" s="141" t="s">
        <v>93</v>
      </c>
      <c r="E1882" s="120"/>
      <c r="F1882" s="187" t="s">
        <v>2125</v>
      </c>
      <c r="G1882" s="141" t="s">
        <v>2182</v>
      </c>
      <c r="H1882" s="141" t="s">
        <v>1327</v>
      </c>
      <c r="I1882" s="141" t="str">
        <f t="shared" si="3"/>
        <v>USED DATA AA CPAM Q</v>
      </c>
      <c r="J1882" s="304"/>
      <c r="K1882" s="141" t="s">
        <v>2126</v>
      </c>
      <c r="L1882" s="315"/>
      <c r="M1882"/>
      <c r="N1882" s="315"/>
      <c r="O1882" s="315"/>
      <c r="P1882" s="315"/>
      <c r="Q1882" s="315"/>
      <c r="R1882" s="315"/>
      <c r="S1882" s="315"/>
    </row>
    <row r="1883" spans="1:19" s="31" customFormat="1" ht="37.5">
      <c r="A1883" s="402" t="s">
        <v>2036</v>
      </c>
      <c r="B1883" s="403" t="s">
        <v>1384</v>
      </c>
      <c r="C1883" s="354"/>
      <c r="D1883" s="380" t="s">
        <v>93</v>
      </c>
      <c r="E1883" s="382"/>
      <c r="F1883" s="187" t="s">
        <v>2125</v>
      </c>
      <c r="G1883" s="141" t="s">
        <v>2183</v>
      </c>
      <c r="H1883" s="380" t="s">
        <v>1327</v>
      </c>
      <c r="I1883" s="380" t="str">
        <f>UPPER(SUBSTITUTE(G1883,"_"," "))</f>
        <v>DURATION AA CPAM Q</v>
      </c>
      <c r="J1883" s="304"/>
      <c r="K1883" s="380" t="s">
        <v>2126</v>
      </c>
      <c r="L1883" s="315"/>
      <c r="M1883"/>
      <c r="N1883" s="315"/>
      <c r="O1883" s="315"/>
      <c r="P1883" s="315"/>
      <c r="Q1883" s="315"/>
      <c r="R1883" s="315"/>
      <c r="S1883" s="315"/>
    </row>
    <row r="1884" spans="1:19" customFormat="1" ht="37.5">
      <c r="A1884" s="402" t="s">
        <v>2036</v>
      </c>
      <c r="B1884" s="124" t="s">
        <v>2081</v>
      </c>
      <c r="C1884" s="354"/>
      <c r="D1884" s="380" t="s">
        <v>93</v>
      </c>
      <c r="E1884" s="382"/>
      <c r="F1884" s="187" t="s">
        <v>2125</v>
      </c>
      <c r="G1884" s="193" t="s">
        <v>2184</v>
      </c>
      <c r="H1884" s="380" t="s">
        <v>1327</v>
      </c>
      <c r="I1884" s="380" t="str">
        <f t="shared" ref="I1884:I1906" si="4">UPPER(SUBSTITUTE(G1884,"_"," "))</f>
        <v>INBUNDLE REV DIFF AA CPAM Q</v>
      </c>
      <c r="J1884" s="304"/>
      <c r="K1884" s="380" t="s">
        <v>2126</v>
      </c>
    </row>
    <row r="1885" spans="1:19" customFormat="1" ht="37.5">
      <c r="A1885" s="402" t="s">
        <v>2036</v>
      </c>
      <c r="B1885" s="122" t="s">
        <v>2082</v>
      </c>
      <c r="C1885" s="354"/>
      <c r="D1885" s="380" t="s">
        <v>93</v>
      </c>
      <c r="E1885" s="382"/>
      <c r="F1885" s="187" t="s">
        <v>2125</v>
      </c>
      <c r="G1885" s="193" t="s">
        <v>2185</v>
      </c>
      <c r="H1885" s="380" t="s">
        <v>1327</v>
      </c>
      <c r="I1885" s="380" t="str">
        <f t="shared" si="4"/>
        <v>OUTBUNDLE REV DIFF AA CPAM Q</v>
      </c>
      <c r="J1885" s="304"/>
      <c r="K1885" s="380" t="s">
        <v>2126</v>
      </c>
    </row>
    <row r="1886" spans="1:19" customFormat="1" ht="37.5">
      <c r="A1886" s="402" t="s">
        <v>2036</v>
      </c>
      <c r="B1886" s="123" t="s">
        <v>2083</v>
      </c>
      <c r="C1886" s="354"/>
      <c r="D1886" s="380" t="s">
        <v>93</v>
      </c>
      <c r="E1886" s="382"/>
      <c r="F1886" s="187" t="s">
        <v>2125</v>
      </c>
      <c r="G1886" s="193" t="s">
        <v>2186</v>
      </c>
      <c r="H1886" s="380" t="s">
        <v>1327</v>
      </c>
      <c r="I1886" s="380" t="str">
        <f t="shared" si="4"/>
        <v>ADD SERVICE REV DIFF AA CPAM Q</v>
      </c>
      <c r="J1886" s="304"/>
      <c r="K1886" s="380" t="s">
        <v>2126</v>
      </c>
    </row>
    <row r="1887" spans="1:19" customFormat="1" ht="37.5">
      <c r="A1887" s="402" t="s">
        <v>2036</v>
      </c>
      <c r="B1887" s="123" t="s">
        <v>2084</v>
      </c>
      <c r="C1887" s="354"/>
      <c r="D1887" s="380" t="s">
        <v>93</v>
      </c>
      <c r="E1887" s="382"/>
      <c r="F1887" s="187" t="s">
        <v>2125</v>
      </c>
      <c r="G1887" s="193" t="s">
        <v>2187</v>
      </c>
      <c r="H1887" s="380" t="s">
        <v>1327</v>
      </c>
      <c r="I1887" s="380" t="str">
        <f t="shared" si="4"/>
        <v>CONTENT REV DIFF AA CPAM Q</v>
      </c>
      <c r="J1887" s="304"/>
      <c r="K1887" s="380" t="s">
        <v>2126</v>
      </c>
    </row>
    <row r="1888" spans="1:19" customFormat="1" ht="37.5">
      <c r="A1888" s="402" t="s">
        <v>2036</v>
      </c>
      <c r="B1888" s="122" t="s">
        <v>2085</v>
      </c>
      <c r="C1888" s="354"/>
      <c r="D1888" s="380" t="s">
        <v>93</v>
      </c>
      <c r="E1888" s="382"/>
      <c r="F1888" s="187" t="s">
        <v>2125</v>
      </c>
      <c r="G1888" s="193" t="s">
        <v>2188</v>
      </c>
      <c r="H1888" s="380" t="s">
        <v>1327</v>
      </c>
      <c r="I1888" s="380" t="str">
        <f t="shared" si="4"/>
        <v>VAS REV DIFF AA CPAM Q</v>
      </c>
      <c r="J1888" s="304"/>
      <c r="K1888" s="380" t="s">
        <v>2126</v>
      </c>
    </row>
    <row r="1889" spans="1:11" customFormat="1" ht="37.5">
      <c r="A1889" s="402" t="s">
        <v>2036</v>
      </c>
      <c r="B1889" s="118" t="s">
        <v>2086</v>
      </c>
      <c r="C1889" s="354"/>
      <c r="D1889" s="380" t="s">
        <v>93</v>
      </c>
      <c r="E1889" s="382"/>
      <c r="F1889" s="187" t="s">
        <v>2125</v>
      </c>
      <c r="G1889" s="193" t="s">
        <v>2189</v>
      </c>
      <c r="H1889" s="380" t="s">
        <v>1327</v>
      </c>
      <c r="I1889" s="380" t="str">
        <f t="shared" si="4"/>
        <v>INSURANCE REV DIFF AA CPAM Q</v>
      </c>
      <c r="J1889" s="304"/>
      <c r="K1889" s="380" t="s">
        <v>2126</v>
      </c>
    </row>
    <row r="1890" spans="1:11" customFormat="1" ht="37.5">
      <c r="A1890" s="402" t="s">
        <v>2036</v>
      </c>
      <c r="B1890" s="118" t="s">
        <v>2087</v>
      </c>
      <c r="C1890" s="354"/>
      <c r="D1890" s="380" t="s">
        <v>93</v>
      </c>
      <c r="E1890" s="382"/>
      <c r="F1890" s="187" t="s">
        <v>2125</v>
      </c>
      <c r="G1890" s="193" t="s">
        <v>2190</v>
      </c>
      <c r="H1890" s="380" t="s">
        <v>1327</v>
      </c>
      <c r="I1890" s="380" t="str">
        <f t="shared" si="4"/>
        <v>INCOMING REV DIFF AA CPAM Q</v>
      </c>
      <c r="J1890" s="304"/>
      <c r="K1890" s="380" t="s">
        <v>2126</v>
      </c>
    </row>
    <row r="1891" spans="1:11" customFormat="1" ht="37.5">
      <c r="A1891" s="402" t="s">
        <v>2036</v>
      </c>
      <c r="B1891" s="122" t="s">
        <v>2088</v>
      </c>
      <c r="C1891" s="354"/>
      <c r="D1891" s="380" t="s">
        <v>93</v>
      </c>
      <c r="E1891" s="382"/>
      <c r="F1891" s="187" t="s">
        <v>2125</v>
      </c>
      <c r="G1891" s="193" t="s">
        <v>2191</v>
      </c>
      <c r="H1891" s="380" t="s">
        <v>1327</v>
      </c>
      <c r="I1891" s="380" t="str">
        <f t="shared" si="4"/>
        <v>DISCOUNT CST DIFF AA CPAM Q</v>
      </c>
      <c r="J1891" s="304"/>
      <c r="K1891" s="380" t="s">
        <v>2126</v>
      </c>
    </row>
    <row r="1892" spans="1:11" customFormat="1" ht="37.5">
      <c r="A1892" s="402" t="s">
        <v>2036</v>
      </c>
      <c r="B1892" s="122" t="s">
        <v>2089</v>
      </c>
      <c r="C1892" s="354"/>
      <c r="D1892" s="380" t="s">
        <v>93</v>
      </c>
      <c r="E1892" s="382"/>
      <c r="F1892" s="187" t="s">
        <v>2125</v>
      </c>
      <c r="G1892" s="193" t="s">
        <v>2192</v>
      </c>
      <c r="H1892" s="380" t="s">
        <v>1327</v>
      </c>
      <c r="I1892" s="380" t="str">
        <f t="shared" si="4"/>
        <v>CREDIT AMT CST DIFF AA CPAM Q</v>
      </c>
      <c r="J1892" s="304"/>
      <c r="K1892" s="380" t="s">
        <v>2126</v>
      </c>
    </row>
    <row r="1893" spans="1:11" customFormat="1" ht="37.5">
      <c r="A1893" s="402" t="s">
        <v>2036</v>
      </c>
      <c r="B1893" s="122" t="s">
        <v>2090</v>
      </c>
      <c r="C1893" s="354"/>
      <c r="D1893" s="380" t="s">
        <v>93</v>
      </c>
      <c r="E1893" s="382"/>
      <c r="F1893" s="187" t="s">
        <v>2125</v>
      </c>
      <c r="G1893" s="193" t="s">
        <v>2193</v>
      </c>
      <c r="H1893" s="380" t="s">
        <v>1327</v>
      </c>
      <c r="I1893" s="380" t="str">
        <f t="shared" si="4"/>
        <v>IC NTL CST DIFF AA CPAM Q</v>
      </c>
      <c r="J1893" s="304"/>
      <c r="K1893" s="380" t="s">
        <v>2126</v>
      </c>
    </row>
    <row r="1894" spans="1:11" customFormat="1" ht="37.5">
      <c r="A1894" s="402" t="s">
        <v>2036</v>
      </c>
      <c r="B1894" s="115" t="s">
        <v>2091</v>
      </c>
      <c r="C1894" s="354"/>
      <c r="D1894" s="380" t="s">
        <v>93</v>
      </c>
      <c r="E1894" s="382"/>
      <c r="F1894" s="187" t="s">
        <v>2125</v>
      </c>
      <c r="G1894" s="193" t="s">
        <v>2194</v>
      </c>
      <c r="H1894" s="380" t="s">
        <v>1327</v>
      </c>
      <c r="I1894" s="380" t="str">
        <f t="shared" si="4"/>
        <v>IC INTL CST DIFF AA CPAM Q</v>
      </c>
      <c r="J1894" s="304"/>
      <c r="K1894" s="380" t="s">
        <v>2126</v>
      </c>
    </row>
    <row r="1895" spans="1:11" customFormat="1" ht="37.5">
      <c r="A1895" s="402" t="s">
        <v>2036</v>
      </c>
      <c r="B1895" s="115" t="s">
        <v>2092</v>
      </c>
      <c r="C1895" s="354"/>
      <c r="D1895" s="380" t="s">
        <v>93</v>
      </c>
      <c r="E1895" s="382"/>
      <c r="F1895" s="187" t="s">
        <v>2125</v>
      </c>
      <c r="G1895" s="193" t="s">
        <v>2195</v>
      </c>
      <c r="H1895" s="380" t="s">
        <v>1327</v>
      </c>
      <c r="I1895" s="380" t="str">
        <f t="shared" si="4"/>
        <v>ROAMING VOICE CST DIFF AA CPAM Q</v>
      </c>
      <c r="J1895" s="304"/>
      <c r="K1895" s="380" t="s">
        <v>2126</v>
      </c>
    </row>
    <row r="1896" spans="1:11" customFormat="1" ht="37.5">
      <c r="A1896" s="402" t="s">
        <v>2036</v>
      </c>
      <c r="B1896" s="115" t="s">
        <v>2093</v>
      </c>
      <c r="C1896" s="354"/>
      <c r="D1896" s="380" t="s">
        <v>93</v>
      </c>
      <c r="E1896" s="382"/>
      <c r="F1896" s="187" t="s">
        <v>2125</v>
      </c>
      <c r="G1896" s="193" t="s">
        <v>2196</v>
      </c>
      <c r="H1896" s="380" t="s">
        <v>1327</v>
      </c>
      <c r="I1896" s="380" t="str">
        <f t="shared" si="4"/>
        <v>ROAMING SMS CST DIFF AA CPAM Q</v>
      </c>
      <c r="J1896" s="304"/>
      <c r="K1896" s="380" t="s">
        <v>2126</v>
      </c>
    </row>
    <row r="1897" spans="1:11" customFormat="1" ht="37.5">
      <c r="A1897" s="402" t="s">
        <v>2036</v>
      </c>
      <c r="B1897" s="115" t="s">
        <v>2094</v>
      </c>
      <c r="C1897" s="354"/>
      <c r="D1897" s="380" t="s">
        <v>93</v>
      </c>
      <c r="E1897" s="382"/>
      <c r="F1897" s="187" t="s">
        <v>2125</v>
      </c>
      <c r="G1897" s="193" t="s">
        <v>2197</v>
      </c>
      <c r="H1897" s="380" t="s">
        <v>1327</v>
      </c>
      <c r="I1897" s="380" t="str">
        <f t="shared" si="4"/>
        <v>ROAMING DATA CST DIFF AA CPAM Q</v>
      </c>
      <c r="J1897" s="304"/>
      <c r="K1897" s="380" t="s">
        <v>2126</v>
      </c>
    </row>
    <row r="1898" spans="1:11" customFormat="1" ht="37.5">
      <c r="A1898" s="402" t="s">
        <v>2036</v>
      </c>
      <c r="B1898" s="115" t="s">
        <v>2095</v>
      </c>
      <c r="C1898" s="354"/>
      <c r="D1898" s="380" t="s">
        <v>93</v>
      </c>
      <c r="E1898" s="382"/>
      <c r="F1898" s="187" t="s">
        <v>2125</v>
      </c>
      <c r="G1898" s="193" t="s">
        <v>2198</v>
      </c>
      <c r="H1898" s="380" t="s">
        <v>1327</v>
      </c>
      <c r="I1898" s="380" t="str">
        <f t="shared" si="4"/>
        <v>INSURANCE CST DIFF AA CPAM Q</v>
      </c>
      <c r="J1898" s="304"/>
      <c r="K1898" s="380" t="s">
        <v>2126</v>
      </c>
    </row>
    <row r="1899" spans="1:11" customFormat="1" ht="37.5">
      <c r="A1899" s="402" t="s">
        <v>2036</v>
      </c>
      <c r="B1899" s="122" t="s">
        <v>2096</v>
      </c>
      <c r="C1899" s="354"/>
      <c r="D1899" s="380" t="s">
        <v>93</v>
      </c>
      <c r="E1899" s="382"/>
      <c r="F1899" s="187" t="s">
        <v>2125</v>
      </c>
      <c r="G1899" s="193" t="s">
        <v>2199</v>
      </c>
      <c r="H1899" s="380" t="s">
        <v>1327</v>
      </c>
      <c r="I1899" s="380" t="str">
        <f t="shared" si="4"/>
        <v>CONTENT CST DIFF AA CPAM Q</v>
      </c>
      <c r="J1899" s="304"/>
      <c r="K1899" s="380" t="s">
        <v>2126</v>
      </c>
    </row>
    <row r="1900" spans="1:11" customFormat="1" ht="37.5">
      <c r="A1900" s="402" t="s">
        <v>2036</v>
      </c>
      <c r="B1900" s="122" t="s">
        <v>2100</v>
      </c>
      <c r="C1900" s="354"/>
      <c r="D1900" s="380" t="s">
        <v>93</v>
      </c>
      <c r="E1900" s="382"/>
      <c r="F1900" s="187" t="s">
        <v>2125</v>
      </c>
      <c r="G1900" s="193" t="s">
        <v>2200</v>
      </c>
      <c r="H1900" s="380" t="s">
        <v>1327</v>
      </c>
      <c r="I1900" s="380" t="str">
        <f t="shared" si="4"/>
        <v>KPI AR EST TOTAL REV DIFF AA CPAM Q</v>
      </c>
      <c r="J1900" s="304"/>
      <c r="K1900" s="380" t="s">
        <v>2126</v>
      </c>
    </row>
    <row r="1901" spans="1:11" customFormat="1" ht="37.5">
      <c r="A1901" s="402" t="s">
        <v>2036</v>
      </c>
      <c r="B1901" s="122" t="s">
        <v>2119</v>
      </c>
      <c r="C1901" s="354"/>
      <c r="D1901" s="380" t="s">
        <v>93</v>
      </c>
      <c r="E1901" s="382"/>
      <c r="F1901" s="187" t="s">
        <v>2125</v>
      </c>
      <c r="G1901" s="193" t="s">
        <v>2201</v>
      </c>
      <c r="H1901" s="380" t="s">
        <v>1327</v>
      </c>
      <c r="I1901" s="380" t="str">
        <f t="shared" si="4"/>
        <v>AR EST TOTAL REV CUS AA CPAM Q</v>
      </c>
      <c r="J1901" s="304"/>
      <c r="K1901" s="380" t="s">
        <v>2126</v>
      </c>
    </row>
    <row r="1902" spans="1:11" customFormat="1" ht="37.5">
      <c r="A1902" s="402" t="s">
        <v>2036</v>
      </c>
      <c r="B1902" s="122" t="s">
        <v>2120</v>
      </c>
      <c r="C1902" s="354"/>
      <c r="D1902" s="380" t="s">
        <v>93</v>
      </c>
      <c r="E1902" s="382"/>
      <c r="F1902" s="187" t="s">
        <v>2125</v>
      </c>
      <c r="G1902" s="193" t="s">
        <v>2202</v>
      </c>
      <c r="H1902" s="380" t="s">
        <v>1327</v>
      </c>
      <c r="I1902" s="380" t="str">
        <f t="shared" si="4"/>
        <v>AR EST TOTAL CST CUS AA CPAM Q</v>
      </c>
      <c r="J1902" s="304"/>
      <c r="K1902" s="380" t="s">
        <v>2126</v>
      </c>
    </row>
    <row r="1903" spans="1:11" customFormat="1" ht="37.5">
      <c r="A1903" s="402" t="s">
        <v>2036</v>
      </c>
      <c r="B1903" s="122" t="s">
        <v>2121</v>
      </c>
      <c r="C1903" s="354"/>
      <c r="D1903" s="380" t="s">
        <v>93</v>
      </c>
      <c r="E1903" s="382"/>
      <c r="F1903" s="187" t="s">
        <v>2125</v>
      </c>
      <c r="G1903" s="193" t="s">
        <v>2203</v>
      </c>
      <c r="H1903" s="380" t="s">
        <v>1327</v>
      </c>
      <c r="I1903" s="380" t="str">
        <f t="shared" si="4"/>
        <v>AIRTIME MARGIN CUS AA CPAM Q</v>
      </c>
      <c r="J1903" s="304"/>
      <c r="K1903" s="380" t="s">
        <v>2126</v>
      </c>
    </row>
    <row r="1904" spans="1:11" customFormat="1" ht="37.5">
      <c r="A1904" s="402" t="s">
        <v>2036</v>
      </c>
      <c r="B1904" s="122" t="s">
        <v>2122</v>
      </c>
      <c r="C1904" s="354"/>
      <c r="D1904" s="380" t="s">
        <v>93</v>
      </c>
      <c r="E1904" s="382"/>
      <c r="F1904" s="187" t="s">
        <v>2125</v>
      </c>
      <c r="G1904" s="193" t="s">
        <v>2204</v>
      </c>
      <c r="H1904" s="380" t="s">
        <v>1293</v>
      </c>
      <c r="I1904" s="380" t="str">
        <f t="shared" si="4"/>
        <v>SEGMENT HASH GRP AA CPAM Q</v>
      </c>
      <c r="J1904" s="304"/>
      <c r="K1904" s="380" t="s">
        <v>2126</v>
      </c>
    </row>
    <row r="1905" spans="1:19" customFormat="1" ht="37.5">
      <c r="A1905" s="402" t="s">
        <v>2036</v>
      </c>
      <c r="B1905" s="122" t="s">
        <v>2123</v>
      </c>
      <c r="C1905" s="354"/>
      <c r="D1905" s="380" t="s">
        <v>93</v>
      </c>
      <c r="E1905" s="382"/>
      <c r="F1905" s="187" t="s">
        <v>2125</v>
      </c>
      <c r="G1905" s="193" t="s">
        <v>2205</v>
      </c>
      <c r="H1905" s="380" t="s">
        <v>1327</v>
      </c>
      <c r="I1905" s="380" t="str">
        <f t="shared" si="4"/>
        <v>AIRTIME MARGIN AVG SEG AA CPAM Q</v>
      </c>
      <c r="J1905" s="304"/>
      <c r="K1905" s="141" t="s">
        <v>2126</v>
      </c>
    </row>
    <row r="1906" spans="1:19" s="159" customFormat="1" ht="37.5">
      <c r="A1906" s="402" t="s">
        <v>2036</v>
      </c>
      <c r="B1906" s="122" t="s">
        <v>2065</v>
      </c>
      <c r="C1906" s="354"/>
      <c r="D1906" s="380" t="s">
        <v>93</v>
      </c>
      <c r="E1906" s="354"/>
      <c r="F1906" s="187" t="s">
        <v>2125</v>
      </c>
      <c r="G1906" s="122" t="s">
        <v>2206</v>
      </c>
      <c r="H1906" s="380" t="s">
        <v>1293</v>
      </c>
      <c r="I1906" s="380" t="str">
        <f t="shared" si="4"/>
        <v>CLOSING BASE FLAG AA CPAM Q</v>
      </c>
      <c r="J1906" s="354"/>
      <c r="K1906" s="141" t="s">
        <v>2126</v>
      </c>
    </row>
    <row r="1907" spans="1:19" s="31" customFormat="1" ht="37.5">
      <c r="A1907" s="122"/>
      <c r="B1907" s="142"/>
      <c r="C1907" s="122"/>
      <c r="D1907" s="122"/>
      <c r="E1907" s="383" t="s">
        <v>1474</v>
      </c>
      <c r="F1907" s="187" t="s">
        <v>2125</v>
      </c>
      <c r="G1907" s="141" t="s">
        <v>1171</v>
      </c>
      <c r="H1907" s="122"/>
      <c r="I1907" s="141" t="str">
        <f>UPPER(SUBSTITUTE(G1907,"_"," "))</f>
        <v>CPA SOURCE</v>
      </c>
      <c r="J1907" s="304"/>
      <c r="K1907" s="141" t="s">
        <v>2126</v>
      </c>
      <c r="L1907" s="315"/>
      <c r="M1907" s="315"/>
      <c r="N1907" s="315"/>
      <c r="O1907" s="315"/>
      <c r="P1907" s="315"/>
      <c r="Q1907" s="315"/>
      <c r="R1907" s="315"/>
      <c r="S1907" s="315"/>
    </row>
    <row r="1908" spans="1:19" s="31" customFormat="1" ht="37.5">
      <c r="A1908" s="122"/>
      <c r="B1908" s="142"/>
      <c r="C1908" s="122"/>
      <c r="D1908" s="122"/>
      <c r="E1908" s="123" t="s">
        <v>2207</v>
      </c>
      <c r="F1908" s="187" t="s">
        <v>2125</v>
      </c>
      <c r="G1908" s="141" t="s">
        <v>905</v>
      </c>
      <c r="H1908" s="122"/>
      <c r="I1908" s="141" t="str">
        <f>UPPER(SUBSTITUTE(G1908,"_"," "))</f>
        <v>CPA SUB SOURCE</v>
      </c>
      <c r="J1908" s="304"/>
      <c r="K1908" s="141" t="s">
        <v>2126</v>
      </c>
      <c r="L1908" s="315"/>
      <c r="M1908" s="315"/>
      <c r="N1908" s="315"/>
      <c r="O1908" s="315"/>
      <c r="P1908" s="315"/>
      <c r="Q1908" s="315"/>
      <c r="R1908" s="315"/>
      <c r="S1908" s="315"/>
    </row>
    <row r="1909" spans="1:19" s="31" customFormat="1">
      <c r="A1909" s="159"/>
      <c r="B1909" s="184"/>
      <c r="C1909" s="159"/>
      <c r="D1909" s="159"/>
      <c r="E1909" s="407"/>
      <c r="F1909" s="408"/>
      <c r="G1909" s="182"/>
      <c r="H1909" s="159"/>
      <c r="I1909" s="182"/>
      <c r="J1909" s="409"/>
      <c r="K1909" s="182"/>
      <c r="L1909" s="315"/>
      <c r="M1909" s="315"/>
      <c r="N1909" s="315"/>
      <c r="O1909" s="315"/>
      <c r="P1909" s="315"/>
      <c r="Q1909" s="315"/>
      <c r="R1909" s="315"/>
      <c r="S1909" s="315"/>
    </row>
    <row r="1910" spans="1:19" customFormat="1" ht="14.5"/>
    <row r="1911" spans="1:19" customFormat="1" ht="14.5">
      <c r="A1911" s="518" t="s">
        <v>2208</v>
      </c>
      <c r="B1911" s="518"/>
      <c r="C1911" s="518"/>
      <c r="D1911" s="518"/>
      <c r="E1911" s="518"/>
      <c r="F1911" s="518"/>
      <c r="G1911" s="518"/>
      <c r="H1911" s="518"/>
      <c r="I1911" s="518"/>
      <c r="J1911" s="518"/>
    </row>
    <row r="1912" spans="1:19" s="61" customFormat="1" ht="135" customHeight="1">
      <c r="A1912" s="519" t="s">
        <v>2209</v>
      </c>
      <c r="B1912" s="520"/>
      <c r="C1912" s="520"/>
      <c r="D1912" s="520"/>
      <c r="E1912" s="520"/>
      <c r="F1912" s="520"/>
      <c r="G1912" s="520"/>
      <c r="H1912" s="520"/>
      <c r="I1912" s="520"/>
      <c r="J1912" s="520"/>
      <c r="K1912" s="520"/>
    </row>
    <row r="1913" spans="1:19" customFormat="1" ht="14.5"/>
    <row r="1914" spans="1:19" customFormat="1" ht="14.5">
      <c r="A1914" s="185" t="s">
        <v>73</v>
      </c>
      <c r="B1914" s="185" t="s">
        <v>74</v>
      </c>
      <c r="C1914" s="185" t="s">
        <v>75</v>
      </c>
      <c r="D1914" s="185" t="s">
        <v>76</v>
      </c>
      <c r="E1914" s="321" t="s">
        <v>77</v>
      </c>
      <c r="F1914" s="186" t="s">
        <v>78</v>
      </c>
      <c r="G1914" s="186" t="s">
        <v>79</v>
      </c>
      <c r="H1914" s="186" t="s">
        <v>80</v>
      </c>
      <c r="I1914" s="186" t="s">
        <v>683</v>
      </c>
      <c r="J1914" s="322" t="s">
        <v>260</v>
      </c>
      <c r="K1914" s="186" t="s">
        <v>261</v>
      </c>
    </row>
    <row r="1915" spans="1:19" customFormat="1" ht="37.5">
      <c r="A1915" s="122" t="s">
        <v>2210</v>
      </c>
      <c r="B1915" s="122" t="s">
        <v>87</v>
      </c>
      <c r="C1915" s="122" t="s">
        <v>274</v>
      </c>
      <c r="D1915" s="122" t="s">
        <v>93</v>
      </c>
      <c r="E1915" s="122" t="s">
        <v>909</v>
      </c>
      <c r="F1915" s="122" t="s">
        <v>2211</v>
      </c>
      <c r="G1915" s="122" t="s">
        <v>911</v>
      </c>
      <c r="H1915" s="122" t="s">
        <v>274</v>
      </c>
      <c r="I1915" s="122"/>
      <c r="J1915" s="41"/>
      <c r="K1915" s="141" t="s">
        <v>2126</v>
      </c>
    </row>
    <row r="1916" spans="1:19" customFormat="1" ht="37.5">
      <c r="A1916" s="122" t="s">
        <v>2210</v>
      </c>
      <c r="B1916" s="122" t="s">
        <v>95</v>
      </c>
      <c r="C1916" s="122" t="s">
        <v>267</v>
      </c>
      <c r="D1916" s="122" t="s">
        <v>93</v>
      </c>
      <c r="E1916" s="122"/>
      <c r="F1916" s="122" t="s">
        <v>2211</v>
      </c>
      <c r="G1916" s="122" t="s">
        <v>312</v>
      </c>
      <c r="H1916" s="122" t="s">
        <v>267</v>
      </c>
      <c r="I1916" s="122"/>
      <c r="J1916" s="41"/>
      <c r="K1916" s="141" t="s">
        <v>2126</v>
      </c>
    </row>
    <row r="1917" spans="1:19" customFormat="1" ht="37.5">
      <c r="A1917" s="122" t="s">
        <v>2212</v>
      </c>
      <c r="B1917" s="122" t="s">
        <v>310</v>
      </c>
      <c r="C1917" s="122" t="s">
        <v>267</v>
      </c>
      <c r="D1917" s="122" t="s">
        <v>93</v>
      </c>
      <c r="E1917" s="122"/>
      <c r="F1917" s="122" t="s">
        <v>2211</v>
      </c>
      <c r="G1917" s="122" t="s">
        <v>310</v>
      </c>
      <c r="H1917" s="122" t="s">
        <v>267</v>
      </c>
      <c r="I1917" s="122"/>
      <c r="J1917" s="41"/>
      <c r="K1917" s="141" t="s">
        <v>2126</v>
      </c>
    </row>
    <row r="1918" spans="1:19" customFormat="1" ht="37.5">
      <c r="A1918" s="122" t="s">
        <v>2212</v>
      </c>
      <c r="B1918" s="122" t="s">
        <v>1167</v>
      </c>
      <c r="C1918" s="122" t="s">
        <v>267</v>
      </c>
      <c r="D1918" s="122" t="s">
        <v>93</v>
      </c>
      <c r="E1918" s="122"/>
      <c r="F1918" s="122" t="s">
        <v>2211</v>
      </c>
      <c r="G1918" s="122" t="s">
        <v>1168</v>
      </c>
      <c r="H1918" s="122" t="s">
        <v>267</v>
      </c>
      <c r="I1918" s="122"/>
      <c r="J1918" s="41"/>
      <c r="K1918" s="141" t="s">
        <v>2126</v>
      </c>
    </row>
    <row r="1919" spans="1:19" customFormat="1" ht="37.5">
      <c r="A1919" s="122" t="s">
        <v>2212</v>
      </c>
      <c r="B1919" s="122" t="s">
        <v>380</v>
      </c>
      <c r="C1919" s="122" t="s">
        <v>267</v>
      </c>
      <c r="D1919" s="122" t="s">
        <v>93</v>
      </c>
      <c r="E1919" s="122"/>
      <c r="F1919" s="122" t="s">
        <v>2211</v>
      </c>
      <c r="G1919" s="122" t="s">
        <v>170</v>
      </c>
      <c r="H1919" s="122" t="s">
        <v>267</v>
      </c>
      <c r="I1919" s="122"/>
      <c r="J1919" s="41"/>
      <c r="K1919" s="141" t="s">
        <v>2126</v>
      </c>
    </row>
    <row r="1920" spans="1:19" customFormat="1" ht="37.5">
      <c r="A1920" s="122" t="s">
        <v>2212</v>
      </c>
      <c r="B1920" s="122" t="s">
        <v>426</v>
      </c>
      <c r="C1920" s="122" t="s">
        <v>267</v>
      </c>
      <c r="D1920" s="122" t="s">
        <v>93</v>
      </c>
      <c r="E1920" s="122"/>
      <c r="F1920" s="122" t="s">
        <v>2211</v>
      </c>
      <c r="G1920" s="122" t="s">
        <v>1131</v>
      </c>
      <c r="H1920" s="122" t="s">
        <v>267</v>
      </c>
      <c r="I1920" s="122"/>
      <c r="J1920" s="41"/>
      <c r="K1920" s="141" t="s">
        <v>2126</v>
      </c>
    </row>
    <row r="1921" spans="1:11" customFormat="1" ht="37.5">
      <c r="A1921" s="122" t="s">
        <v>2212</v>
      </c>
      <c r="B1921" s="122" t="s">
        <v>1133</v>
      </c>
      <c r="C1921" s="122" t="s">
        <v>267</v>
      </c>
      <c r="D1921" s="122" t="s">
        <v>93</v>
      </c>
      <c r="E1921" s="122"/>
      <c r="F1921" s="122" t="s">
        <v>2211</v>
      </c>
      <c r="G1921" s="122" t="s">
        <v>1134</v>
      </c>
      <c r="H1921" s="122" t="s">
        <v>267</v>
      </c>
      <c r="I1921" s="122"/>
      <c r="J1921" s="41"/>
      <c r="K1921" s="141" t="s">
        <v>2126</v>
      </c>
    </row>
    <row r="1922" spans="1:11" customFormat="1" ht="37.5">
      <c r="A1922" s="122" t="s">
        <v>2212</v>
      </c>
      <c r="B1922" s="122" t="s">
        <v>709</v>
      </c>
      <c r="C1922" s="122" t="s">
        <v>267</v>
      </c>
      <c r="D1922" s="122" t="s">
        <v>93</v>
      </c>
      <c r="E1922" s="122"/>
      <c r="F1922" s="122" t="s">
        <v>2211</v>
      </c>
      <c r="G1922" s="122" t="s">
        <v>116</v>
      </c>
      <c r="H1922" s="122" t="s">
        <v>267</v>
      </c>
      <c r="I1922" s="122"/>
      <c r="J1922" s="41"/>
      <c r="K1922" s="141" t="s">
        <v>2126</v>
      </c>
    </row>
    <row r="1923" spans="1:11" customFormat="1" ht="37.5">
      <c r="A1923" s="122" t="s">
        <v>2212</v>
      </c>
      <c r="B1923" s="122" t="s">
        <v>1122</v>
      </c>
      <c r="C1923" s="122" t="s">
        <v>267</v>
      </c>
      <c r="D1923" s="122" t="s">
        <v>93</v>
      </c>
      <c r="E1923" s="122"/>
      <c r="F1923" s="122" t="s">
        <v>2211</v>
      </c>
      <c r="G1923" s="122" t="s">
        <v>1123</v>
      </c>
      <c r="H1923" s="122" t="s">
        <v>267</v>
      </c>
      <c r="I1923" s="122"/>
      <c r="J1923" s="41"/>
      <c r="K1923" s="141" t="s">
        <v>2126</v>
      </c>
    </row>
    <row r="1924" spans="1:11" s="61" customFormat="1" ht="33" customHeight="1">
      <c r="A1924" s="129"/>
      <c r="B1924" s="129"/>
      <c r="C1924" s="129"/>
      <c r="D1924" s="129"/>
      <c r="E1924" s="481" t="s">
        <v>2127</v>
      </c>
      <c r="F1924" s="129" t="s">
        <v>2211</v>
      </c>
      <c r="G1924" s="129" t="s">
        <v>271</v>
      </c>
      <c r="H1924" s="129" t="s">
        <v>267</v>
      </c>
      <c r="I1924" s="129"/>
      <c r="J1924" s="8"/>
      <c r="K1924" s="181" t="s">
        <v>2126</v>
      </c>
    </row>
    <row r="1925" spans="1:11" customFormat="1" ht="37.5">
      <c r="A1925" s="122" t="s">
        <v>2213</v>
      </c>
      <c r="B1925" s="122" t="s">
        <v>2076</v>
      </c>
      <c r="C1925" s="122" t="s">
        <v>267</v>
      </c>
      <c r="D1925" s="122" t="s">
        <v>93</v>
      </c>
      <c r="E1925" s="122"/>
      <c r="F1925" s="122" t="s">
        <v>2211</v>
      </c>
      <c r="G1925" s="122" t="s">
        <v>2143</v>
      </c>
      <c r="H1925" s="122" t="s">
        <v>267</v>
      </c>
      <c r="I1925" s="122"/>
      <c r="J1925" s="41"/>
      <c r="K1925" s="141" t="s">
        <v>2126</v>
      </c>
    </row>
    <row r="1926" spans="1:11" customFormat="1" ht="37.5">
      <c r="A1926" s="122" t="s">
        <v>2213</v>
      </c>
      <c r="B1926" s="122" t="s">
        <v>2078</v>
      </c>
      <c r="C1926" s="122" t="s">
        <v>267</v>
      </c>
      <c r="D1926" s="122" t="s">
        <v>93</v>
      </c>
      <c r="E1926" s="122"/>
      <c r="F1926" s="122" t="s">
        <v>2211</v>
      </c>
      <c r="G1926" s="122" t="s">
        <v>2144</v>
      </c>
      <c r="H1926" s="122" t="s">
        <v>267</v>
      </c>
      <c r="I1926" s="122"/>
      <c r="J1926" s="41"/>
      <c r="K1926" s="141" t="s">
        <v>2126</v>
      </c>
    </row>
    <row r="1927" spans="1:11" customFormat="1" ht="37.5">
      <c r="A1927" s="122" t="s">
        <v>2213</v>
      </c>
      <c r="B1927" s="122" t="s">
        <v>2079</v>
      </c>
      <c r="C1927" s="122" t="s">
        <v>267</v>
      </c>
      <c r="D1927" s="122" t="s">
        <v>93</v>
      </c>
      <c r="E1927" s="122"/>
      <c r="F1927" s="122" t="s">
        <v>2211</v>
      </c>
      <c r="G1927" s="122" t="s">
        <v>2145</v>
      </c>
      <c r="H1927" s="122" t="s">
        <v>267</v>
      </c>
      <c r="I1927" s="122"/>
      <c r="J1927" s="41"/>
      <c r="K1927" s="141" t="s">
        <v>2126</v>
      </c>
    </row>
    <row r="1928" spans="1:11" customFormat="1" ht="37.5">
      <c r="A1928" s="122" t="s">
        <v>2213</v>
      </c>
      <c r="B1928" s="122" t="s">
        <v>2080</v>
      </c>
      <c r="C1928" s="122" t="s">
        <v>267</v>
      </c>
      <c r="D1928" s="122" t="s">
        <v>93</v>
      </c>
      <c r="E1928" s="122"/>
      <c r="F1928" s="122" t="s">
        <v>2211</v>
      </c>
      <c r="G1928" s="122" t="s">
        <v>2146</v>
      </c>
      <c r="H1928" s="122" t="s">
        <v>267</v>
      </c>
      <c r="I1928" s="122"/>
      <c r="J1928" s="41"/>
      <c r="K1928" s="141" t="s">
        <v>2126</v>
      </c>
    </row>
    <row r="1929" spans="1:11" customFormat="1" ht="37.5">
      <c r="A1929" s="122" t="s">
        <v>2214</v>
      </c>
      <c r="B1929" s="122" t="s">
        <v>2102</v>
      </c>
      <c r="C1929" s="122" t="s">
        <v>267</v>
      </c>
      <c r="D1929" s="122" t="s">
        <v>263</v>
      </c>
      <c r="E1929" s="122" t="s">
        <v>2128</v>
      </c>
      <c r="F1929" s="122" t="s">
        <v>2211</v>
      </c>
      <c r="G1929" s="122" t="s">
        <v>2129</v>
      </c>
      <c r="H1929" s="122" t="s">
        <v>267</v>
      </c>
      <c r="I1929" s="122"/>
      <c r="J1929" s="41"/>
      <c r="K1929" s="141" t="s">
        <v>2126</v>
      </c>
    </row>
    <row r="1930" spans="1:11" customFormat="1" ht="37.5">
      <c r="A1930" s="122" t="s">
        <v>2214</v>
      </c>
      <c r="B1930" s="122" t="s">
        <v>2103</v>
      </c>
      <c r="C1930" s="122" t="s">
        <v>267</v>
      </c>
      <c r="D1930" s="122" t="s">
        <v>263</v>
      </c>
      <c r="E1930" s="122" t="s">
        <v>2130</v>
      </c>
      <c r="F1930" s="122" t="s">
        <v>2211</v>
      </c>
      <c r="G1930" s="122" t="s">
        <v>2131</v>
      </c>
      <c r="H1930" s="122" t="s">
        <v>267</v>
      </c>
      <c r="I1930" s="122"/>
      <c r="J1930" s="41"/>
      <c r="K1930" s="141" t="s">
        <v>2126</v>
      </c>
    </row>
    <row r="1931" spans="1:11" customFormat="1" ht="37.5">
      <c r="A1931" s="122" t="s">
        <v>2214</v>
      </c>
      <c r="B1931" s="122" t="s">
        <v>2104</v>
      </c>
      <c r="C1931" s="122" t="s">
        <v>267</v>
      </c>
      <c r="D1931" s="122" t="s">
        <v>263</v>
      </c>
      <c r="E1931" s="122" t="s">
        <v>2132</v>
      </c>
      <c r="F1931" s="122" t="s">
        <v>2211</v>
      </c>
      <c r="G1931" s="122" t="s">
        <v>2133</v>
      </c>
      <c r="H1931" s="122" t="s">
        <v>267</v>
      </c>
      <c r="I1931" s="122"/>
      <c r="J1931" s="41"/>
      <c r="K1931" s="141" t="s">
        <v>2126</v>
      </c>
    </row>
    <row r="1932" spans="1:11" customFormat="1" ht="37.5">
      <c r="A1932" s="122" t="s">
        <v>2214</v>
      </c>
      <c r="B1932" s="122" t="s">
        <v>2105</v>
      </c>
      <c r="C1932" s="122" t="s">
        <v>267</v>
      </c>
      <c r="D1932" s="122" t="s">
        <v>263</v>
      </c>
      <c r="E1932" s="122" t="s">
        <v>2134</v>
      </c>
      <c r="F1932" s="122" t="s">
        <v>2211</v>
      </c>
      <c r="G1932" s="122" t="s">
        <v>2135</v>
      </c>
      <c r="H1932" s="122" t="s">
        <v>267</v>
      </c>
      <c r="I1932" s="122"/>
      <c r="J1932" s="41"/>
      <c r="K1932" s="141" t="s">
        <v>2126</v>
      </c>
    </row>
    <row r="1933" spans="1:11" customFormat="1" ht="37.5">
      <c r="A1933" s="122" t="s">
        <v>2214</v>
      </c>
      <c r="B1933" s="122" t="s">
        <v>2106</v>
      </c>
      <c r="C1933" s="122" t="s">
        <v>267</v>
      </c>
      <c r="D1933" s="122" t="s">
        <v>263</v>
      </c>
      <c r="E1933" s="122" t="s">
        <v>2136</v>
      </c>
      <c r="F1933" s="122" t="s">
        <v>2211</v>
      </c>
      <c r="G1933" s="122" t="s">
        <v>2137</v>
      </c>
      <c r="H1933" s="122" t="s">
        <v>267</v>
      </c>
      <c r="I1933" s="122"/>
      <c r="J1933" s="41"/>
      <c r="K1933" s="141" t="s">
        <v>2126</v>
      </c>
    </row>
    <row r="1934" spans="1:11" customFormat="1" ht="37.5">
      <c r="A1934" s="122" t="s">
        <v>2214</v>
      </c>
      <c r="B1934" s="122" t="s">
        <v>2107</v>
      </c>
      <c r="C1934" s="122" t="s">
        <v>267</v>
      </c>
      <c r="D1934" s="122" t="s">
        <v>263</v>
      </c>
      <c r="E1934" s="122"/>
      <c r="F1934" s="122" t="s">
        <v>2211</v>
      </c>
      <c r="G1934" s="122" t="s">
        <v>2138</v>
      </c>
      <c r="H1934" s="122" t="s">
        <v>267</v>
      </c>
      <c r="I1934" s="122"/>
      <c r="J1934" s="41"/>
      <c r="K1934" s="141" t="s">
        <v>2126</v>
      </c>
    </row>
    <row r="1935" spans="1:11" customFormat="1" ht="37.5">
      <c r="A1935" s="122" t="s">
        <v>2214</v>
      </c>
      <c r="B1935" s="122" t="s">
        <v>2109</v>
      </c>
      <c r="C1935" s="122" t="s">
        <v>267</v>
      </c>
      <c r="D1935" s="122" t="s">
        <v>263</v>
      </c>
      <c r="E1935" s="122" t="s">
        <v>2139</v>
      </c>
      <c r="F1935" s="122" t="s">
        <v>2211</v>
      </c>
      <c r="G1935" s="122" t="s">
        <v>2140</v>
      </c>
      <c r="H1935" s="122" t="s">
        <v>267</v>
      </c>
      <c r="I1935" s="122"/>
      <c r="J1935" s="41"/>
      <c r="K1935" s="141" t="s">
        <v>2126</v>
      </c>
    </row>
    <row r="1936" spans="1:11" customFormat="1" ht="37.5">
      <c r="A1936" s="122" t="s">
        <v>2214</v>
      </c>
      <c r="B1936" s="122" t="s">
        <v>2110</v>
      </c>
      <c r="C1936" s="122" t="s">
        <v>267</v>
      </c>
      <c r="D1936" s="122" t="s">
        <v>263</v>
      </c>
      <c r="E1936" s="122" t="s">
        <v>2141</v>
      </c>
      <c r="F1936" s="122" t="s">
        <v>2211</v>
      </c>
      <c r="G1936" s="122" t="s">
        <v>2142</v>
      </c>
      <c r="H1936" s="122" t="s">
        <v>267</v>
      </c>
      <c r="I1936" s="122"/>
      <c r="J1936" s="41"/>
      <c r="K1936" s="141" t="s">
        <v>2126</v>
      </c>
    </row>
    <row r="1937" spans="1:19" customFormat="1" ht="37.5">
      <c r="A1937" s="122" t="s">
        <v>2212</v>
      </c>
      <c r="B1937" s="122" t="s">
        <v>2065</v>
      </c>
      <c r="C1937" s="122" t="s">
        <v>274</v>
      </c>
      <c r="D1937" s="122" t="s">
        <v>93</v>
      </c>
      <c r="E1937" s="122"/>
      <c r="F1937" s="122" t="s">
        <v>2211</v>
      </c>
      <c r="G1937" s="122" t="s">
        <v>2206</v>
      </c>
      <c r="H1937" s="122" t="s">
        <v>274</v>
      </c>
      <c r="I1937" s="122"/>
      <c r="J1937" s="41"/>
      <c r="K1937" s="141" t="s">
        <v>2126</v>
      </c>
    </row>
    <row r="1938" spans="1:19" customFormat="1" ht="37.5">
      <c r="A1938" s="122" t="s">
        <v>2210</v>
      </c>
      <c r="B1938" s="122" t="s">
        <v>2107</v>
      </c>
      <c r="C1938" s="122" t="s">
        <v>267</v>
      </c>
      <c r="D1938" s="122" t="s">
        <v>93</v>
      </c>
      <c r="E1938" s="122"/>
      <c r="F1938" s="122" t="s">
        <v>2211</v>
      </c>
      <c r="G1938" s="122" t="s">
        <v>2215</v>
      </c>
      <c r="H1938" s="122" t="s">
        <v>267</v>
      </c>
      <c r="I1938" s="122"/>
      <c r="J1938" s="41"/>
      <c r="K1938" s="141" t="s">
        <v>2126</v>
      </c>
    </row>
    <row r="1939" spans="1:19" customFormat="1" ht="37.5">
      <c r="A1939" s="122" t="s">
        <v>2210</v>
      </c>
      <c r="B1939" s="122" t="s">
        <v>2216</v>
      </c>
      <c r="C1939" s="122" t="s">
        <v>280</v>
      </c>
      <c r="D1939" s="122" t="s">
        <v>93</v>
      </c>
      <c r="E1939" s="122"/>
      <c r="F1939" s="122" t="s">
        <v>2211</v>
      </c>
      <c r="G1939" s="122" t="s">
        <v>2217</v>
      </c>
      <c r="H1939" s="122" t="s">
        <v>280</v>
      </c>
      <c r="I1939" s="122"/>
      <c r="J1939" s="41"/>
      <c r="K1939" s="141" t="s">
        <v>2126</v>
      </c>
    </row>
    <row r="1940" spans="1:19" customFormat="1" ht="37.5">
      <c r="A1940" s="122" t="s">
        <v>2210</v>
      </c>
      <c r="B1940" s="122" t="s">
        <v>2218</v>
      </c>
      <c r="C1940" s="122" t="s">
        <v>267</v>
      </c>
      <c r="D1940" s="122" t="s">
        <v>93</v>
      </c>
      <c r="E1940" s="122"/>
      <c r="F1940" s="122" t="s">
        <v>2211</v>
      </c>
      <c r="G1940" s="122" t="s">
        <v>2219</v>
      </c>
      <c r="H1940" s="122" t="s">
        <v>267</v>
      </c>
      <c r="I1940" s="122"/>
      <c r="J1940" s="41"/>
      <c r="K1940" s="141" t="s">
        <v>2126</v>
      </c>
    </row>
    <row r="1941" spans="1:19" customFormat="1" ht="37.5">
      <c r="A1941" s="122" t="s">
        <v>2210</v>
      </c>
      <c r="B1941" s="122" t="s">
        <v>2220</v>
      </c>
      <c r="C1941" s="122" t="s">
        <v>280</v>
      </c>
      <c r="D1941" s="122" t="s">
        <v>93</v>
      </c>
      <c r="E1941" s="122"/>
      <c r="F1941" s="122" t="s">
        <v>2211</v>
      </c>
      <c r="G1941" s="122" t="s">
        <v>2221</v>
      </c>
      <c r="H1941" s="122" t="s">
        <v>280</v>
      </c>
      <c r="I1941" s="122"/>
      <c r="J1941" s="41"/>
      <c r="K1941" s="141" t="s">
        <v>2126</v>
      </c>
    </row>
    <row r="1942" spans="1:19" customFormat="1" ht="37.5">
      <c r="A1942" s="122"/>
      <c r="B1942" s="142"/>
      <c r="C1942" s="122"/>
      <c r="D1942" s="122"/>
      <c r="E1942" s="383" t="s">
        <v>1474</v>
      </c>
      <c r="F1942" s="122" t="s">
        <v>2211</v>
      </c>
      <c r="G1942" s="141" t="s">
        <v>1171</v>
      </c>
      <c r="H1942" s="122" t="s">
        <v>267</v>
      </c>
      <c r="I1942" s="141" t="str">
        <f>UPPER(SUBSTITUTE(G1942,"_"," "))</f>
        <v>CPA SOURCE</v>
      </c>
      <c r="J1942" s="304"/>
      <c r="K1942" s="141" t="s">
        <v>2126</v>
      </c>
    </row>
    <row r="1943" spans="1:19" customFormat="1" ht="37.5">
      <c r="A1943" s="122"/>
      <c r="B1943" s="142"/>
      <c r="C1943" s="122"/>
      <c r="D1943" s="122"/>
      <c r="E1943" s="123" t="s">
        <v>2222</v>
      </c>
      <c r="F1943" s="122" t="s">
        <v>2211</v>
      </c>
      <c r="G1943" s="141" t="s">
        <v>905</v>
      </c>
      <c r="H1943" s="122" t="s">
        <v>267</v>
      </c>
      <c r="I1943" s="141" t="str">
        <f>UPPER(SUBSTITUTE(G1943,"_"," "))</f>
        <v>CPA SUB SOURCE</v>
      </c>
      <c r="J1943" s="304"/>
      <c r="K1943" s="141" t="s">
        <v>2126</v>
      </c>
    </row>
    <row r="1944" spans="1:19" customFormat="1" ht="14.5"/>
    <row r="1947" spans="1:19" ht="13">
      <c r="A1947" s="518" t="s">
        <v>2223</v>
      </c>
      <c r="B1947" s="518"/>
      <c r="C1947" s="518"/>
      <c r="D1947" s="518"/>
      <c r="E1947" s="518"/>
      <c r="F1947" s="518"/>
      <c r="G1947" s="518"/>
      <c r="H1947" s="518"/>
      <c r="I1947" s="518"/>
      <c r="J1947" s="518"/>
    </row>
    <row r="1949" spans="1:19" ht="13">
      <c r="A1949" s="323" t="s">
        <v>2224</v>
      </c>
      <c r="B1949" s="116"/>
      <c r="C1949" s="116"/>
      <c r="D1949" s="116"/>
      <c r="E1949" s="116"/>
      <c r="F1949" s="116"/>
      <c r="G1949" s="324"/>
      <c r="H1949" s="325"/>
      <c r="I1949" s="325"/>
      <c r="J1949" s="116"/>
      <c r="K1949" s="326"/>
    </row>
    <row r="1950" spans="1:19" ht="112.5">
      <c r="A1950" s="384" t="s">
        <v>1406</v>
      </c>
      <c r="B1950" s="116"/>
      <c r="C1950" s="116"/>
      <c r="D1950" s="116"/>
      <c r="E1950" s="116"/>
      <c r="F1950" s="116"/>
      <c r="G1950" s="324"/>
      <c r="H1950" s="325"/>
      <c r="I1950" s="325"/>
      <c r="J1950" s="116"/>
      <c r="K1950" s="327"/>
    </row>
    <row r="1951" spans="1:19" ht="13">
      <c r="A1951" s="183" t="s">
        <v>73</v>
      </c>
      <c r="B1951" s="249" t="s">
        <v>74</v>
      </c>
      <c r="C1951" s="152" t="s">
        <v>75</v>
      </c>
      <c r="D1951" s="114" t="s">
        <v>76</v>
      </c>
      <c r="E1951" s="153" t="s">
        <v>77</v>
      </c>
      <c r="F1951" s="114" t="s">
        <v>78</v>
      </c>
      <c r="G1951" s="185" t="s">
        <v>79</v>
      </c>
      <c r="H1951" s="185" t="s">
        <v>80</v>
      </c>
      <c r="I1951" s="185" t="s">
        <v>683</v>
      </c>
      <c r="J1951" s="338" t="s">
        <v>2225</v>
      </c>
      <c r="K1951" s="339" t="s">
        <v>261</v>
      </c>
    </row>
    <row r="1952" spans="1:19">
      <c r="A1952" s="384" t="s">
        <v>1408</v>
      </c>
      <c r="B1952" s="384" t="s">
        <v>1409</v>
      </c>
      <c r="C1952" s="384" t="s">
        <v>1292</v>
      </c>
      <c r="D1952" s="384" t="s">
        <v>686</v>
      </c>
      <c r="E1952" s="384"/>
      <c r="F1952" s="384" t="s">
        <v>1405</v>
      </c>
      <c r="G1952" s="384" t="s">
        <v>1409</v>
      </c>
      <c r="H1952" s="384" t="s">
        <v>1292</v>
      </c>
      <c r="I1952" s="384" t="s">
        <v>1122</v>
      </c>
      <c r="J1952" s="385"/>
      <c r="K1952" s="172" t="s">
        <v>2226</v>
      </c>
      <c r="L1952" s="159"/>
      <c r="M1952" s="159"/>
      <c r="N1952" s="159"/>
      <c r="O1952" s="159"/>
      <c r="P1952" s="159"/>
      <c r="Q1952" s="159"/>
      <c r="R1952" s="159"/>
      <c r="S1952" s="159"/>
    </row>
    <row r="1953" spans="1:19">
      <c r="A1953" s="384" t="s">
        <v>1408</v>
      </c>
      <c r="B1953" s="384" t="s">
        <v>1412</v>
      </c>
      <c r="C1953" s="384" t="s">
        <v>351</v>
      </c>
      <c r="D1953" s="384" t="s">
        <v>686</v>
      </c>
      <c r="E1953" s="384"/>
      <c r="F1953" s="384" t="s">
        <v>1405</v>
      </c>
      <c r="G1953" s="384" t="s">
        <v>1412</v>
      </c>
      <c r="H1953" s="384" t="s">
        <v>351</v>
      </c>
      <c r="I1953" s="384" t="s">
        <v>1412</v>
      </c>
      <c r="J1953" s="385"/>
      <c r="K1953" s="172" t="s">
        <v>2226</v>
      </c>
      <c r="L1953" s="159"/>
      <c r="M1953" s="159"/>
      <c r="N1953" s="159"/>
      <c r="O1953" s="159"/>
      <c r="P1953" s="159"/>
      <c r="Q1953" s="159"/>
      <c r="R1953" s="159"/>
      <c r="S1953" s="159"/>
    </row>
    <row r="1954" spans="1:19" ht="13">
      <c r="A1954" s="328"/>
      <c r="B1954" s="329"/>
      <c r="C1954" s="330"/>
      <c r="D1954" s="327"/>
      <c r="E1954" s="327"/>
      <c r="F1954" s="327"/>
      <c r="G1954" s="327"/>
      <c r="H1954" s="330"/>
      <c r="I1954" s="327"/>
      <c r="J1954" s="327"/>
      <c r="K1954" s="327"/>
    </row>
    <row r="1955" spans="1:19" ht="13">
      <c r="A1955" s="328" t="s">
        <v>2227</v>
      </c>
      <c r="B1955" s="159"/>
      <c r="C1955" s="159"/>
      <c r="D1955" s="159"/>
      <c r="E1955" s="159"/>
      <c r="F1955" s="159"/>
      <c r="G1955" s="331"/>
      <c r="H1955" s="184"/>
      <c r="I1955" s="184"/>
      <c r="J1955" s="159"/>
      <c r="K1955" s="327"/>
    </row>
    <row r="1956" spans="1:19" ht="187.5">
      <c r="A1956" s="203" t="s">
        <v>2228</v>
      </c>
      <c r="B1956" s="159"/>
      <c r="C1956" s="159"/>
      <c r="D1956" s="159"/>
      <c r="E1956" s="159"/>
      <c r="F1956" s="159"/>
      <c r="G1956" s="331"/>
      <c r="H1956" s="184"/>
      <c r="I1956" s="184"/>
      <c r="J1956" s="159"/>
      <c r="K1956" s="327"/>
    </row>
    <row r="1957" spans="1:19" ht="13">
      <c r="A1957" s="183" t="s">
        <v>73</v>
      </c>
      <c r="B1957" s="249" t="s">
        <v>74</v>
      </c>
      <c r="C1957" s="152" t="s">
        <v>75</v>
      </c>
      <c r="D1957" s="114" t="s">
        <v>76</v>
      </c>
      <c r="E1957" s="153" t="s">
        <v>77</v>
      </c>
      <c r="F1957" s="114" t="s">
        <v>78</v>
      </c>
      <c r="G1957" s="185" t="s">
        <v>79</v>
      </c>
      <c r="H1957" s="185" t="s">
        <v>80</v>
      </c>
      <c r="I1957" s="185" t="s">
        <v>683</v>
      </c>
      <c r="J1957" s="114" t="s">
        <v>2225</v>
      </c>
      <c r="K1957" s="339" t="s">
        <v>261</v>
      </c>
    </row>
    <row r="1958" spans="1:19">
      <c r="A1958" s="274" t="s">
        <v>1408</v>
      </c>
      <c r="B1958" s="122" t="s">
        <v>87</v>
      </c>
      <c r="C1958" s="122" t="s">
        <v>351</v>
      </c>
      <c r="D1958" s="122" t="s">
        <v>686</v>
      </c>
      <c r="E1958" s="122"/>
      <c r="F1958" s="175" t="s">
        <v>2227</v>
      </c>
      <c r="G1958" s="131" t="s">
        <v>87</v>
      </c>
      <c r="H1958" s="142" t="s">
        <v>351</v>
      </c>
      <c r="I1958" s="142" t="s">
        <v>87</v>
      </c>
      <c r="J1958" s="122"/>
      <c r="K1958" s="172" t="s">
        <v>2226</v>
      </c>
      <c r="L1958" s="159"/>
      <c r="M1958" s="159"/>
      <c r="N1958" s="159"/>
      <c r="O1958" s="159"/>
      <c r="P1958" s="159"/>
      <c r="Q1958" s="159"/>
      <c r="R1958" s="159"/>
      <c r="S1958" s="159"/>
    </row>
    <row r="1959" spans="1:19">
      <c r="A1959" s="274" t="s">
        <v>1408</v>
      </c>
      <c r="B1959" s="122" t="s">
        <v>1122</v>
      </c>
      <c r="C1959" s="122" t="s">
        <v>1292</v>
      </c>
      <c r="D1959" s="122" t="s">
        <v>686</v>
      </c>
      <c r="E1959" s="122"/>
      <c r="F1959" s="175" t="s">
        <v>2227</v>
      </c>
      <c r="G1959" s="131" t="s">
        <v>1122</v>
      </c>
      <c r="H1959" s="142" t="s">
        <v>1292</v>
      </c>
      <c r="I1959" s="142" t="s">
        <v>1122</v>
      </c>
      <c r="J1959" s="122"/>
      <c r="K1959" s="172" t="s">
        <v>2226</v>
      </c>
      <c r="L1959" s="159"/>
      <c r="M1959" s="159"/>
      <c r="N1959" s="159"/>
      <c r="O1959" s="159"/>
      <c r="P1959" s="159"/>
      <c r="Q1959" s="159"/>
      <c r="R1959" s="159"/>
      <c r="S1959" s="159"/>
    </row>
    <row r="1960" spans="1:19">
      <c r="A1960" s="274" t="s">
        <v>1408</v>
      </c>
      <c r="B1960" s="122" t="s">
        <v>1415</v>
      </c>
      <c r="C1960" s="122" t="s">
        <v>351</v>
      </c>
      <c r="D1960" s="122" t="s">
        <v>686</v>
      </c>
      <c r="E1960" s="122"/>
      <c r="F1960" s="175" t="s">
        <v>2227</v>
      </c>
      <c r="G1960" s="131" t="s">
        <v>1415</v>
      </c>
      <c r="H1960" s="142" t="s">
        <v>351</v>
      </c>
      <c r="I1960" s="142" t="s">
        <v>1415</v>
      </c>
      <c r="J1960" s="122"/>
      <c r="K1960" s="172" t="s">
        <v>2226</v>
      </c>
      <c r="L1960" s="159"/>
      <c r="M1960" s="159"/>
      <c r="N1960" s="159"/>
      <c r="O1960" s="159"/>
      <c r="P1960" s="159"/>
      <c r="Q1960" s="159"/>
      <c r="R1960" s="159"/>
      <c r="S1960" s="159"/>
    </row>
    <row r="1961" spans="1:19" ht="13">
      <c r="A1961" s="335"/>
      <c r="B1961" s="159"/>
      <c r="C1961" s="159"/>
      <c r="D1961" s="159"/>
      <c r="E1961" s="159"/>
      <c r="F1961" s="336"/>
      <c r="G1961" s="331"/>
      <c r="H1961" s="184"/>
      <c r="I1961" s="184"/>
      <c r="J1961" s="159"/>
      <c r="K1961" s="327"/>
    </row>
    <row r="1962" spans="1:19" ht="13">
      <c r="A1962" s="335"/>
      <c r="B1962" s="159"/>
      <c r="C1962" s="159"/>
      <c r="D1962" s="159"/>
      <c r="E1962" s="159"/>
      <c r="F1962" s="336"/>
      <c r="G1962" s="331"/>
      <c r="H1962" s="184"/>
      <c r="I1962" s="184"/>
      <c r="J1962" s="159"/>
      <c r="K1962" s="327"/>
    </row>
    <row r="1963" spans="1:19" ht="13">
      <c r="A1963" s="518" t="s">
        <v>2229</v>
      </c>
      <c r="B1963" s="523"/>
      <c r="C1963" s="523"/>
      <c r="D1963" s="523"/>
      <c r="E1963" s="523"/>
      <c r="F1963" s="523"/>
      <c r="G1963" s="523"/>
      <c r="H1963" s="523"/>
      <c r="I1963" s="523"/>
      <c r="J1963" s="523"/>
      <c r="K1963" s="523"/>
    </row>
    <row r="1964" spans="1:19" ht="13">
      <c r="A1964" s="328"/>
      <c r="B1964" s="329"/>
      <c r="C1964" s="330"/>
      <c r="D1964" s="327"/>
      <c r="E1964" s="327"/>
      <c r="F1964" s="327"/>
      <c r="G1964" s="327"/>
      <c r="H1964" s="330"/>
      <c r="I1964" s="327"/>
      <c r="J1964" s="327"/>
      <c r="K1964" s="327"/>
    </row>
    <row r="1965" spans="1:19" ht="175">
      <c r="A1965" s="329" t="s">
        <v>2230</v>
      </c>
      <c r="C1965" s="330"/>
      <c r="D1965" s="327"/>
      <c r="E1965" s="327"/>
      <c r="F1965" s="327"/>
      <c r="G1965" s="327"/>
      <c r="H1965" s="330"/>
      <c r="I1965" s="327"/>
      <c r="J1965" s="327"/>
      <c r="K1965" s="327"/>
    </row>
    <row r="1966" spans="1:19" ht="13">
      <c r="A1966" s="183" t="s">
        <v>73</v>
      </c>
      <c r="B1966" s="249" t="s">
        <v>74</v>
      </c>
      <c r="C1966" s="152" t="s">
        <v>75</v>
      </c>
      <c r="D1966" s="114" t="s">
        <v>76</v>
      </c>
      <c r="E1966" s="153" t="s">
        <v>77</v>
      </c>
      <c r="F1966" s="114" t="s">
        <v>78</v>
      </c>
      <c r="G1966" s="185" t="s">
        <v>79</v>
      </c>
      <c r="H1966" s="185" t="s">
        <v>80</v>
      </c>
      <c r="I1966" s="185" t="s">
        <v>683</v>
      </c>
      <c r="J1966" s="114" t="s">
        <v>2225</v>
      </c>
      <c r="K1966" s="339" t="s">
        <v>261</v>
      </c>
    </row>
    <row r="1967" spans="1:19" ht="13">
      <c r="A1967" s="274" t="s">
        <v>1408</v>
      </c>
      <c r="B1967" s="386" t="s">
        <v>87</v>
      </c>
      <c r="C1967" s="387"/>
      <c r="D1967" s="122" t="s">
        <v>686</v>
      </c>
      <c r="E1967" s="154"/>
      <c r="F1967" s="120" t="s">
        <v>2229</v>
      </c>
      <c r="G1967" s="386" t="s">
        <v>87</v>
      </c>
      <c r="H1967" s="388" t="s">
        <v>274</v>
      </c>
      <c r="I1967" s="154"/>
      <c r="J1967" s="154"/>
      <c r="K1967" s="172" t="s">
        <v>2226</v>
      </c>
      <c r="L1967" s="159"/>
      <c r="M1967" s="159"/>
      <c r="N1967" s="159"/>
      <c r="O1967" s="159"/>
      <c r="P1967" s="159"/>
      <c r="Q1967" s="159"/>
      <c r="R1967" s="159"/>
      <c r="S1967" s="159"/>
    </row>
    <row r="1968" spans="1:19" ht="13">
      <c r="A1968" s="274" t="s">
        <v>1408</v>
      </c>
      <c r="B1968" s="386" t="s">
        <v>92</v>
      </c>
      <c r="C1968" s="387"/>
      <c r="D1968" s="122" t="s">
        <v>686</v>
      </c>
      <c r="E1968" s="154"/>
      <c r="F1968" s="120" t="s">
        <v>2229</v>
      </c>
      <c r="G1968" s="386" t="s">
        <v>92</v>
      </c>
      <c r="H1968" s="142" t="s">
        <v>1292</v>
      </c>
      <c r="I1968" s="154"/>
      <c r="J1968" s="154"/>
      <c r="K1968" s="172" t="s">
        <v>2226</v>
      </c>
      <c r="L1968" s="159"/>
      <c r="M1968" s="159"/>
      <c r="N1968" s="159"/>
      <c r="O1968" s="159"/>
      <c r="P1968" s="159"/>
      <c r="Q1968" s="159"/>
      <c r="R1968" s="159"/>
      <c r="S1968" s="159"/>
    </row>
    <row r="1969" spans="1:19" ht="13">
      <c r="A1969" s="274" t="s">
        <v>1408</v>
      </c>
      <c r="B1969" s="386" t="s">
        <v>2231</v>
      </c>
      <c r="C1969" s="387"/>
      <c r="D1969" s="122" t="s">
        <v>686</v>
      </c>
      <c r="E1969" s="154"/>
      <c r="F1969" s="120" t="s">
        <v>2229</v>
      </c>
      <c r="G1969" s="386" t="s">
        <v>2231</v>
      </c>
      <c r="H1969" s="388" t="s">
        <v>1327</v>
      </c>
      <c r="I1969" s="154"/>
      <c r="J1969" s="154"/>
      <c r="K1969" s="172" t="s">
        <v>2226</v>
      </c>
      <c r="L1969" s="159"/>
      <c r="M1969" s="159"/>
      <c r="N1969" s="159"/>
      <c r="O1969" s="159"/>
      <c r="P1969" s="159"/>
      <c r="Q1969" s="159"/>
      <c r="R1969" s="159"/>
      <c r="S1969" s="159"/>
    </row>
    <row r="1970" spans="1:19" ht="13">
      <c r="A1970" s="332"/>
      <c r="B1970" s="333"/>
      <c r="C1970" s="330"/>
      <c r="D1970" s="159"/>
      <c r="E1970" s="327"/>
      <c r="F1970" s="203"/>
      <c r="G1970" s="333"/>
      <c r="H1970" s="334"/>
      <c r="I1970" s="327"/>
      <c r="J1970" s="327"/>
      <c r="K1970" s="327"/>
    </row>
    <row r="1971" spans="1:19" ht="13">
      <c r="A1971" s="518" t="s">
        <v>2232</v>
      </c>
      <c r="B1971" s="523"/>
      <c r="C1971" s="523"/>
      <c r="D1971" s="523"/>
      <c r="E1971" s="523"/>
      <c r="F1971" s="523"/>
      <c r="G1971" s="523"/>
      <c r="H1971" s="523"/>
      <c r="I1971" s="523"/>
      <c r="J1971" s="523"/>
      <c r="K1971" s="523"/>
    </row>
    <row r="1972" spans="1:19" ht="409.5">
      <c r="A1972" s="118" t="s">
        <v>2233</v>
      </c>
      <c r="B1972" s="159"/>
      <c r="C1972" s="159"/>
      <c r="D1972" s="159"/>
      <c r="E1972" s="159"/>
      <c r="F1972" s="159"/>
      <c r="G1972" s="159"/>
      <c r="H1972" s="141"/>
      <c r="I1972" s="159"/>
      <c r="J1972" s="159"/>
      <c r="K1972" s="159"/>
    </row>
    <row r="1973" spans="1:19">
      <c r="A1973" s="132"/>
      <c r="B1973" s="159"/>
      <c r="C1973" s="159"/>
      <c r="D1973" s="159"/>
      <c r="E1973" s="159"/>
      <c r="F1973" s="159"/>
      <c r="G1973" s="159"/>
      <c r="H1973" s="141"/>
      <c r="I1973" s="159"/>
      <c r="J1973" s="159"/>
      <c r="K1973" s="159"/>
    </row>
    <row r="1974" spans="1:19" ht="13">
      <c r="A1974" s="183" t="s">
        <v>73</v>
      </c>
      <c r="B1974" s="186" t="s">
        <v>74</v>
      </c>
      <c r="C1974" s="185" t="s">
        <v>75</v>
      </c>
      <c r="D1974" s="185" t="s">
        <v>76</v>
      </c>
      <c r="E1974" s="153" t="s">
        <v>77</v>
      </c>
      <c r="F1974" s="186" t="s">
        <v>78</v>
      </c>
      <c r="G1974" s="186" t="s">
        <v>79</v>
      </c>
      <c r="H1974" s="186" t="s">
        <v>80</v>
      </c>
      <c r="I1974" s="186" t="s">
        <v>683</v>
      </c>
      <c r="J1974" s="186" t="s">
        <v>260</v>
      </c>
      <c r="K1974" s="162" t="s">
        <v>261</v>
      </c>
    </row>
    <row r="1975" spans="1:19">
      <c r="A1975" s="274" t="s">
        <v>1844</v>
      </c>
      <c r="B1975" s="142" t="s">
        <v>87</v>
      </c>
      <c r="C1975" s="142" t="s">
        <v>351</v>
      </c>
      <c r="D1975" s="142" t="s">
        <v>686</v>
      </c>
      <c r="E1975" s="122"/>
      <c r="F1975" s="304" t="s">
        <v>2234</v>
      </c>
      <c r="G1975" s="142" t="s">
        <v>87</v>
      </c>
      <c r="H1975" s="142" t="s">
        <v>351</v>
      </c>
      <c r="I1975" s="142" t="str">
        <f>SUBSTITUTE(G1975,"_"," ")</f>
        <v>DAT MONTH ID</v>
      </c>
      <c r="J1975" s="141"/>
      <c r="K1975" s="158" t="s">
        <v>2226</v>
      </c>
      <c r="L1975" s="159"/>
      <c r="M1975" s="159"/>
      <c r="N1975" s="159"/>
      <c r="O1975" s="159"/>
      <c r="P1975" s="159"/>
      <c r="Q1975" s="159"/>
      <c r="R1975" s="159"/>
      <c r="S1975" s="159"/>
    </row>
    <row r="1976" spans="1:19">
      <c r="A1976" s="274" t="s">
        <v>1844</v>
      </c>
      <c r="B1976" s="142" t="s">
        <v>709</v>
      </c>
      <c r="C1976" s="142" t="s">
        <v>1292</v>
      </c>
      <c r="D1976" s="142" t="s">
        <v>686</v>
      </c>
      <c r="E1976" s="122"/>
      <c r="F1976" s="304" t="s">
        <v>2234</v>
      </c>
      <c r="G1976" s="142" t="s">
        <v>709</v>
      </c>
      <c r="H1976" s="142" t="s">
        <v>1292</v>
      </c>
      <c r="I1976" s="142" t="str">
        <f t="shared" ref="I1976:I1977" si="5">SUBSTITUTE(G1976,"_"," ")</f>
        <v>CHNL LEVEL 2</v>
      </c>
      <c r="J1976" s="141"/>
      <c r="K1976" s="158" t="s">
        <v>2226</v>
      </c>
      <c r="L1976" s="159"/>
      <c r="M1976" s="159"/>
      <c r="N1976" s="159"/>
      <c r="O1976" s="159"/>
      <c r="P1976" s="159"/>
      <c r="Q1976" s="159"/>
      <c r="R1976" s="159"/>
      <c r="S1976" s="159"/>
    </row>
    <row r="1977" spans="1:19">
      <c r="A1977" s="274" t="s">
        <v>1844</v>
      </c>
      <c r="B1977" s="142" t="s">
        <v>1845</v>
      </c>
      <c r="C1977" s="142" t="s">
        <v>1327</v>
      </c>
      <c r="D1977" s="142" t="s">
        <v>686</v>
      </c>
      <c r="E1977" s="122"/>
      <c r="F1977" s="304" t="s">
        <v>2234</v>
      </c>
      <c r="G1977" s="142" t="s">
        <v>1845</v>
      </c>
      <c r="H1977" s="142" t="s">
        <v>1327</v>
      </c>
      <c r="I1977" s="142" t="str">
        <f t="shared" si="5"/>
        <v>DigitalCost1</v>
      </c>
      <c r="J1977" s="141"/>
      <c r="K1977" s="158" t="s">
        <v>2226</v>
      </c>
      <c r="L1977" s="159"/>
      <c r="M1977" s="159"/>
      <c r="N1977" s="159"/>
      <c r="O1977" s="159"/>
      <c r="P1977" s="159"/>
      <c r="Q1977" s="159"/>
      <c r="R1977" s="159"/>
      <c r="S1977" s="159"/>
    </row>
    <row r="1978" spans="1:19" ht="13">
      <c r="A1978" s="332"/>
      <c r="B1978" s="333"/>
      <c r="C1978" s="330"/>
      <c r="D1978" s="159"/>
      <c r="E1978" s="327"/>
      <c r="F1978" s="203"/>
      <c r="G1978" s="333"/>
      <c r="H1978" s="334"/>
      <c r="I1978" s="327"/>
      <c r="J1978" s="327"/>
      <c r="K1978" s="327"/>
      <c r="L1978" s="159"/>
      <c r="M1978" s="159"/>
      <c r="N1978" s="159"/>
      <c r="O1978" s="159"/>
      <c r="P1978" s="159"/>
      <c r="Q1978" s="159"/>
      <c r="R1978" s="159"/>
      <c r="S1978" s="159"/>
    </row>
    <row r="1979" spans="1:19" ht="13">
      <c r="A1979" s="332"/>
      <c r="B1979" s="333"/>
      <c r="C1979" s="330"/>
      <c r="D1979" s="159"/>
      <c r="E1979" s="327"/>
      <c r="F1979" s="203"/>
      <c r="G1979" s="333"/>
      <c r="H1979" s="334"/>
      <c r="I1979" s="327"/>
      <c r="J1979" s="327"/>
      <c r="K1979" s="327"/>
    </row>
    <row r="1980" spans="1:19" ht="13.5" thickBot="1">
      <c r="A1980" s="518" t="s">
        <v>2235</v>
      </c>
      <c r="B1980" s="523"/>
      <c r="C1980" s="523"/>
      <c r="D1980" s="523"/>
      <c r="E1980" s="523"/>
      <c r="F1980" s="523"/>
      <c r="G1980" s="523"/>
      <c r="H1980" s="523"/>
      <c r="I1980" s="523"/>
      <c r="J1980" s="523"/>
      <c r="K1980" s="523"/>
    </row>
    <row r="1981" spans="1:19" ht="228.5" thickBot="1">
      <c r="A1981" s="449" t="s">
        <v>2236</v>
      </c>
      <c r="B1981" s="329"/>
      <c r="C1981" s="330"/>
      <c r="D1981" s="327"/>
      <c r="E1981" s="327"/>
      <c r="F1981" s="327"/>
      <c r="G1981" s="327"/>
      <c r="H1981" s="330"/>
      <c r="I1981" s="327"/>
      <c r="J1981" s="327"/>
      <c r="K1981" s="327"/>
    </row>
    <row r="1982" spans="1:19" ht="409.6" thickBot="1">
      <c r="A1982" s="449" t="s">
        <v>2237</v>
      </c>
      <c r="B1982" s="450" t="s">
        <v>5233</v>
      </c>
      <c r="D1982" s="327"/>
      <c r="E1982" s="327"/>
      <c r="F1982" s="327"/>
      <c r="G1982" s="327"/>
      <c r="H1982" s="330"/>
      <c r="I1982" s="327"/>
      <c r="J1982" s="327"/>
      <c r="K1982" s="327"/>
    </row>
    <row r="1983" spans="1:19" ht="13">
      <c r="A1983" s="429" t="s">
        <v>73</v>
      </c>
      <c r="B1983" s="429" t="s">
        <v>74</v>
      </c>
      <c r="C1983" s="429" t="s">
        <v>75</v>
      </c>
      <c r="D1983" s="153" t="s">
        <v>76</v>
      </c>
      <c r="E1983" s="153" t="s">
        <v>77</v>
      </c>
      <c r="F1983" s="153" t="s">
        <v>78</v>
      </c>
      <c r="G1983" s="153" t="s">
        <v>79</v>
      </c>
      <c r="H1983" s="249" t="s">
        <v>80</v>
      </c>
      <c r="I1983" s="153" t="s">
        <v>683</v>
      </c>
      <c r="J1983" s="186" t="s">
        <v>260</v>
      </c>
      <c r="K1983" s="153" t="s">
        <v>261</v>
      </c>
    </row>
    <row r="1984" spans="1:19" ht="25">
      <c r="A1984" s="118" t="s">
        <v>2238</v>
      </c>
      <c r="B1984" s="389" t="s">
        <v>87</v>
      </c>
      <c r="C1984" s="389" t="s">
        <v>274</v>
      </c>
      <c r="D1984" s="172" t="s">
        <v>263</v>
      </c>
      <c r="E1984" s="120" t="s">
        <v>909</v>
      </c>
      <c r="F1984" s="122" t="s">
        <v>2235</v>
      </c>
      <c r="G1984" s="172" t="s">
        <v>911</v>
      </c>
      <c r="H1984" s="274" t="s">
        <v>379</v>
      </c>
      <c r="I1984" s="142" t="str">
        <f>SUBSTITUTE(G1984,"_"," ")</f>
        <v>rpt dt</v>
      </c>
      <c r="J1984" s="122" t="s">
        <v>2239</v>
      </c>
      <c r="K1984" s="172" t="s">
        <v>2226</v>
      </c>
      <c r="L1984" s="159"/>
      <c r="M1984" s="159"/>
      <c r="N1984" s="159"/>
      <c r="O1984" s="159"/>
      <c r="P1984" s="159"/>
      <c r="Q1984" s="159"/>
      <c r="R1984" s="159"/>
      <c r="S1984" s="159"/>
    </row>
    <row r="1985" spans="1:19" ht="25">
      <c r="A1985" s="118" t="s">
        <v>2238</v>
      </c>
      <c r="B1985" s="389" t="s">
        <v>92</v>
      </c>
      <c r="C1985" s="389" t="s">
        <v>267</v>
      </c>
      <c r="D1985" s="172" t="s">
        <v>93</v>
      </c>
      <c r="E1985" s="154"/>
      <c r="F1985" s="122" t="s">
        <v>2235</v>
      </c>
      <c r="G1985" s="151" t="s">
        <v>310</v>
      </c>
      <c r="H1985" s="389" t="s">
        <v>267</v>
      </c>
      <c r="I1985" s="142" t="str">
        <f t="shared" ref="I1985:I2050" si="6">SUBSTITUTE(G1985,"_"," ")</f>
        <v>cus customer cd</v>
      </c>
      <c r="J1985" s="122" t="s">
        <v>2239</v>
      </c>
      <c r="K1985" s="172" t="s">
        <v>2226</v>
      </c>
      <c r="L1985" s="159"/>
      <c r="M1985" s="159"/>
      <c r="N1985" s="159"/>
      <c r="O1985" s="159"/>
      <c r="P1985" s="159"/>
      <c r="Q1985" s="159"/>
      <c r="R1985" s="159"/>
      <c r="S1985" s="159"/>
    </row>
    <row r="1986" spans="1:19" ht="25">
      <c r="A1986" s="118" t="s">
        <v>2238</v>
      </c>
      <c r="B1986" s="389" t="s">
        <v>95</v>
      </c>
      <c r="C1986" s="389" t="s">
        <v>267</v>
      </c>
      <c r="D1986" s="172" t="s">
        <v>93</v>
      </c>
      <c r="E1986" s="154"/>
      <c r="F1986" s="122" t="s">
        <v>2235</v>
      </c>
      <c r="G1986" s="158" t="s">
        <v>312</v>
      </c>
      <c r="H1986" s="389" t="s">
        <v>267</v>
      </c>
      <c r="I1986" s="142" t="str">
        <f t="shared" si="6"/>
        <v>sub subscription cd</v>
      </c>
      <c r="J1986" s="122" t="s">
        <v>2239</v>
      </c>
      <c r="K1986" s="172" t="s">
        <v>2226</v>
      </c>
      <c r="L1986" s="159"/>
      <c r="M1986" s="159"/>
      <c r="N1986" s="159"/>
      <c r="O1986" s="159"/>
      <c r="P1986" s="159"/>
      <c r="Q1986" s="159"/>
      <c r="R1986" s="159"/>
      <c r="S1986" s="159"/>
    </row>
    <row r="1987" spans="1:19" ht="25">
      <c r="A1987" s="118" t="s">
        <v>2238</v>
      </c>
      <c r="B1987" s="389" t="s">
        <v>99</v>
      </c>
      <c r="C1987" s="389" t="s">
        <v>267</v>
      </c>
      <c r="D1987" s="172" t="s">
        <v>93</v>
      </c>
      <c r="E1987" s="154"/>
      <c r="F1987" s="122" t="s">
        <v>2235</v>
      </c>
      <c r="G1987" s="158" t="s">
        <v>271</v>
      </c>
      <c r="H1987" s="389" t="s">
        <v>267</v>
      </c>
      <c r="I1987" s="142" t="str">
        <f t="shared" si="6"/>
        <v>sub bill type ext cd</v>
      </c>
      <c r="J1987" s="122" t="s">
        <v>2239</v>
      </c>
      <c r="K1987" s="172" t="s">
        <v>2226</v>
      </c>
      <c r="L1987" s="159"/>
      <c r="M1987" s="159"/>
      <c r="N1987" s="159"/>
      <c r="O1987" s="159"/>
      <c r="P1987" s="159"/>
      <c r="Q1987" s="159"/>
      <c r="R1987" s="159"/>
      <c r="S1987" s="159"/>
    </row>
    <row r="1988" spans="1:19" ht="25">
      <c r="A1988" s="118" t="s">
        <v>2238</v>
      </c>
      <c r="B1988" s="118" t="s">
        <v>2240</v>
      </c>
      <c r="C1988" s="389" t="s">
        <v>267</v>
      </c>
      <c r="D1988" s="172" t="s">
        <v>93</v>
      </c>
      <c r="E1988" s="154"/>
      <c r="F1988" s="122" t="s">
        <v>2235</v>
      </c>
      <c r="G1988" s="118" t="s">
        <v>2240</v>
      </c>
      <c r="H1988" s="389" t="s">
        <v>267</v>
      </c>
      <c r="I1988" s="142" t="str">
        <f t="shared" si="6"/>
        <v>Transaction type</v>
      </c>
      <c r="J1988" s="122" t="s">
        <v>2239</v>
      </c>
      <c r="K1988" s="172" t="s">
        <v>2226</v>
      </c>
      <c r="L1988" s="159"/>
      <c r="M1988" s="159"/>
      <c r="N1988" s="159"/>
      <c r="O1988" s="159"/>
      <c r="P1988" s="159"/>
      <c r="Q1988" s="159"/>
      <c r="R1988" s="159"/>
      <c r="S1988" s="159"/>
    </row>
    <row r="1989" spans="1:19" ht="101.5">
      <c r="A1989" s="118" t="s">
        <v>2241</v>
      </c>
      <c r="B1989" s="122"/>
      <c r="C1989" s="122"/>
      <c r="D1989" s="122" t="s">
        <v>263</v>
      </c>
      <c r="E1989" s="118" t="s">
        <v>2242</v>
      </c>
      <c r="F1989" s="122" t="s">
        <v>2235</v>
      </c>
      <c r="G1989" s="122" t="s">
        <v>2243</v>
      </c>
      <c r="H1989" s="122" t="s">
        <v>1327</v>
      </c>
      <c r="I1989" s="142" t="str">
        <f t="shared" si="6"/>
        <v>monthly access fee cpaf q</v>
      </c>
      <c r="J1989" s="122" t="s">
        <v>2239</v>
      </c>
      <c r="K1989" s="172" t="s">
        <v>2226</v>
      </c>
      <c r="L1989" s="159"/>
      <c r="M1989" s="159"/>
      <c r="N1989" s="159"/>
      <c r="O1989" s="159"/>
      <c r="P1989" s="159"/>
      <c r="Q1989" s="159"/>
      <c r="R1989" s="159"/>
      <c r="S1989" s="159"/>
    </row>
    <row r="1990" spans="1:19" ht="63">
      <c r="A1990" s="118" t="s">
        <v>2244</v>
      </c>
      <c r="B1990" s="122"/>
      <c r="C1990" s="122"/>
      <c r="D1990" s="122" t="s">
        <v>263</v>
      </c>
      <c r="E1990" s="122" t="s">
        <v>2245</v>
      </c>
      <c r="F1990" s="122" t="s">
        <v>2235</v>
      </c>
      <c r="G1990" s="122" t="s">
        <v>2246</v>
      </c>
      <c r="H1990" s="122" t="s">
        <v>1327</v>
      </c>
      <c r="I1990" s="142" t="str">
        <f t="shared" si="6"/>
        <v>monthly access fee cb cpaf q</v>
      </c>
      <c r="J1990" s="122" t="s">
        <v>2239</v>
      </c>
      <c r="K1990" s="172" t="s">
        <v>2226</v>
      </c>
      <c r="L1990" s="159"/>
      <c r="M1990" s="159"/>
      <c r="N1990" s="159"/>
      <c r="O1990" s="159"/>
      <c r="P1990" s="159"/>
      <c r="Q1990" s="159"/>
      <c r="R1990" s="159"/>
      <c r="S1990" s="159"/>
    </row>
    <row r="1991" spans="1:19" ht="76">
      <c r="A1991" s="118" t="s">
        <v>2244</v>
      </c>
      <c r="B1991" s="122"/>
      <c r="C1991" s="122"/>
      <c r="D1991" s="122" t="s">
        <v>263</v>
      </c>
      <c r="E1991" s="118" t="s">
        <v>2247</v>
      </c>
      <c r="F1991" s="122" t="s">
        <v>2235</v>
      </c>
      <c r="G1991" s="122" t="s">
        <v>2248</v>
      </c>
      <c r="H1991" s="122" t="s">
        <v>1327</v>
      </c>
      <c r="I1991" s="142" t="str">
        <f t="shared" si="6"/>
        <v>out of bundle revenue cpaf q</v>
      </c>
      <c r="J1991" s="122" t="s">
        <v>2239</v>
      </c>
      <c r="K1991" s="172" t="s">
        <v>2226</v>
      </c>
      <c r="L1991" s="159"/>
      <c r="M1991" s="159"/>
      <c r="N1991" s="159"/>
      <c r="O1991" s="159"/>
      <c r="P1991" s="159"/>
      <c r="Q1991" s="159"/>
      <c r="R1991" s="159"/>
      <c r="S1991" s="159"/>
    </row>
    <row r="1992" spans="1:19" ht="63">
      <c r="A1992" s="118" t="s">
        <v>2244</v>
      </c>
      <c r="B1992" s="122"/>
      <c r="C1992" s="122"/>
      <c r="D1992" s="122" t="s">
        <v>263</v>
      </c>
      <c r="E1992" s="118" t="s">
        <v>2249</v>
      </c>
      <c r="F1992" s="122" t="s">
        <v>2235</v>
      </c>
      <c r="G1992" s="122" t="s">
        <v>2250</v>
      </c>
      <c r="H1992" s="122" t="s">
        <v>1327</v>
      </c>
      <c r="I1992" s="142" t="str">
        <f t="shared" si="6"/>
        <v>out of bundle revenue cb cpaf q</v>
      </c>
      <c r="J1992" s="122" t="s">
        <v>2239</v>
      </c>
      <c r="K1992" s="172" t="s">
        <v>2226</v>
      </c>
      <c r="L1992" s="159"/>
      <c r="M1992" s="159"/>
      <c r="N1992" s="159"/>
      <c r="O1992" s="159"/>
      <c r="P1992" s="159"/>
      <c r="Q1992" s="159"/>
      <c r="R1992" s="159"/>
      <c r="S1992" s="159"/>
    </row>
    <row r="1993" spans="1:19" ht="89">
      <c r="A1993" s="118" t="s">
        <v>2244</v>
      </c>
      <c r="B1993" s="122"/>
      <c r="C1993" s="122"/>
      <c r="D1993" s="122" t="s">
        <v>263</v>
      </c>
      <c r="E1993" s="118" t="s">
        <v>2251</v>
      </c>
      <c r="F1993" s="122" t="s">
        <v>2235</v>
      </c>
      <c r="G1993" s="122" t="s">
        <v>2252</v>
      </c>
      <c r="H1993" s="122" t="s">
        <v>1327</v>
      </c>
      <c r="I1993" s="142" t="str">
        <f t="shared" si="6"/>
        <v>additional service revenue cpaf q</v>
      </c>
      <c r="J1993" s="122" t="s">
        <v>2239</v>
      </c>
      <c r="K1993" s="172" t="s">
        <v>2226</v>
      </c>
      <c r="L1993" s="159"/>
      <c r="M1993" s="159"/>
      <c r="N1993" s="159"/>
      <c r="O1993" s="159"/>
      <c r="P1993" s="159"/>
      <c r="Q1993" s="159"/>
      <c r="R1993" s="159"/>
      <c r="S1993" s="159"/>
    </row>
    <row r="1994" spans="1:19" ht="62.5">
      <c r="A1994" s="118" t="s">
        <v>2244</v>
      </c>
      <c r="B1994" s="122"/>
      <c r="C1994" s="122"/>
      <c r="D1994" s="122" t="s">
        <v>263</v>
      </c>
      <c r="E1994" s="118" t="s">
        <v>2253</v>
      </c>
      <c r="F1994" s="122" t="s">
        <v>2235</v>
      </c>
      <c r="G1994" s="122" t="s">
        <v>2254</v>
      </c>
      <c r="H1994" s="122" t="s">
        <v>1327</v>
      </c>
      <c r="I1994" s="142" t="str">
        <f t="shared" si="6"/>
        <v>additional service revenue cb cpaf q</v>
      </c>
      <c r="J1994" s="122" t="s">
        <v>2239</v>
      </c>
      <c r="K1994" s="172" t="s">
        <v>2226</v>
      </c>
      <c r="L1994" s="159"/>
      <c r="M1994" s="159"/>
      <c r="N1994" s="159"/>
      <c r="O1994" s="159"/>
      <c r="P1994" s="159"/>
      <c r="Q1994" s="159"/>
      <c r="R1994" s="159"/>
      <c r="S1994" s="159"/>
    </row>
    <row r="1995" spans="1:19" ht="63.5">
      <c r="A1995" s="118" t="s">
        <v>2244</v>
      </c>
      <c r="B1995" s="122"/>
      <c r="C1995" s="122"/>
      <c r="D1995" s="122" t="s">
        <v>263</v>
      </c>
      <c r="E1995" s="118" t="s">
        <v>2255</v>
      </c>
      <c r="F1995" s="122" t="s">
        <v>2235</v>
      </c>
      <c r="G1995" s="122" t="s">
        <v>2256</v>
      </c>
      <c r="H1995" s="122" t="s">
        <v>1327</v>
      </c>
      <c r="I1995" s="142" t="str">
        <f t="shared" si="6"/>
        <v>discount cpaf q</v>
      </c>
      <c r="J1995" s="122" t="s">
        <v>2239</v>
      </c>
      <c r="K1995" s="172" t="s">
        <v>2226</v>
      </c>
      <c r="L1995" s="159"/>
      <c r="M1995" s="159"/>
      <c r="N1995" s="159"/>
      <c r="O1995" s="159"/>
      <c r="P1995" s="159"/>
      <c r="Q1995" s="159"/>
      <c r="R1995" s="159"/>
      <c r="S1995" s="159"/>
    </row>
    <row r="1996" spans="1:19" ht="63">
      <c r="A1996" s="118" t="s">
        <v>2244</v>
      </c>
      <c r="B1996" s="122"/>
      <c r="C1996" s="122"/>
      <c r="D1996" s="122" t="s">
        <v>263</v>
      </c>
      <c r="E1996" s="122" t="s">
        <v>2257</v>
      </c>
      <c r="F1996" s="122" t="s">
        <v>2235</v>
      </c>
      <c r="G1996" s="122" t="s">
        <v>2258</v>
      </c>
      <c r="H1996" s="122" t="s">
        <v>1327</v>
      </c>
      <c r="I1996" s="142" t="str">
        <f t="shared" si="6"/>
        <v>discount cb cpaf q</v>
      </c>
      <c r="J1996" s="122" t="s">
        <v>2239</v>
      </c>
      <c r="K1996" s="172" t="s">
        <v>2226</v>
      </c>
      <c r="L1996" s="159"/>
      <c r="M1996" s="159"/>
      <c r="N1996" s="159"/>
      <c r="O1996" s="159"/>
      <c r="P1996" s="159"/>
      <c r="Q1996" s="159"/>
      <c r="R1996" s="159"/>
      <c r="S1996" s="159"/>
    </row>
    <row r="1997" spans="1:19" ht="37.5">
      <c r="A1997" s="118" t="s">
        <v>2238</v>
      </c>
      <c r="B1997" s="118" t="s">
        <v>2259</v>
      </c>
      <c r="C1997" s="122"/>
      <c r="D1997" s="122" t="s">
        <v>263</v>
      </c>
      <c r="E1997" s="122" t="s">
        <v>2260</v>
      </c>
      <c r="F1997" s="122" t="s">
        <v>2235</v>
      </c>
      <c r="G1997" s="122" t="s">
        <v>2261</v>
      </c>
      <c r="H1997" s="122" t="s">
        <v>1327</v>
      </c>
      <c r="I1997" s="142" t="str">
        <f t="shared" si="6"/>
        <v>fixed line customer revenue cpaf q</v>
      </c>
      <c r="J1997" s="122" t="s">
        <v>2239</v>
      </c>
      <c r="K1997" s="172" t="s">
        <v>2226</v>
      </c>
      <c r="L1997" s="159"/>
      <c r="M1997" s="159"/>
      <c r="N1997" s="159"/>
      <c r="O1997" s="159"/>
      <c r="P1997" s="159"/>
      <c r="Q1997" s="159"/>
      <c r="R1997" s="159"/>
      <c r="S1997" s="159"/>
    </row>
    <row r="1998" spans="1:19" ht="37.5">
      <c r="A1998" s="118" t="s">
        <v>2238</v>
      </c>
      <c r="B1998" s="118" t="s">
        <v>2259</v>
      </c>
      <c r="C1998" s="122"/>
      <c r="D1998" s="122" t="s">
        <v>263</v>
      </c>
      <c r="E1998" s="122" t="s">
        <v>2262</v>
      </c>
      <c r="F1998" s="122" t="s">
        <v>2235</v>
      </c>
      <c r="G1998" s="122" t="s">
        <v>2263</v>
      </c>
      <c r="H1998" s="122" t="s">
        <v>1327</v>
      </c>
      <c r="I1998" s="142" t="str">
        <f t="shared" si="6"/>
        <v>fixed line customer revenue cb cpaf q</v>
      </c>
      <c r="J1998" s="122" t="s">
        <v>2239</v>
      </c>
      <c r="K1998" s="172" t="s">
        <v>2226</v>
      </c>
      <c r="L1998" s="159"/>
      <c r="M1998" s="159"/>
      <c r="N1998" s="159"/>
      <c r="O1998" s="159"/>
      <c r="P1998" s="159"/>
      <c r="Q1998" s="159"/>
      <c r="R1998" s="159"/>
      <c r="S1998" s="159"/>
    </row>
    <row r="1999" spans="1:19" ht="75">
      <c r="A1999" s="118" t="s">
        <v>2244</v>
      </c>
      <c r="B1999" s="122"/>
      <c r="C1999" s="122"/>
      <c r="D1999" s="122" t="s">
        <v>263</v>
      </c>
      <c r="E1999" s="118" t="s">
        <v>2264</v>
      </c>
      <c r="F1999" s="122" t="s">
        <v>2235</v>
      </c>
      <c r="G1999" s="122" t="s">
        <v>2265</v>
      </c>
      <c r="H1999" s="122" t="s">
        <v>1327</v>
      </c>
      <c r="I1999" s="142" t="str">
        <f t="shared" si="6"/>
        <v>credit cpaf q</v>
      </c>
      <c r="J1999" s="122" t="s">
        <v>2239</v>
      </c>
      <c r="K1999" s="172" t="s">
        <v>2226</v>
      </c>
      <c r="L1999" s="159"/>
      <c r="M1999" s="159"/>
      <c r="N1999" s="159"/>
      <c r="O1999" s="159"/>
      <c r="P1999" s="159"/>
      <c r="Q1999" s="159"/>
      <c r="R1999" s="159"/>
      <c r="S1999" s="159"/>
    </row>
    <row r="2000" spans="1:19" ht="62.5">
      <c r="A2000" s="118" t="s">
        <v>2244</v>
      </c>
      <c r="B2000" s="122"/>
      <c r="C2000" s="122"/>
      <c r="D2000" s="122"/>
      <c r="E2000" s="118" t="s">
        <v>2266</v>
      </c>
      <c r="F2000" s="122" t="s">
        <v>2235</v>
      </c>
      <c r="G2000" s="122" t="s">
        <v>2267</v>
      </c>
      <c r="H2000" s="122" t="s">
        <v>1327</v>
      </c>
      <c r="I2000" s="142" t="str">
        <f t="shared" si="6"/>
        <v>credit cb cpaf q</v>
      </c>
      <c r="J2000" s="122" t="s">
        <v>2239</v>
      </c>
      <c r="K2000" s="172" t="s">
        <v>2226</v>
      </c>
      <c r="L2000" s="159"/>
      <c r="M2000" s="159"/>
      <c r="N2000" s="159"/>
      <c r="O2000" s="159"/>
      <c r="P2000" s="159"/>
      <c r="Q2000" s="159"/>
      <c r="R2000" s="159"/>
      <c r="S2000" s="159"/>
    </row>
    <row r="2001" spans="1:19" ht="100">
      <c r="A2001" s="118" t="s">
        <v>2238</v>
      </c>
      <c r="B2001" s="122"/>
      <c r="C2001" s="122"/>
      <c r="D2001" s="122" t="s">
        <v>263</v>
      </c>
      <c r="E2001" s="454" t="s">
        <v>2268</v>
      </c>
      <c r="F2001" s="122" t="s">
        <v>2235</v>
      </c>
      <c r="G2001" s="122" t="s">
        <v>2269</v>
      </c>
      <c r="H2001" s="122" t="s">
        <v>1327</v>
      </c>
      <c r="I2001" s="142" t="str">
        <f t="shared" si="6"/>
        <v>fixed line customer service revenue cpaf q</v>
      </c>
      <c r="J2001" s="122" t="s">
        <v>2239</v>
      </c>
      <c r="K2001" s="172" t="s">
        <v>2226</v>
      </c>
      <c r="L2001" s="159"/>
      <c r="M2001" s="159"/>
      <c r="N2001" s="159"/>
      <c r="O2001" s="159"/>
      <c r="P2001" s="159"/>
      <c r="Q2001" s="159"/>
      <c r="R2001" s="159"/>
      <c r="S2001" s="159"/>
    </row>
    <row r="2002" spans="1:19" ht="62.5">
      <c r="A2002" s="118" t="s">
        <v>2238</v>
      </c>
      <c r="B2002" s="122"/>
      <c r="C2002" s="122"/>
      <c r="D2002" s="122" t="s">
        <v>263</v>
      </c>
      <c r="E2002" s="454" t="s">
        <v>2270</v>
      </c>
      <c r="F2002" s="122" t="s">
        <v>2235</v>
      </c>
      <c r="G2002" s="122" t="s">
        <v>2271</v>
      </c>
      <c r="H2002" s="122" t="s">
        <v>1327</v>
      </c>
      <c r="I2002" s="142" t="str">
        <f t="shared" si="6"/>
        <v>fixed line customer service revenue cb cpaf q</v>
      </c>
      <c r="J2002" s="122" t="s">
        <v>2239</v>
      </c>
      <c r="K2002" s="172" t="s">
        <v>2226</v>
      </c>
      <c r="L2002" s="159"/>
      <c r="M2002" s="159"/>
      <c r="N2002" s="159"/>
      <c r="O2002" s="159"/>
      <c r="P2002" s="159"/>
      <c r="Q2002" s="159"/>
      <c r="R2002" s="159"/>
      <c r="S2002" s="159"/>
    </row>
    <row r="2003" spans="1:19" ht="279.5">
      <c r="A2003" s="118" t="s">
        <v>2272</v>
      </c>
      <c r="B2003" s="122"/>
      <c r="C2003" s="122"/>
      <c r="D2003" s="122" t="s">
        <v>263</v>
      </c>
      <c r="E2003" s="118" t="s">
        <v>2273</v>
      </c>
      <c r="F2003" s="122" t="s">
        <v>2235</v>
      </c>
      <c r="G2003" s="122" t="s">
        <v>2274</v>
      </c>
      <c r="H2003" s="122" t="s">
        <v>1327</v>
      </c>
      <c r="I2003" s="142" t="str">
        <f t="shared" si="6"/>
        <v>wholesale line rental cost cpaf q</v>
      </c>
      <c r="J2003" s="122" t="s">
        <v>2239</v>
      </c>
      <c r="K2003" s="172" t="s">
        <v>2226</v>
      </c>
      <c r="L2003" s="159"/>
      <c r="M2003" s="159"/>
      <c r="N2003" s="159"/>
      <c r="O2003" s="159"/>
      <c r="P2003" s="159"/>
      <c r="Q2003" s="159"/>
      <c r="R2003" s="159"/>
      <c r="S2003" s="159"/>
    </row>
    <row r="2004" spans="1:19" ht="167.15" customHeight="1">
      <c r="A2004" s="118" t="s">
        <v>2272</v>
      </c>
      <c r="B2004" s="122"/>
      <c r="C2004" s="122"/>
      <c r="D2004" s="122"/>
      <c r="E2004" s="178" t="s">
        <v>2275</v>
      </c>
      <c r="F2004" s="122" t="s">
        <v>2235</v>
      </c>
      <c r="G2004" s="122" t="s">
        <v>2276</v>
      </c>
      <c r="H2004" s="122" t="s">
        <v>1327</v>
      </c>
      <c r="I2004" s="142" t="str">
        <f t="shared" si="6"/>
        <v>wholesale line rental cost cb cpaf q</v>
      </c>
      <c r="J2004" s="122" t="s">
        <v>2239</v>
      </c>
      <c r="K2004" s="172" t="s">
        <v>2226</v>
      </c>
      <c r="L2004" s="159"/>
      <c r="M2004" s="159"/>
      <c r="N2004" s="159"/>
      <c r="O2004" s="159"/>
      <c r="P2004" s="159"/>
      <c r="Q2004" s="159"/>
      <c r="R2004" s="159"/>
      <c r="S2004" s="159"/>
    </row>
    <row r="2005" spans="1:19" ht="64">
      <c r="A2005" s="118" t="s">
        <v>2272</v>
      </c>
      <c r="B2005" s="122"/>
      <c r="C2005" s="122"/>
      <c r="D2005" s="122" t="s">
        <v>263</v>
      </c>
      <c r="E2005" s="118" t="s">
        <v>2277</v>
      </c>
      <c r="F2005" s="122" t="s">
        <v>2235</v>
      </c>
      <c r="G2005" s="122" t="s">
        <v>2278</v>
      </c>
      <c r="H2005" s="122" t="s">
        <v>1327</v>
      </c>
      <c r="I2005" s="142" t="str">
        <f t="shared" si="6"/>
        <v>interconnect cost cpaf q</v>
      </c>
      <c r="J2005" s="122" t="s">
        <v>2239</v>
      </c>
      <c r="K2005" s="172" t="s">
        <v>2226</v>
      </c>
      <c r="L2005" s="159"/>
      <c r="M2005" s="159"/>
      <c r="N2005" s="159"/>
      <c r="O2005" s="159"/>
      <c r="P2005" s="159"/>
      <c r="Q2005" s="159"/>
      <c r="R2005" s="159"/>
      <c r="S2005" s="159"/>
    </row>
    <row r="2006" spans="1:19" ht="51">
      <c r="A2006" s="118" t="s">
        <v>2272</v>
      </c>
      <c r="B2006" s="122"/>
      <c r="C2006" s="122"/>
      <c r="D2006" s="122" t="s">
        <v>263</v>
      </c>
      <c r="E2006" s="118" t="s">
        <v>2279</v>
      </c>
      <c r="F2006" s="122" t="s">
        <v>2235</v>
      </c>
      <c r="G2006" s="122" t="s">
        <v>2280</v>
      </c>
      <c r="H2006" s="122" t="s">
        <v>1327</v>
      </c>
      <c r="I2006" s="142" t="str">
        <f t="shared" si="6"/>
        <v>interconnect cost cb cpaf q</v>
      </c>
      <c r="J2006" s="122" t="s">
        <v>2239</v>
      </c>
      <c r="K2006" s="172" t="s">
        <v>2226</v>
      </c>
      <c r="L2006" s="159"/>
      <c r="M2006" s="159"/>
      <c r="N2006" s="159"/>
      <c r="O2006" s="159"/>
      <c r="P2006" s="159"/>
      <c r="Q2006" s="159"/>
      <c r="R2006" s="159"/>
      <c r="S2006" s="159"/>
    </row>
    <row r="2007" spans="1:19" ht="226.5" customHeight="1">
      <c r="A2007" s="105" t="s">
        <v>2281</v>
      </c>
      <c r="B2007" s="105"/>
      <c r="C2007" s="105"/>
      <c r="D2007" s="115" t="s">
        <v>263</v>
      </c>
      <c r="E2007" s="455" t="s">
        <v>2282</v>
      </c>
      <c r="F2007" s="115" t="s">
        <v>2235</v>
      </c>
      <c r="G2007" s="115" t="s">
        <v>2283</v>
      </c>
      <c r="H2007" s="115" t="s">
        <v>1327</v>
      </c>
      <c r="I2007" s="193" t="str">
        <f t="shared" si="6"/>
        <v>tv content cost cpaf q</v>
      </c>
      <c r="J2007" s="115" t="s">
        <v>2239</v>
      </c>
      <c r="K2007" s="148" t="s">
        <v>2226</v>
      </c>
      <c r="L2007" s="159"/>
      <c r="M2007" s="159"/>
      <c r="N2007" s="159"/>
      <c r="O2007" s="159"/>
      <c r="P2007" s="159"/>
      <c r="Q2007" s="159"/>
      <c r="R2007" s="159"/>
      <c r="S2007" s="159"/>
    </row>
    <row r="2008" spans="1:19" ht="28" customHeight="1">
      <c r="A2008" s="118" t="s">
        <v>2284</v>
      </c>
      <c r="B2008" s="122" t="s">
        <v>2285</v>
      </c>
      <c r="C2008" s="122"/>
      <c r="D2008" s="122" t="s">
        <v>263</v>
      </c>
      <c r="E2008" s="122" t="s">
        <v>2286</v>
      </c>
      <c r="F2008" s="122" t="s">
        <v>2235</v>
      </c>
      <c r="G2008" s="122" t="s">
        <v>2287</v>
      </c>
      <c r="H2008" s="122" t="s">
        <v>1327</v>
      </c>
      <c r="I2008" s="142" t="str">
        <f t="shared" si="6"/>
        <v>total wholesale ic cost cpaf q</v>
      </c>
      <c r="J2008" s="122" t="s">
        <v>2239</v>
      </c>
      <c r="K2008" s="172" t="s">
        <v>2226</v>
      </c>
      <c r="L2008" s="159"/>
      <c r="M2008" s="159"/>
      <c r="N2008" s="159"/>
      <c r="O2008" s="159"/>
      <c r="P2008" s="159"/>
      <c r="Q2008" s="159"/>
      <c r="R2008" s="159"/>
      <c r="S2008" s="159"/>
    </row>
    <row r="2009" spans="1:19">
      <c r="A2009" s="118" t="s">
        <v>2284</v>
      </c>
      <c r="B2009" s="122" t="s">
        <v>2285</v>
      </c>
      <c r="C2009" s="122"/>
      <c r="D2009" s="122" t="s">
        <v>263</v>
      </c>
      <c r="E2009" s="122" t="s">
        <v>2288</v>
      </c>
      <c r="F2009" s="122" t="s">
        <v>2235</v>
      </c>
      <c r="G2009" s="122" t="s">
        <v>2289</v>
      </c>
      <c r="H2009" s="122" t="s">
        <v>1327</v>
      </c>
      <c r="I2009" s="142" t="str">
        <f t="shared" si="6"/>
        <v>total wholesale ic cost cb cpaf q</v>
      </c>
      <c r="J2009" s="122" t="s">
        <v>2239</v>
      </c>
      <c r="K2009" s="172" t="s">
        <v>2226</v>
      </c>
      <c r="L2009" s="159"/>
      <c r="M2009" s="159"/>
      <c r="N2009" s="159"/>
      <c r="O2009" s="159"/>
      <c r="P2009" s="159"/>
      <c r="Q2009" s="159"/>
      <c r="R2009" s="159"/>
      <c r="S2009" s="159"/>
    </row>
    <row r="2010" spans="1:19">
      <c r="A2010" s="118" t="s">
        <v>2284</v>
      </c>
      <c r="B2010" s="122" t="s">
        <v>2285</v>
      </c>
      <c r="C2010" s="122"/>
      <c r="D2010" s="122" t="s">
        <v>263</v>
      </c>
      <c r="E2010" s="122" t="s">
        <v>2290</v>
      </c>
      <c r="F2010" s="122" t="s">
        <v>2235</v>
      </c>
      <c r="G2010" s="122" t="s">
        <v>2291</v>
      </c>
      <c r="H2010" s="122" t="s">
        <v>1327</v>
      </c>
      <c r="I2010" s="142" t="str">
        <f t="shared" si="6"/>
        <v xml:space="preserve"> monthly wholesale ic cost cpaf q</v>
      </c>
      <c r="J2010" s="122" t="s">
        <v>2239</v>
      </c>
      <c r="K2010" s="172" t="s">
        <v>2226</v>
      </c>
      <c r="L2010" s="159"/>
      <c r="M2010" s="159"/>
      <c r="N2010" s="159"/>
      <c r="O2010" s="159"/>
      <c r="P2010" s="159"/>
      <c r="Q2010" s="159"/>
      <c r="R2010" s="159"/>
      <c r="S2010" s="159"/>
    </row>
    <row r="2011" spans="1:19">
      <c r="A2011" s="118" t="s">
        <v>2284</v>
      </c>
      <c r="B2011" s="122" t="s">
        <v>2285</v>
      </c>
      <c r="C2011" s="122"/>
      <c r="D2011" s="122" t="s">
        <v>263</v>
      </c>
      <c r="E2011" s="122" t="s">
        <v>2292</v>
      </c>
      <c r="F2011" s="122" t="s">
        <v>2235</v>
      </c>
      <c r="G2011" s="122" t="s">
        <v>2293</v>
      </c>
      <c r="H2011" s="122" t="s">
        <v>1327</v>
      </c>
      <c r="I2011" s="142" t="str">
        <f t="shared" si="6"/>
        <v xml:space="preserve"> monthly wholesale ic cost cb cpaf q</v>
      </c>
      <c r="J2011" s="122" t="s">
        <v>2239</v>
      </c>
      <c r="K2011" s="172" t="s">
        <v>2226</v>
      </c>
      <c r="L2011" s="159"/>
      <c r="M2011" s="159"/>
      <c r="N2011" s="159"/>
      <c r="O2011" s="159"/>
      <c r="P2011" s="159"/>
      <c r="Q2011" s="159"/>
      <c r="R2011" s="159"/>
      <c r="S2011" s="159"/>
    </row>
    <row r="2012" spans="1:19" ht="113">
      <c r="A2012" s="118" t="s">
        <v>2284</v>
      </c>
      <c r="B2012" s="122"/>
      <c r="C2012" s="122"/>
      <c r="D2012" s="122" t="s">
        <v>263</v>
      </c>
      <c r="E2012" s="356" t="s">
        <v>2294</v>
      </c>
      <c r="F2012" s="122" t="s">
        <v>2235</v>
      </c>
      <c r="G2012" s="122" t="s">
        <v>2295</v>
      </c>
      <c r="H2012" s="122" t="s">
        <v>1327</v>
      </c>
      <c r="I2012" s="142" t="str">
        <f t="shared" si="6"/>
        <v>monthly fixed line margin cpaf q</v>
      </c>
      <c r="J2012" s="122" t="s">
        <v>2239</v>
      </c>
      <c r="K2012" s="172" t="s">
        <v>2226</v>
      </c>
      <c r="L2012" s="159"/>
      <c r="M2012" s="159"/>
      <c r="N2012" s="159"/>
      <c r="O2012" s="159"/>
      <c r="P2012" s="159"/>
      <c r="Q2012" s="159"/>
      <c r="R2012" s="159"/>
      <c r="S2012" s="159"/>
    </row>
    <row r="2013" spans="1:19" ht="50">
      <c r="A2013" s="118" t="s">
        <v>2284</v>
      </c>
      <c r="B2013" s="122"/>
      <c r="C2013" s="122"/>
      <c r="D2013" s="122" t="s">
        <v>263</v>
      </c>
      <c r="E2013" s="356" t="s">
        <v>2296</v>
      </c>
      <c r="F2013" s="122" t="s">
        <v>2235</v>
      </c>
      <c r="G2013" s="122" t="s">
        <v>2297</v>
      </c>
      <c r="H2013" s="122" t="s">
        <v>1327</v>
      </c>
      <c r="I2013" s="142" t="str">
        <f t="shared" si="6"/>
        <v>monthly fixed line margin cb cpaf q</v>
      </c>
      <c r="J2013" s="122" t="s">
        <v>2239</v>
      </c>
      <c r="K2013" s="172" t="s">
        <v>2226</v>
      </c>
      <c r="L2013" s="159"/>
      <c r="M2013" s="159"/>
      <c r="N2013" s="159"/>
      <c r="O2013" s="159"/>
      <c r="P2013" s="159"/>
      <c r="Q2013" s="159"/>
      <c r="R2013" s="159"/>
      <c r="S2013" s="159"/>
    </row>
    <row r="2014" spans="1:19">
      <c r="A2014" s="118" t="s">
        <v>2284</v>
      </c>
      <c r="B2014" s="122"/>
      <c r="C2014" s="122"/>
      <c r="D2014" s="122" t="s">
        <v>263</v>
      </c>
      <c r="E2014" s="122" t="s">
        <v>2298</v>
      </c>
      <c r="F2014" s="122" t="s">
        <v>2235</v>
      </c>
      <c r="G2014" s="122" t="s">
        <v>2299</v>
      </c>
      <c r="H2014" s="122" t="s">
        <v>1327</v>
      </c>
      <c r="I2014" s="142" t="str">
        <f t="shared" si="6"/>
        <v>est margin cpaf q</v>
      </c>
      <c r="J2014" s="122" t="s">
        <v>2239</v>
      </c>
      <c r="K2014" s="172" t="s">
        <v>2226</v>
      </c>
      <c r="L2014" s="159"/>
      <c r="M2014" s="159"/>
      <c r="N2014" s="159"/>
      <c r="O2014" s="159"/>
      <c r="P2014" s="159"/>
      <c r="Q2014" s="159"/>
      <c r="R2014" s="159"/>
      <c r="S2014" s="159"/>
    </row>
    <row r="2015" spans="1:19">
      <c r="A2015" s="118" t="s">
        <v>2284</v>
      </c>
      <c r="B2015" s="122"/>
      <c r="C2015" s="122"/>
      <c r="D2015" s="122" t="s">
        <v>263</v>
      </c>
      <c r="E2015" s="122" t="s">
        <v>2300</v>
      </c>
      <c r="F2015" s="122" t="s">
        <v>2235</v>
      </c>
      <c r="G2015" s="122" t="s">
        <v>2301</v>
      </c>
      <c r="H2015" s="122" t="s">
        <v>1327</v>
      </c>
      <c r="I2015" s="142" t="str">
        <f t="shared" si="6"/>
        <v>est margin cb cpaf q</v>
      </c>
      <c r="J2015" s="122" t="s">
        <v>2239</v>
      </c>
      <c r="K2015" s="172" t="s">
        <v>2226</v>
      </c>
      <c r="L2015" s="159"/>
      <c r="M2015" s="159"/>
      <c r="N2015" s="159"/>
      <c r="O2015" s="159"/>
      <c r="P2015" s="159"/>
      <c r="Q2015" s="159"/>
      <c r="R2015" s="159"/>
      <c r="S2015" s="159"/>
    </row>
    <row r="2016" spans="1:19" ht="60" customHeight="1">
      <c r="A2016" s="454" t="s">
        <v>2302</v>
      </c>
      <c r="B2016" s="122"/>
      <c r="C2016" s="122"/>
      <c r="D2016" s="122" t="s">
        <v>263</v>
      </c>
      <c r="E2016" s="456" t="s">
        <v>2303</v>
      </c>
      <c r="F2016" s="122" t="s">
        <v>2235</v>
      </c>
      <c r="G2016" s="122" t="s">
        <v>2304</v>
      </c>
      <c r="H2016" s="122" t="s">
        <v>1327</v>
      </c>
      <c r="I2016" s="142" t="str">
        <f t="shared" si="6"/>
        <v xml:space="preserve">total revenue cpaf q </v>
      </c>
      <c r="J2016" s="122" t="s">
        <v>2239</v>
      </c>
      <c r="K2016" s="172" t="s">
        <v>2226</v>
      </c>
      <c r="L2016" s="159"/>
      <c r="M2016" s="159"/>
      <c r="N2016" s="159"/>
      <c r="O2016" s="159"/>
      <c r="P2016" s="159"/>
      <c r="Q2016" s="159"/>
      <c r="R2016" s="159"/>
      <c r="S2016" s="159"/>
    </row>
    <row r="2017" spans="1:19" ht="76.5">
      <c r="A2017" s="118" t="s">
        <v>2305</v>
      </c>
      <c r="B2017" s="122"/>
      <c r="C2017" s="122"/>
      <c r="D2017" s="122" t="s">
        <v>263</v>
      </c>
      <c r="E2017" s="118" t="s">
        <v>2306</v>
      </c>
      <c r="F2017" s="122" t="s">
        <v>2235</v>
      </c>
      <c r="G2017" s="122" t="s">
        <v>2307</v>
      </c>
      <c r="H2017" s="122" t="s">
        <v>1327</v>
      </c>
      <c r="I2017" s="142" t="str">
        <f t="shared" si="6"/>
        <v>total revenue cb cpaf q</v>
      </c>
      <c r="J2017" s="122" t="s">
        <v>2239</v>
      </c>
      <c r="K2017" s="172" t="s">
        <v>2226</v>
      </c>
      <c r="L2017" s="159"/>
      <c r="M2017" s="159"/>
      <c r="N2017" s="159"/>
      <c r="O2017" s="159"/>
      <c r="P2017" s="159"/>
      <c r="Q2017" s="159"/>
      <c r="R2017" s="159"/>
      <c r="S2017" s="159"/>
    </row>
    <row r="2018" spans="1:19" ht="62.5">
      <c r="A2018" s="118" t="s">
        <v>2308</v>
      </c>
      <c r="B2018" s="122"/>
      <c r="C2018" s="122"/>
      <c r="D2018" s="122" t="s">
        <v>263</v>
      </c>
      <c r="E2018" s="356" t="s">
        <v>2309</v>
      </c>
      <c r="F2018" s="122" t="s">
        <v>2235</v>
      </c>
      <c r="G2018" s="122" t="s">
        <v>2310</v>
      </c>
      <c r="H2018" s="122" t="s">
        <v>1327</v>
      </c>
      <c r="I2018" s="142" t="str">
        <f t="shared" si="6"/>
        <v>channel total revenue cpaf q</v>
      </c>
      <c r="J2018" s="122" t="s">
        <v>2239</v>
      </c>
      <c r="K2018" s="172" t="s">
        <v>2226</v>
      </c>
      <c r="L2018" s="159"/>
      <c r="M2018" s="159"/>
      <c r="N2018" s="159"/>
      <c r="O2018" s="159"/>
      <c r="P2018" s="159"/>
      <c r="Q2018" s="159"/>
      <c r="R2018" s="159"/>
      <c r="S2018" s="159"/>
    </row>
    <row r="2019" spans="1:19" ht="47.15" customHeight="1">
      <c r="A2019" s="118" t="s">
        <v>2311</v>
      </c>
      <c r="B2019" s="122"/>
      <c r="C2019" s="122"/>
      <c r="D2019" s="122" t="s">
        <v>263</v>
      </c>
      <c r="E2019" s="122" t="s">
        <v>2312</v>
      </c>
      <c r="F2019" s="122" t="s">
        <v>2235</v>
      </c>
      <c r="G2019" s="122" t="s">
        <v>2313</v>
      </c>
      <c r="H2019" s="122" t="s">
        <v>1327</v>
      </c>
      <c r="I2019" s="142" t="str">
        <f t="shared" si="6"/>
        <v>est f credit amt  cpaf q</v>
      </c>
      <c r="J2019" s="122" t="s">
        <v>2239</v>
      </c>
      <c r="K2019" s="172" t="s">
        <v>2226</v>
      </c>
      <c r="L2019" s="159"/>
      <c r="M2019" s="159"/>
      <c r="N2019" s="159"/>
      <c r="O2019" s="159"/>
      <c r="P2019" s="159"/>
      <c r="Q2019" s="159"/>
      <c r="R2019" s="159"/>
      <c r="S2019" s="159"/>
    </row>
    <row r="2020" spans="1:19">
      <c r="A2020" s="118" t="s">
        <v>2284</v>
      </c>
      <c r="B2020" s="122"/>
      <c r="C2020" s="122"/>
      <c r="D2020" s="122" t="s">
        <v>263</v>
      </c>
      <c r="E2020" s="122" t="s">
        <v>2314</v>
      </c>
      <c r="F2020" s="122" t="s">
        <v>2235</v>
      </c>
      <c r="G2020" s="122" t="s">
        <v>2315</v>
      </c>
      <c r="H2020" s="122" t="s">
        <v>275</v>
      </c>
      <c r="I2020" s="142" t="str">
        <f t="shared" si="6"/>
        <v>pp tenure cpaf q</v>
      </c>
      <c r="J2020" s="122" t="s">
        <v>2239</v>
      </c>
      <c r="K2020" s="172" t="s">
        <v>2226</v>
      </c>
      <c r="L2020" s="159"/>
      <c r="M2020" s="159"/>
      <c r="N2020" s="159"/>
      <c r="O2020" s="159"/>
      <c r="P2020" s="159"/>
      <c r="Q2020" s="159"/>
      <c r="R2020" s="159"/>
      <c r="S2020" s="159"/>
    </row>
    <row r="2021" spans="1:19" ht="50.5">
      <c r="A2021" s="118" t="s">
        <v>2305</v>
      </c>
      <c r="B2021" s="122"/>
      <c r="C2021" s="122"/>
      <c r="D2021" s="122" t="s">
        <v>263</v>
      </c>
      <c r="E2021" s="118" t="s">
        <v>2316</v>
      </c>
      <c r="F2021" s="122" t="s">
        <v>2235</v>
      </c>
      <c r="G2021" s="122" t="s">
        <v>2317</v>
      </c>
      <c r="H2021" s="122" t="s">
        <v>1327</v>
      </c>
      <c r="I2021" s="142" t="str">
        <f t="shared" si="6"/>
        <v>commission cpaf q</v>
      </c>
      <c r="J2021" s="122" t="s">
        <v>2239</v>
      </c>
      <c r="K2021" s="172" t="s">
        <v>2226</v>
      </c>
      <c r="L2021" s="159"/>
      <c r="M2021" s="159"/>
      <c r="N2021" s="159"/>
      <c r="O2021" s="159"/>
      <c r="P2021" s="159"/>
      <c r="Q2021" s="159"/>
      <c r="R2021" s="159"/>
      <c r="S2021" s="159"/>
    </row>
    <row r="2022" spans="1:19" ht="203.5" customHeight="1">
      <c r="A2022" s="118" t="s">
        <v>2305</v>
      </c>
      <c r="B2022" s="122"/>
      <c r="C2022" s="122"/>
      <c r="D2022" s="122" t="s">
        <v>263</v>
      </c>
      <c r="E2022" s="356" t="s">
        <v>2318</v>
      </c>
      <c r="F2022" s="122" t="s">
        <v>2235</v>
      </c>
      <c r="G2022" s="122" t="s">
        <v>2319</v>
      </c>
      <c r="H2022" s="122" t="s">
        <v>1327</v>
      </c>
      <c r="I2022" s="142" t="str">
        <f t="shared" si="6"/>
        <v>installation cost cpaf q</v>
      </c>
      <c r="J2022" s="122" t="s">
        <v>2239</v>
      </c>
      <c r="K2022" s="172" t="s">
        <v>2226</v>
      </c>
      <c r="L2022" s="159"/>
      <c r="M2022" s="159"/>
      <c r="N2022" s="159"/>
      <c r="O2022" s="159"/>
      <c r="P2022" s="159"/>
      <c r="Q2022" s="159"/>
      <c r="R2022" s="159"/>
      <c r="S2022" s="159"/>
    </row>
    <row r="2023" spans="1:19" ht="80.150000000000006" customHeight="1">
      <c r="A2023" s="118" t="s">
        <v>2305</v>
      </c>
      <c r="B2023" s="122"/>
      <c r="C2023" s="122"/>
      <c r="D2023" s="122"/>
      <c r="E2023" s="356" t="s">
        <v>2320</v>
      </c>
      <c r="F2023" s="122" t="s">
        <v>2235</v>
      </c>
      <c r="G2023" s="122" t="s">
        <v>2321</v>
      </c>
      <c r="H2023" s="122" t="s">
        <v>1327</v>
      </c>
      <c r="I2023" s="142" t="str">
        <f t="shared" si="6"/>
        <v>installation cost cb cpaf q</v>
      </c>
      <c r="J2023" s="122" t="s">
        <v>2239</v>
      </c>
      <c r="K2023" s="172" t="s">
        <v>2226</v>
      </c>
      <c r="L2023" s="159"/>
      <c r="M2023" s="159"/>
      <c r="N2023" s="159"/>
      <c r="O2023" s="159"/>
      <c r="P2023" s="159"/>
      <c r="Q2023" s="159"/>
      <c r="R2023" s="159"/>
      <c r="S2023" s="159"/>
    </row>
    <row r="2024" spans="1:19" ht="35.15" customHeight="1">
      <c r="A2024" s="118" t="s">
        <v>2284</v>
      </c>
      <c r="B2024" s="122"/>
      <c r="C2024" s="122"/>
      <c r="D2024" s="122" t="s">
        <v>263</v>
      </c>
      <c r="E2024" s="122" t="s">
        <v>2322</v>
      </c>
      <c r="F2024" s="122" t="s">
        <v>2235</v>
      </c>
      <c r="G2024" s="122" t="s">
        <v>2323</v>
      </c>
      <c r="H2024" s="122" t="s">
        <v>1327</v>
      </c>
      <c r="I2024" s="142" t="str">
        <f t="shared" si="6"/>
        <v>total ar cost cpaf q</v>
      </c>
      <c r="J2024" s="122" t="s">
        <v>2239</v>
      </c>
      <c r="K2024" s="172" t="s">
        <v>2226</v>
      </c>
      <c r="L2024" s="159"/>
      <c r="M2024" s="159"/>
      <c r="N2024" s="159"/>
      <c r="O2024" s="159"/>
      <c r="P2024" s="159"/>
      <c r="Q2024" s="159"/>
      <c r="R2024" s="159"/>
      <c r="S2024" s="159"/>
    </row>
    <row r="2025" spans="1:19" ht="35.15" customHeight="1">
      <c r="A2025" s="118" t="s">
        <v>2284</v>
      </c>
      <c r="B2025" s="122"/>
      <c r="C2025" s="122"/>
      <c r="D2025" s="122" t="s">
        <v>263</v>
      </c>
      <c r="E2025" s="118" t="s">
        <v>2324</v>
      </c>
      <c r="F2025" s="122" t="s">
        <v>2235</v>
      </c>
      <c r="G2025" s="122" t="s">
        <v>2325</v>
      </c>
      <c r="H2025" s="122" t="s">
        <v>1327</v>
      </c>
      <c r="I2025" s="142" t="str">
        <f t="shared" ref="I2025" si="7">SUBSTITUTE(G2025,"_"," ")</f>
        <v>total ar cost cb cpaf q</v>
      </c>
      <c r="J2025" s="122" t="s">
        <v>2239</v>
      </c>
      <c r="K2025" s="172" t="s">
        <v>2226</v>
      </c>
      <c r="L2025" s="159"/>
      <c r="M2025" s="159"/>
      <c r="N2025" s="159"/>
      <c r="O2025" s="159" t="s">
        <v>675</v>
      </c>
      <c r="P2025" s="159"/>
      <c r="Q2025" s="159"/>
      <c r="R2025" s="159"/>
      <c r="S2025" s="159"/>
    </row>
    <row r="2026" spans="1:19" ht="208.5" customHeight="1">
      <c r="A2026" s="120" t="s">
        <v>2326</v>
      </c>
      <c r="B2026" s="122"/>
      <c r="C2026" s="122"/>
      <c r="D2026" s="122" t="s">
        <v>263</v>
      </c>
      <c r="E2026" s="356" t="s">
        <v>2327</v>
      </c>
      <c r="F2026" s="122" t="s">
        <v>2235</v>
      </c>
      <c r="G2026" s="122" t="s">
        <v>2328</v>
      </c>
      <c r="H2026" s="122" t="s">
        <v>1327</v>
      </c>
      <c r="I2026" s="142" t="str">
        <f t="shared" si="6"/>
        <v>missed appointment cpaf q</v>
      </c>
      <c r="J2026" s="122" t="s">
        <v>2239</v>
      </c>
      <c r="K2026" s="172" t="s">
        <v>2226</v>
      </c>
      <c r="L2026" s="159"/>
      <c r="M2026" s="159"/>
      <c r="N2026" s="159"/>
      <c r="O2026" s="159"/>
      <c r="P2026" s="159"/>
      <c r="Q2026" s="159"/>
      <c r="R2026" s="159"/>
      <c r="S2026" s="159"/>
    </row>
    <row r="2027" spans="1:19" ht="91.5" customHeight="1">
      <c r="A2027" s="118" t="s">
        <v>2284</v>
      </c>
      <c r="B2027" s="122" t="s">
        <v>2329</v>
      </c>
      <c r="C2027" s="122"/>
      <c r="D2027" s="122" t="s">
        <v>263</v>
      </c>
      <c r="E2027" s="118" t="s">
        <v>2330</v>
      </c>
      <c r="F2027" s="122" t="s">
        <v>2235</v>
      </c>
      <c r="G2027" s="122" t="s">
        <v>2331</v>
      </c>
      <c r="H2027" s="122" t="s">
        <v>1327</v>
      </c>
      <c r="I2027" s="142" t="str">
        <f t="shared" si="6"/>
        <v>total cost cpaf q</v>
      </c>
      <c r="J2027" s="122" t="s">
        <v>2239</v>
      </c>
      <c r="K2027" s="172" t="s">
        <v>2226</v>
      </c>
      <c r="L2027" s="159"/>
      <c r="M2027" s="159"/>
      <c r="N2027" s="159"/>
      <c r="O2027" s="159"/>
      <c r="P2027" s="159"/>
      <c r="Q2027" s="159"/>
      <c r="R2027" s="159"/>
      <c r="S2027" s="159"/>
    </row>
    <row r="2028" spans="1:19" ht="50.5">
      <c r="A2028" s="118" t="s">
        <v>2284</v>
      </c>
      <c r="B2028" s="122" t="s">
        <v>2329</v>
      </c>
      <c r="C2028" s="122"/>
      <c r="D2028" s="122" t="s">
        <v>263</v>
      </c>
      <c r="E2028" s="118" t="s">
        <v>2332</v>
      </c>
      <c r="F2028" s="122" t="s">
        <v>2235</v>
      </c>
      <c r="G2028" s="122" t="s">
        <v>2333</v>
      </c>
      <c r="H2028" s="122" t="s">
        <v>1327</v>
      </c>
      <c r="I2028" s="142" t="str">
        <f t="shared" si="6"/>
        <v>total cost cb cpaf q</v>
      </c>
      <c r="J2028" s="122" t="s">
        <v>2239</v>
      </c>
      <c r="K2028" s="172" t="s">
        <v>2226</v>
      </c>
      <c r="L2028" s="159"/>
      <c r="M2028" s="159"/>
      <c r="N2028" s="159"/>
      <c r="O2028" s="159"/>
      <c r="P2028" s="159"/>
      <c r="Q2028" s="159"/>
      <c r="R2028" s="159"/>
      <c r="S2028" s="159"/>
    </row>
    <row r="2029" spans="1:19" ht="137.5">
      <c r="A2029" s="118" t="s">
        <v>2284</v>
      </c>
      <c r="B2029" s="122" t="s">
        <v>2329</v>
      </c>
      <c r="C2029" s="122"/>
      <c r="D2029" s="122" t="s">
        <v>263</v>
      </c>
      <c r="E2029" s="457" t="s">
        <v>2334</v>
      </c>
      <c r="F2029" s="122" t="s">
        <v>2235</v>
      </c>
      <c r="G2029" s="122" t="s">
        <v>2335</v>
      </c>
      <c r="H2029" s="122" t="s">
        <v>1327</v>
      </c>
      <c r="I2029" s="142" t="str">
        <f t="shared" si="6"/>
        <v>fixed line gross margin cpaf q</v>
      </c>
      <c r="J2029" s="122" t="s">
        <v>2239</v>
      </c>
      <c r="K2029" s="172" t="s">
        <v>2226</v>
      </c>
      <c r="L2029" s="159"/>
      <c r="M2029" s="159"/>
      <c r="N2029" s="159"/>
      <c r="O2029" s="159"/>
      <c r="P2029" s="159"/>
      <c r="Q2029" s="159"/>
      <c r="R2029" s="159"/>
      <c r="S2029" s="159"/>
    </row>
    <row r="2030" spans="1:19" ht="91" customHeight="1">
      <c r="A2030" s="118" t="s">
        <v>2284</v>
      </c>
      <c r="B2030" s="122" t="s">
        <v>2329</v>
      </c>
      <c r="C2030" s="122"/>
      <c r="D2030" s="122" t="s">
        <v>263</v>
      </c>
      <c r="E2030" s="178" t="s">
        <v>2336</v>
      </c>
      <c r="F2030" s="122" t="s">
        <v>2235</v>
      </c>
      <c r="G2030" s="122" t="s">
        <v>2337</v>
      </c>
      <c r="H2030" s="122" t="s">
        <v>1327</v>
      </c>
      <c r="I2030" s="142" t="str">
        <f t="shared" si="6"/>
        <v>fixed line gross margin cb cpaf q</v>
      </c>
      <c r="J2030" s="122" t="s">
        <v>2239</v>
      </c>
      <c r="K2030" s="172" t="s">
        <v>2226</v>
      </c>
      <c r="L2030" s="159"/>
      <c r="M2030" s="159"/>
      <c r="N2030" s="159"/>
      <c r="O2030" s="159"/>
      <c r="P2030" s="159"/>
      <c r="Q2030" s="159"/>
      <c r="R2030" s="159"/>
      <c r="S2030" s="159"/>
    </row>
    <row r="2031" spans="1:19" ht="51">
      <c r="A2031" s="118" t="s">
        <v>2284</v>
      </c>
      <c r="B2031" s="122"/>
      <c r="C2031" s="122"/>
      <c r="D2031" s="122"/>
      <c r="E2031" s="118" t="s">
        <v>2338</v>
      </c>
      <c r="F2031" s="122" t="s">
        <v>2235</v>
      </c>
      <c r="G2031" s="122" t="s">
        <v>2339</v>
      </c>
      <c r="H2031" s="122" t="s">
        <v>1327</v>
      </c>
      <c r="I2031" s="142" t="str">
        <f t="shared" si="6"/>
        <v>fixed line gross margin per cpaf q</v>
      </c>
      <c r="J2031" s="122" t="s">
        <v>2239</v>
      </c>
      <c r="K2031" s="172" t="s">
        <v>2226</v>
      </c>
      <c r="L2031" s="159"/>
      <c r="M2031" s="159"/>
      <c r="N2031" s="159"/>
      <c r="O2031" s="159"/>
      <c r="P2031" s="159"/>
      <c r="Q2031" s="159"/>
      <c r="R2031" s="159"/>
      <c r="S2031" s="159"/>
    </row>
    <row r="2032" spans="1:19" ht="64.5">
      <c r="A2032" s="118" t="s">
        <v>2284</v>
      </c>
      <c r="B2032" s="122"/>
      <c r="C2032" s="122"/>
      <c r="D2032" s="122"/>
      <c r="E2032" s="457" t="s">
        <v>2340</v>
      </c>
      <c r="F2032" s="122" t="s">
        <v>2235</v>
      </c>
      <c r="G2032" s="122" t="s">
        <v>2341</v>
      </c>
      <c r="H2032" s="122" t="s">
        <v>1327</v>
      </c>
      <c r="I2032" s="142" t="str">
        <f t="shared" si="6"/>
        <v>fixed line gross margin per cb cpaf q</v>
      </c>
      <c r="J2032" s="122" t="s">
        <v>2239</v>
      </c>
      <c r="K2032" s="172" t="s">
        <v>2226</v>
      </c>
      <c r="L2032" s="159"/>
      <c r="M2032" s="159"/>
      <c r="N2032" s="159"/>
      <c r="O2032" s="159"/>
      <c r="P2032" s="159"/>
      <c r="Q2032" s="159"/>
      <c r="R2032" s="159"/>
      <c r="S2032" s="159"/>
    </row>
    <row r="2033" spans="1:19" ht="51.5">
      <c r="A2033" s="118" t="s">
        <v>2305</v>
      </c>
      <c r="B2033" s="122"/>
      <c r="C2033" s="122"/>
      <c r="D2033" s="122" t="s">
        <v>263</v>
      </c>
      <c r="E2033" s="118" t="s">
        <v>2342</v>
      </c>
      <c r="F2033" s="122" t="s">
        <v>2235</v>
      </c>
      <c r="G2033" s="122" t="s">
        <v>2343</v>
      </c>
      <c r="H2033" s="122" t="s">
        <v>1327</v>
      </c>
      <c r="I2033" s="142" t="str">
        <f t="shared" si="6"/>
        <v>cost to service cpaf q</v>
      </c>
      <c r="J2033" s="122" t="s">
        <v>2239</v>
      </c>
      <c r="K2033" s="172" t="s">
        <v>2226</v>
      </c>
      <c r="L2033" s="159"/>
      <c r="M2033" s="159"/>
      <c r="N2033" s="159"/>
      <c r="O2033" s="159"/>
      <c r="P2033" s="159"/>
      <c r="Q2033" s="159"/>
      <c r="R2033" s="159"/>
      <c r="S2033" s="159"/>
    </row>
    <row r="2034" spans="1:19" ht="151">
      <c r="A2034" s="118" t="s">
        <v>2344</v>
      </c>
      <c r="B2034" s="122"/>
      <c r="C2034" s="122"/>
      <c r="D2034" s="122" t="s">
        <v>263</v>
      </c>
      <c r="E2034" s="356" t="s">
        <v>2345</v>
      </c>
      <c r="F2034" s="122" t="s">
        <v>2235</v>
      </c>
      <c r="G2034" s="122" t="s">
        <v>2346</v>
      </c>
      <c r="H2034" s="122" t="s">
        <v>1327</v>
      </c>
      <c r="I2034" s="142" t="str">
        <f t="shared" si="6"/>
        <v>vodafone retail cost cpaf q</v>
      </c>
      <c r="J2034" s="122" t="s">
        <v>2239</v>
      </c>
      <c r="K2034" s="172" t="s">
        <v>2226</v>
      </c>
      <c r="L2034" s="159"/>
      <c r="M2034" s="159"/>
      <c r="N2034" s="159"/>
      <c r="O2034" s="159"/>
      <c r="P2034" s="159"/>
      <c r="Q2034" s="159"/>
      <c r="R2034" s="159"/>
      <c r="S2034" s="159"/>
    </row>
    <row r="2035" spans="1:19">
      <c r="A2035" s="118" t="s">
        <v>2284</v>
      </c>
      <c r="B2035" s="122"/>
      <c r="C2035" s="122"/>
      <c r="D2035" s="122" t="s">
        <v>263</v>
      </c>
      <c r="E2035" s="122" t="s">
        <v>2347</v>
      </c>
      <c r="F2035" s="122" t="s">
        <v>2235</v>
      </c>
      <c r="G2035" s="122" t="s">
        <v>2348</v>
      </c>
      <c r="H2035" s="122" t="s">
        <v>1327</v>
      </c>
      <c r="I2035" s="142" t="str">
        <f t="shared" si="6"/>
        <v>total opex cost cpaf q</v>
      </c>
      <c r="J2035" s="122" t="s">
        <v>2239</v>
      </c>
      <c r="K2035" s="172" t="s">
        <v>2226</v>
      </c>
      <c r="L2035" s="159"/>
      <c r="M2035" s="159"/>
      <c r="N2035" s="159"/>
      <c r="O2035" s="159"/>
      <c r="P2035" s="159"/>
      <c r="Q2035" s="159"/>
      <c r="R2035" s="159"/>
      <c r="S2035" s="159"/>
    </row>
    <row r="2036" spans="1:19" ht="87.5">
      <c r="A2036" s="118" t="s">
        <v>2284</v>
      </c>
      <c r="B2036" s="122"/>
      <c r="C2036" s="122"/>
      <c r="D2036" s="122" t="s">
        <v>263</v>
      </c>
      <c r="E2036" s="118" t="s">
        <v>2349</v>
      </c>
      <c r="F2036" s="122" t="s">
        <v>2235</v>
      </c>
      <c r="G2036" s="122" t="s">
        <v>2350</v>
      </c>
      <c r="H2036" s="122" t="s">
        <v>1327</v>
      </c>
      <c r="I2036" s="142" t="str">
        <f t="shared" si="6"/>
        <v>fixed line ebitda cpaf q</v>
      </c>
      <c r="J2036" s="122" t="s">
        <v>2239</v>
      </c>
      <c r="K2036" s="172" t="s">
        <v>2226</v>
      </c>
      <c r="L2036" s="159"/>
      <c r="M2036" s="159"/>
      <c r="N2036" s="159"/>
      <c r="O2036" s="159"/>
      <c r="P2036" s="159"/>
      <c r="Q2036" s="159"/>
      <c r="R2036" s="159"/>
      <c r="S2036" s="159"/>
    </row>
    <row r="2037" spans="1:19" ht="50.15" customHeight="1">
      <c r="A2037" s="118" t="s">
        <v>2284</v>
      </c>
      <c r="B2037" s="122"/>
      <c r="C2037" s="122"/>
      <c r="D2037" s="122" t="s">
        <v>263</v>
      </c>
      <c r="E2037" s="118" t="s">
        <v>2351</v>
      </c>
      <c r="F2037" s="122" t="s">
        <v>2235</v>
      </c>
      <c r="G2037" s="122" t="s">
        <v>2352</v>
      </c>
      <c r="H2037" s="122" t="s">
        <v>1327</v>
      </c>
      <c r="I2037" s="142" t="str">
        <f t="shared" si="6"/>
        <v>fixed line ebitda cb cpaf q</v>
      </c>
      <c r="J2037" s="122" t="s">
        <v>2239</v>
      </c>
      <c r="K2037" s="172" t="s">
        <v>2226</v>
      </c>
      <c r="L2037" s="159"/>
      <c r="M2037" s="159"/>
      <c r="N2037" s="159"/>
      <c r="O2037" s="159"/>
      <c r="P2037" s="159"/>
      <c r="Q2037" s="159"/>
      <c r="R2037" s="159"/>
      <c r="S2037" s="159"/>
    </row>
    <row r="2038" spans="1:19" ht="392">
      <c r="A2038" s="118" t="s">
        <v>2353</v>
      </c>
      <c r="B2038" s="122"/>
      <c r="C2038" s="122"/>
      <c r="D2038" s="122" t="s">
        <v>263</v>
      </c>
      <c r="E2038" s="454" t="s">
        <v>2354</v>
      </c>
      <c r="F2038" s="122" t="s">
        <v>2235</v>
      </c>
      <c r="G2038" s="122" t="s">
        <v>2355</v>
      </c>
      <c r="H2038" s="122" t="s">
        <v>1327</v>
      </c>
      <c r="I2038" s="142" t="str">
        <f t="shared" si="6"/>
        <v>modem cpaf q</v>
      </c>
      <c r="J2038" s="122" t="s">
        <v>2239</v>
      </c>
      <c r="K2038" s="172" t="s">
        <v>2226</v>
      </c>
      <c r="L2038" s="159"/>
      <c r="M2038" s="159"/>
      <c r="N2038" s="159"/>
      <c r="O2038" s="159"/>
      <c r="P2038" s="159"/>
      <c r="Q2038" s="159"/>
      <c r="R2038" s="159"/>
      <c r="S2038" s="159"/>
    </row>
    <row r="2039" spans="1:19" ht="367">
      <c r="A2039" s="118" t="s">
        <v>2356</v>
      </c>
      <c r="B2039" s="122"/>
      <c r="C2039" s="122"/>
      <c r="D2039" s="122" t="s">
        <v>263</v>
      </c>
      <c r="E2039" s="356" t="s">
        <v>2357</v>
      </c>
      <c r="F2039" s="122" t="s">
        <v>2235</v>
      </c>
      <c r="G2039" s="122" t="s">
        <v>2358</v>
      </c>
      <c r="H2039" s="122" t="s">
        <v>1327</v>
      </c>
      <c r="I2039" s="142" t="str">
        <f t="shared" si="6"/>
        <v>set top box cpaf q</v>
      </c>
      <c r="J2039" s="122" t="s">
        <v>2239</v>
      </c>
      <c r="K2039" s="172" t="s">
        <v>2226</v>
      </c>
      <c r="L2039" s="159"/>
      <c r="M2039" s="159"/>
      <c r="N2039" s="159"/>
      <c r="O2039" s="159"/>
      <c r="P2039" s="159"/>
      <c r="Q2039" s="159"/>
      <c r="R2039" s="159"/>
      <c r="S2039" s="159"/>
    </row>
    <row r="2040" spans="1:19" ht="25.5">
      <c r="A2040" s="118" t="s">
        <v>2305</v>
      </c>
      <c r="B2040" s="122"/>
      <c r="C2040" s="122"/>
      <c r="D2040" s="122" t="s">
        <v>263</v>
      </c>
      <c r="E2040" s="118" t="s">
        <v>2359</v>
      </c>
      <c r="F2040" s="122" t="s">
        <v>2235</v>
      </c>
      <c r="G2040" s="122" t="s">
        <v>2360</v>
      </c>
      <c r="H2040" s="122" t="s">
        <v>1327</v>
      </c>
      <c r="I2040" s="142" t="str">
        <f t="shared" si="6"/>
        <v>overdue amount cpaf q</v>
      </c>
      <c r="J2040" s="122" t="s">
        <v>2239</v>
      </c>
      <c r="K2040" s="172" t="s">
        <v>2226</v>
      </c>
      <c r="L2040" s="159"/>
      <c r="M2040" s="159"/>
      <c r="N2040" s="159"/>
      <c r="O2040" s="159"/>
      <c r="P2040" s="159"/>
      <c r="Q2040" s="159"/>
      <c r="R2040" s="159"/>
      <c r="S2040" s="159"/>
    </row>
    <row r="2041" spans="1:19">
      <c r="A2041" s="118" t="s">
        <v>2361</v>
      </c>
      <c r="B2041" s="122"/>
      <c r="C2041" s="122"/>
      <c r="D2041" s="122" t="s">
        <v>263</v>
      </c>
      <c r="E2041" s="122" t="s">
        <v>2362</v>
      </c>
      <c r="F2041" s="122" t="s">
        <v>2235</v>
      </c>
      <c r="G2041" s="122" t="s">
        <v>2363</v>
      </c>
      <c r="H2041" s="122" t="s">
        <v>275</v>
      </c>
      <c r="I2041" s="142" t="str">
        <f t="shared" si="6"/>
        <v>est tenure cpaf q</v>
      </c>
      <c r="J2041" s="122" t="s">
        <v>2364</v>
      </c>
      <c r="K2041" s="172" t="s">
        <v>2226</v>
      </c>
      <c r="L2041" s="159"/>
      <c r="M2041" s="159"/>
      <c r="N2041" s="159"/>
      <c r="O2041" s="159"/>
      <c r="P2041" s="159"/>
      <c r="Q2041" s="159"/>
      <c r="R2041" s="159"/>
      <c r="S2041" s="159"/>
    </row>
    <row r="2042" spans="1:19" ht="38">
      <c r="A2042" s="118" t="s">
        <v>2361</v>
      </c>
      <c r="B2042" s="122"/>
      <c r="C2042" s="122"/>
      <c r="D2042" s="122" t="s">
        <v>263</v>
      </c>
      <c r="E2042" s="457" t="s">
        <v>2365</v>
      </c>
      <c r="F2042" s="122" t="s">
        <v>2235</v>
      </c>
      <c r="G2042" s="122" t="s">
        <v>2366</v>
      </c>
      <c r="H2042" s="122" t="s">
        <v>275</v>
      </c>
      <c r="I2042" s="142" t="str">
        <f t="shared" si="6"/>
        <v>est tenure cb cpaf q</v>
      </c>
      <c r="J2042" s="122" t="s">
        <v>2364</v>
      </c>
      <c r="K2042" s="172" t="s">
        <v>2226</v>
      </c>
      <c r="L2042" s="159"/>
      <c r="M2042" s="159"/>
      <c r="N2042" s="159"/>
      <c r="O2042" s="159"/>
      <c r="P2042" s="159"/>
      <c r="Q2042" s="159"/>
      <c r="R2042" s="159"/>
      <c r="S2042" s="159"/>
    </row>
    <row r="2043" spans="1:19">
      <c r="A2043" s="118"/>
      <c r="B2043" s="122"/>
      <c r="C2043" s="122"/>
      <c r="D2043" s="122" t="s">
        <v>263</v>
      </c>
      <c r="E2043" s="122" t="s">
        <v>2367</v>
      </c>
      <c r="F2043" s="122" t="s">
        <v>2235</v>
      </c>
      <c r="G2043" s="122" t="s">
        <v>2368</v>
      </c>
      <c r="H2043" s="122" t="s">
        <v>1327</v>
      </c>
      <c r="I2043" s="142" t="str">
        <f t="shared" si="6"/>
        <v>monthly access fee inflow cpaf q</v>
      </c>
      <c r="J2043" s="122" t="s">
        <v>2369</v>
      </c>
      <c r="K2043" s="172" t="s">
        <v>2226</v>
      </c>
      <c r="L2043" s="159"/>
      <c r="M2043" s="159"/>
      <c r="N2043" s="159"/>
      <c r="O2043" s="159"/>
      <c r="P2043" s="159"/>
      <c r="Q2043" s="159"/>
      <c r="R2043" s="159"/>
      <c r="S2043" s="159"/>
    </row>
    <row r="2044" spans="1:19">
      <c r="A2044" s="118"/>
      <c r="B2044" s="122"/>
      <c r="C2044" s="122"/>
      <c r="D2044" s="122" t="s">
        <v>263</v>
      </c>
      <c r="E2044" s="122" t="s">
        <v>2370</v>
      </c>
      <c r="F2044" s="122" t="s">
        <v>2235</v>
      </c>
      <c r="G2044" s="122" t="s">
        <v>2371</v>
      </c>
      <c r="H2044" s="122" t="s">
        <v>1327</v>
      </c>
      <c r="I2044" s="142" t="str">
        <f t="shared" si="6"/>
        <v>monthly access fee outflow cpaf q</v>
      </c>
      <c r="J2044" s="122" t="s">
        <v>2369</v>
      </c>
      <c r="K2044" s="172" t="s">
        <v>2226</v>
      </c>
      <c r="L2044" s="159"/>
      <c r="M2044" s="159"/>
      <c r="N2044" s="159"/>
      <c r="O2044" s="159"/>
      <c r="P2044" s="159"/>
      <c r="Q2044" s="159"/>
      <c r="R2044" s="159"/>
      <c r="S2044" s="159"/>
    </row>
    <row r="2045" spans="1:19">
      <c r="A2045" s="118"/>
      <c r="B2045" s="122"/>
      <c r="C2045" s="122"/>
      <c r="D2045" s="122" t="s">
        <v>263</v>
      </c>
      <c r="E2045" s="122" t="s">
        <v>2372</v>
      </c>
      <c r="F2045" s="122" t="s">
        <v>2235</v>
      </c>
      <c r="G2045" s="122" t="s">
        <v>2373</v>
      </c>
      <c r="H2045" s="122" t="s">
        <v>1327</v>
      </c>
      <c r="I2045" s="142" t="str">
        <f t="shared" si="6"/>
        <v>monthly access fee net pnl cpaf q</v>
      </c>
      <c r="J2045" s="122" t="s">
        <v>2369</v>
      </c>
      <c r="K2045" s="172" t="s">
        <v>2226</v>
      </c>
      <c r="L2045" s="159"/>
      <c r="M2045" s="159"/>
      <c r="N2045" s="159"/>
      <c r="O2045" s="159"/>
      <c r="P2045" s="159"/>
      <c r="Q2045" s="159"/>
      <c r="R2045" s="159"/>
      <c r="S2045" s="159"/>
    </row>
    <row r="2046" spans="1:19">
      <c r="A2046" s="118"/>
      <c r="B2046" s="122"/>
      <c r="C2046" s="122"/>
      <c r="D2046" s="122" t="s">
        <v>263</v>
      </c>
      <c r="E2046" s="122" t="s">
        <v>2374</v>
      </c>
      <c r="F2046" s="122" t="s">
        <v>2235</v>
      </c>
      <c r="G2046" s="122" t="s">
        <v>2375</v>
      </c>
      <c r="H2046" s="122" t="s">
        <v>1327</v>
      </c>
      <c r="I2046" s="142" t="str">
        <f t="shared" si="6"/>
        <v>out of bundle revenue inflow cpaf q</v>
      </c>
      <c r="J2046" s="122" t="s">
        <v>2369</v>
      </c>
      <c r="K2046" s="172" t="s">
        <v>2226</v>
      </c>
      <c r="L2046" s="159"/>
      <c r="M2046" s="159"/>
      <c r="N2046" s="159"/>
      <c r="O2046" s="159"/>
      <c r="P2046" s="159"/>
      <c r="Q2046" s="159"/>
      <c r="R2046" s="159"/>
      <c r="S2046" s="159"/>
    </row>
    <row r="2047" spans="1:19">
      <c r="A2047" s="118"/>
      <c r="B2047" s="122"/>
      <c r="C2047" s="122"/>
      <c r="D2047" s="122" t="s">
        <v>263</v>
      </c>
      <c r="E2047" s="122" t="s">
        <v>2376</v>
      </c>
      <c r="F2047" s="122" t="s">
        <v>2235</v>
      </c>
      <c r="G2047" s="122" t="s">
        <v>2377</v>
      </c>
      <c r="H2047" s="122" t="s">
        <v>1327</v>
      </c>
      <c r="I2047" s="142" t="str">
        <f t="shared" si="6"/>
        <v>out of bundle revenue outflow cpaf q</v>
      </c>
      <c r="J2047" s="122" t="s">
        <v>2369</v>
      </c>
      <c r="K2047" s="172" t="s">
        <v>2226</v>
      </c>
      <c r="L2047" s="159"/>
      <c r="M2047" s="159"/>
      <c r="N2047" s="159"/>
      <c r="O2047" s="159"/>
      <c r="P2047" s="159"/>
      <c r="Q2047" s="159"/>
      <c r="R2047" s="159"/>
      <c r="S2047" s="159"/>
    </row>
    <row r="2048" spans="1:19">
      <c r="A2048" s="118"/>
      <c r="B2048" s="122"/>
      <c r="C2048" s="122"/>
      <c r="D2048" s="122" t="s">
        <v>263</v>
      </c>
      <c r="E2048" s="122" t="s">
        <v>2378</v>
      </c>
      <c r="F2048" s="122" t="s">
        <v>2235</v>
      </c>
      <c r="G2048" s="122" t="s">
        <v>2379</v>
      </c>
      <c r="H2048" s="122" t="s">
        <v>1327</v>
      </c>
      <c r="I2048" s="142" t="str">
        <f t="shared" si="6"/>
        <v>out of bundle revenue net pnl cpaf q</v>
      </c>
      <c r="J2048" s="122" t="s">
        <v>2369</v>
      </c>
      <c r="K2048" s="172" t="s">
        <v>2226</v>
      </c>
      <c r="L2048" s="159"/>
      <c r="M2048" s="159"/>
      <c r="N2048" s="159"/>
      <c r="O2048" s="159"/>
      <c r="P2048" s="159"/>
      <c r="Q2048" s="159"/>
      <c r="R2048" s="159"/>
      <c r="S2048" s="159"/>
    </row>
    <row r="2049" spans="1:19">
      <c r="A2049" s="118"/>
      <c r="B2049" s="122"/>
      <c r="C2049" s="122"/>
      <c r="D2049" s="122" t="s">
        <v>263</v>
      </c>
      <c r="E2049" s="122" t="s">
        <v>2380</v>
      </c>
      <c r="F2049" s="122" t="s">
        <v>2235</v>
      </c>
      <c r="G2049" s="122" t="s">
        <v>2381</v>
      </c>
      <c r="H2049" s="122" t="s">
        <v>1327</v>
      </c>
      <c r="I2049" s="142" t="str">
        <f t="shared" si="6"/>
        <v>additional service revenue inflow cpaf q</v>
      </c>
      <c r="J2049" s="122" t="s">
        <v>2369</v>
      </c>
      <c r="K2049" s="172" t="s">
        <v>2226</v>
      </c>
      <c r="L2049" s="159"/>
      <c r="M2049" s="159"/>
      <c r="N2049" s="159"/>
      <c r="O2049" s="159"/>
      <c r="P2049" s="159"/>
      <c r="Q2049" s="159"/>
      <c r="R2049" s="159"/>
      <c r="S2049" s="159"/>
    </row>
    <row r="2050" spans="1:19">
      <c r="A2050" s="118"/>
      <c r="B2050" s="122"/>
      <c r="C2050" s="122"/>
      <c r="D2050" s="122" t="s">
        <v>263</v>
      </c>
      <c r="E2050" s="122" t="s">
        <v>2382</v>
      </c>
      <c r="F2050" s="122" t="s">
        <v>2235</v>
      </c>
      <c r="G2050" s="122" t="s">
        <v>2383</v>
      </c>
      <c r="H2050" s="122" t="s">
        <v>1327</v>
      </c>
      <c r="I2050" s="142" t="str">
        <f t="shared" si="6"/>
        <v>additional service revenue outflow cpaf q</v>
      </c>
      <c r="J2050" s="122" t="s">
        <v>2369</v>
      </c>
      <c r="K2050" s="172" t="s">
        <v>2226</v>
      </c>
      <c r="L2050" s="159"/>
      <c r="M2050" s="159"/>
      <c r="N2050" s="159"/>
      <c r="O2050" s="159"/>
      <c r="P2050" s="159"/>
      <c r="Q2050" s="159"/>
      <c r="R2050" s="159"/>
      <c r="S2050" s="159"/>
    </row>
    <row r="2051" spans="1:19">
      <c r="A2051" s="118"/>
      <c r="B2051" s="122"/>
      <c r="C2051" s="122"/>
      <c r="D2051" s="122" t="s">
        <v>263</v>
      </c>
      <c r="E2051" s="122" t="s">
        <v>2384</v>
      </c>
      <c r="F2051" s="122" t="s">
        <v>2235</v>
      </c>
      <c r="G2051" s="122" t="s">
        <v>2385</v>
      </c>
      <c r="H2051" s="122" t="s">
        <v>1327</v>
      </c>
      <c r="I2051" s="142" t="str">
        <f t="shared" ref="I2051:I2114" si="8">SUBSTITUTE(G2051,"_"," ")</f>
        <v>additional service revenue net pnl cpaf q</v>
      </c>
      <c r="J2051" s="122" t="s">
        <v>2369</v>
      </c>
      <c r="K2051" s="172" t="s">
        <v>2226</v>
      </c>
      <c r="L2051" s="159"/>
      <c r="M2051" s="159"/>
      <c r="N2051" s="159"/>
      <c r="O2051" s="159"/>
      <c r="P2051" s="159"/>
      <c r="Q2051" s="159"/>
      <c r="R2051" s="159"/>
      <c r="S2051" s="159"/>
    </row>
    <row r="2052" spans="1:19">
      <c r="A2052" s="118"/>
      <c r="B2052" s="122"/>
      <c r="C2052" s="122"/>
      <c r="D2052" s="122" t="s">
        <v>263</v>
      </c>
      <c r="E2052" s="122" t="s">
        <v>2386</v>
      </c>
      <c r="F2052" s="122" t="s">
        <v>2235</v>
      </c>
      <c r="G2052" s="122" t="s">
        <v>2387</v>
      </c>
      <c r="H2052" s="122" t="s">
        <v>1327</v>
      </c>
      <c r="I2052" s="142" t="str">
        <f t="shared" si="8"/>
        <v>fixed line customer revenue inflow cpaf q</v>
      </c>
      <c r="J2052" s="122" t="s">
        <v>2369</v>
      </c>
      <c r="K2052" s="172" t="s">
        <v>2226</v>
      </c>
      <c r="L2052" s="159"/>
      <c r="M2052" s="159"/>
      <c r="N2052" s="159"/>
      <c r="O2052" s="159"/>
      <c r="P2052" s="159"/>
      <c r="Q2052" s="159"/>
      <c r="R2052" s="159"/>
      <c r="S2052" s="159"/>
    </row>
    <row r="2053" spans="1:19">
      <c r="A2053" s="118"/>
      <c r="B2053" s="122"/>
      <c r="C2053" s="122"/>
      <c r="D2053" s="122" t="s">
        <v>263</v>
      </c>
      <c r="E2053" s="122" t="s">
        <v>2388</v>
      </c>
      <c r="F2053" s="122" t="s">
        <v>2235</v>
      </c>
      <c r="G2053" s="122" t="s">
        <v>2389</v>
      </c>
      <c r="H2053" s="122" t="s">
        <v>1327</v>
      </c>
      <c r="I2053" s="142" t="str">
        <f t="shared" si="8"/>
        <v>fixed line customer revenue outflow cpaf q</v>
      </c>
      <c r="J2053" s="122" t="s">
        <v>2369</v>
      </c>
      <c r="K2053" s="172" t="s">
        <v>2226</v>
      </c>
      <c r="L2053" s="159"/>
      <c r="M2053" s="159"/>
      <c r="N2053" s="159"/>
      <c r="O2053" s="159"/>
      <c r="P2053" s="159"/>
      <c r="Q2053" s="159"/>
      <c r="R2053" s="159"/>
      <c r="S2053" s="159"/>
    </row>
    <row r="2054" spans="1:19">
      <c r="A2054" s="118"/>
      <c r="B2054" s="122"/>
      <c r="C2054" s="122"/>
      <c r="D2054" s="122" t="s">
        <v>263</v>
      </c>
      <c r="E2054" s="122" t="s">
        <v>2390</v>
      </c>
      <c r="F2054" s="122" t="s">
        <v>2235</v>
      </c>
      <c r="G2054" s="122" t="s">
        <v>2391</v>
      </c>
      <c r="H2054" s="122" t="s">
        <v>1327</v>
      </c>
      <c r="I2054" s="142" t="str">
        <f t="shared" si="8"/>
        <v>fixed line customer revenue net pnl cpaf q</v>
      </c>
      <c r="J2054" s="122" t="s">
        <v>2369</v>
      </c>
      <c r="K2054" s="172" t="s">
        <v>2226</v>
      </c>
      <c r="L2054" s="159"/>
      <c r="M2054" s="159"/>
      <c r="N2054" s="159"/>
      <c r="O2054" s="159"/>
      <c r="P2054" s="159"/>
      <c r="Q2054" s="159"/>
      <c r="R2054" s="159"/>
      <c r="S2054" s="159"/>
    </row>
    <row r="2055" spans="1:19">
      <c r="A2055" s="118"/>
      <c r="B2055" s="122"/>
      <c r="C2055" s="122"/>
      <c r="D2055" s="122" t="s">
        <v>263</v>
      </c>
      <c r="E2055" s="122" t="s">
        <v>2392</v>
      </c>
      <c r="F2055" s="122" t="s">
        <v>2235</v>
      </c>
      <c r="G2055" s="122" t="s">
        <v>2393</v>
      </c>
      <c r="H2055" s="122" t="s">
        <v>1327</v>
      </c>
      <c r="I2055" s="142" t="str">
        <f t="shared" si="8"/>
        <v>discount inflow cpaf q</v>
      </c>
      <c r="J2055" s="122" t="s">
        <v>2369</v>
      </c>
      <c r="K2055" s="172" t="s">
        <v>2226</v>
      </c>
      <c r="L2055" s="159"/>
      <c r="M2055" s="159"/>
      <c r="N2055" s="159"/>
      <c r="O2055" s="159"/>
      <c r="P2055" s="159"/>
      <c r="Q2055" s="159"/>
      <c r="R2055" s="159"/>
      <c r="S2055" s="159"/>
    </row>
    <row r="2056" spans="1:19">
      <c r="A2056" s="118"/>
      <c r="B2056" s="122"/>
      <c r="C2056" s="122"/>
      <c r="D2056" s="122" t="s">
        <v>263</v>
      </c>
      <c r="E2056" s="122" t="s">
        <v>2394</v>
      </c>
      <c r="F2056" s="122" t="s">
        <v>2235</v>
      </c>
      <c r="G2056" s="122" t="s">
        <v>2395</v>
      </c>
      <c r="H2056" s="122" t="s">
        <v>1327</v>
      </c>
      <c r="I2056" s="142" t="str">
        <f t="shared" si="8"/>
        <v>discount outflow cpaf q</v>
      </c>
      <c r="J2056" s="122" t="s">
        <v>2369</v>
      </c>
      <c r="K2056" s="172" t="s">
        <v>2226</v>
      </c>
      <c r="L2056" s="159"/>
      <c r="M2056" s="159"/>
      <c r="N2056" s="159"/>
      <c r="O2056" s="159"/>
      <c r="P2056" s="159"/>
      <c r="Q2056" s="159"/>
      <c r="R2056" s="159"/>
      <c r="S2056" s="159"/>
    </row>
    <row r="2057" spans="1:19">
      <c r="A2057" s="118"/>
      <c r="B2057" s="122"/>
      <c r="C2057" s="122"/>
      <c r="D2057" s="122" t="s">
        <v>263</v>
      </c>
      <c r="E2057" s="122" t="s">
        <v>2396</v>
      </c>
      <c r="F2057" s="122" t="s">
        <v>2235</v>
      </c>
      <c r="G2057" s="122" t="s">
        <v>2397</v>
      </c>
      <c r="H2057" s="122" t="s">
        <v>1327</v>
      </c>
      <c r="I2057" s="142" t="str">
        <f t="shared" si="8"/>
        <v>discount net pnl cpaf q</v>
      </c>
      <c r="J2057" s="122" t="s">
        <v>2369</v>
      </c>
      <c r="K2057" s="172" t="s">
        <v>2226</v>
      </c>
      <c r="L2057" s="159"/>
      <c r="M2057" s="159"/>
      <c r="N2057" s="159"/>
      <c r="O2057" s="159"/>
      <c r="P2057" s="159"/>
      <c r="Q2057" s="159"/>
      <c r="R2057" s="159"/>
      <c r="S2057" s="159"/>
    </row>
    <row r="2058" spans="1:19">
      <c r="A2058" s="118"/>
      <c r="B2058" s="122"/>
      <c r="C2058" s="122"/>
      <c r="D2058" s="122" t="s">
        <v>263</v>
      </c>
      <c r="E2058" s="122" t="s">
        <v>2398</v>
      </c>
      <c r="F2058" s="122" t="s">
        <v>2235</v>
      </c>
      <c r="G2058" s="122" t="s">
        <v>2399</v>
      </c>
      <c r="H2058" s="122" t="s">
        <v>1327</v>
      </c>
      <c r="I2058" s="142" t="str">
        <f t="shared" si="8"/>
        <v>credit inflow cpaf q</v>
      </c>
      <c r="J2058" s="122" t="s">
        <v>2369</v>
      </c>
      <c r="K2058" s="172" t="s">
        <v>2226</v>
      </c>
      <c r="L2058" s="159"/>
      <c r="M2058" s="159"/>
      <c r="N2058" s="159"/>
      <c r="O2058" s="159"/>
      <c r="P2058" s="159"/>
      <c r="Q2058" s="159"/>
      <c r="R2058" s="159"/>
      <c r="S2058" s="159"/>
    </row>
    <row r="2059" spans="1:19">
      <c r="A2059" s="118"/>
      <c r="B2059" s="122"/>
      <c r="C2059" s="122"/>
      <c r="D2059" s="122" t="s">
        <v>263</v>
      </c>
      <c r="E2059" s="122" t="s">
        <v>2400</v>
      </c>
      <c r="F2059" s="122" t="s">
        <v>2235</v>
      </c>
      <c r="G2059" s="122" t="s">
        <v>2401</v>
      </c>
      <c r="H2059" s="122" t="s">
        <v>1327</v>
      </c>
      <c r="I2059" s="142" t="str">
        <f t="shared" si="8"/>
        <v>credit outflow cpaf q</v>
      </c>
      <c r="J2059" s="122" t="s">
        <v>2369</v>
      </c>
      <c r="K2059" s="172" t="s">
        <v>2226</v>
      </c>
      <c r="L2059" s="159"/>
      <c r="M2059" s="159"/>
      <c r="N2059" s="159"/>
      <c r="O2059" s="159"/>
      <c r="P2059" s="159"/>
      <c r="Q2059" s="159"/>
      <c r="R2059" s="159"/>
      <c r="S2059" s="159"/>
    </row>
    <row r="2060" spans="1:19">
      <c r="A2060" s="118"/>
      <c r="B2060" s="122"/>
      <c r="C2060" s="122"/>
      <c r="D2060" s="122" t="s">
        <v>263</v>
      </c>
      <c r="E2060" s="122" t="s">
        <v>2402</v>
      </c>
      <c r="F2060" s="122" t="s">
        <v>2235</v>
      </c>
      <c r="G2060" s="122" t="s">
        <v>2403</v>
      </c>
      <c r="H2060" s="122" t="s">
        <v>1327</v>
      </c>
      <c r="I2060" s="142" t="str">
        <f t="shared" si="8"/>
        <v>credit net pnl cpaf q</v>
      </c>
      <c r="J2060" s="122" t="s">
        <v>2369</v>
      </c>
      <c r="K2060" s="172" t="s">
        <v>2226</v>
      </c>
      <c r="L2060" s="159"/>
      <c r="M2060" s="159"/>
      <c r="N2060" s="159"/>
      <c r="O2060" s="159"/>
      <c r="P2060" s="159"/>
      <c r="Q2060" s="159"/>
      <c r="R2060" s="159"/>
      <c r="S2060" s="159"/>
    </row>
    <row r="2061" spans="1:19">
      <c r="A2061" s="118"/>
      <c r="B2061" s="122"/>
      <c r="C2061" s="122"/>
      <c r="D2061" s="122" t="s">
        <v>263</v>
      </c>
      <c r="E2061" s="122" t="s">
        <v>2404</v>
      </c>
      <c r="F2061" s="122" t="s">
        <v>2235</v>
      </c>
      <c r="G2061" s="122" t="s">
        <v>2405</v>
      </c>
      <c r="H2061" s="122" t="s">
        <v>1327</v>
      </c>
      <c r="I2061" s="142" t="str">
        <f t="shared" si="8"/>
        <v>fixed line customer service revenue inflow cpaf q</v>
      </c>
      <c r="J2061" s="122" t="s">
        <v>2369</v>
      </c>
      <c r="K2061" s="172" t="s">
        <v>2226</v>
      </c>
      <c r="L2061" s="159"/>
      <c r="M2061" s="159"/>
      <c r="N2061" s="159"/>
      <c r="O2061" s="159"/>
      <c r="P2061" s="159"/>
      <c r="Q2061" s="159"/>
      <c r="R2061" s="159"/>
      <c r="S2061" s="159"/>
    </row>
    <row r="2062" spans="1:19">
      <c r="A2062" s="118"/>
      <c r="B2062" s="122"/>
      <c r="C2062" s="122"/>
      <c r="D2062" s="122" t="s">
        <v>263</v>
      </c>
      <c r="E2062" s="122" t="s">
        <v>2406</v>
      </c>
      <c r="F2062" s="122" t="s">
        <v>2235</v>
      </c>
      <c r="G2062" s="122" t="s">
        <v>2407</v>
      </c>
      <c r="H2062" s="122" t="s">
        <v>1327</v>
      </c>
      <c r="I2062" s="142" t="str">
        <f t="shared" si="8"/>
        <v>fixed line customer service revenue outflow cpaf q</v>
      </c>
      <c r="J2062" s="122" t="s">
        <v>2369</v>
      </c>
      <c r="K2062" s="172" t="s">
        <v>2226</v>
      </c>
      <c r="L2062" s="159"/>
      <c r="M2062" s="159"/>
      <c r="N2062" s="159"/>
      <c r="O2062" s="159"/>
      <c r="P2062" s="159"/>
      <c r="Q2062" s="159"/>
      <c r="R2062" s="159"/>
      <c r="S2062" s="159"/>
    </row>
    <row r="2063" spans="1:19">
      <c r="A2063" s="118"/>
      <c r="B2063" s="122"/>
      <c r="C2063" s="122"/>
      <c r="D2063" s="122" t="s">
        <v>263</v>
      </c>
      <c r="E2063" s="122" t="s">
        <v>2408</v>
      </c>
      <c r="F2063" s="122" t="s">
        <v>2235</v>
      </c>
      <c r="G2063" s="122" t="s">
        <v>2409</v>
      </c>
      <c r="H2063" s="122" t="s">
        <v>1327</v>
      </c>
      <c r="I2063" s="142" t="str">
        <f t="shared" si="8"/>
        <v>fixed line customer service revenue net pnl cpaf q</v>
      </c>
      <c r="J2063" s="122" t="s">
        <v>2369</v>
      </c>
      <c r="K2063" s="172" t="s">
        <v>2226</v>
      </c>
      <c r="L2063" s="159"/>
      <c r="M2063" s="159"/>
      <c r="N2063" s="159"/>
      <c r="O2063" s="159"/>
      <c r="P2063" s="159"/>
      <c r="Q2063" s="159"/>
      <c r="R2063" s="159"/>
      <c r="S2063" s="159"/>
    </row>
    <row r="2064" spans="1:19">
      <c r="A2064" s="118"/>
      <c r="B2064" s="122"/>
      <c r="C2064" s="122"/>
      <c r="D2064" s="122" t="s">
        <v>263</v>
      </c>
      <c r="E2064" s="122" t="s">
        <v>2410</v>
      </c>
      <c r="F2064" s="122" t="s">
        <v>2235</v>
      </c>
      <c r="G2064" s="122" t="s">
        <v>2411</v>
      </c>
      <c r="H2064" s="122" t="s">
        <v>1327</v>
      </c>
      <c r="I2064" s="142" t="str">
        <f t="shared" si="8"/>
        <v>wholesale line rental cost inflow cpaf q</v>
      </c>
      <c r="J2064" s="122" t="s">
        <v>2369</v>
      </c>
      <c r="K2064" s="172" t="s">
        <v>2226</v>
      </c>
      <c r="L2064" s="159"/>
      <c r="M2064" s="159"/>
      <c r="N2064" s="159"/>
      <c r="O2064" s="159"/>
      <c r="P2064" s="159"/>
      <c r="Q2064" s="159"/>
      <c r="R2064" s="159"/>
      <c r="S2064" s="159"/>
    </row>
    <row r="2065" spans="1:19">
      <c r="A2065" s="118"/>
      <c r="B2065" s="122"/>
      <c r="C2065" s="122"/>
      <c r="D2065" s="122" t="s">
        <v>263</v>
      </c>
      <c r="E2065" s="122" t="s">
        <v>2412</v>
      </c>
      <c r="F2065" s="122" t="s">
        <v>2235</v>
      </c>
      <c r="G2065" s="122" t="s">
        <v>2413</v>
      </c>
      <c r="H2065" s="122" t="s">
        <v>1327</v>
      </c>
      <c r="I2065" s="142" t="str">
        <f t="shared" si="8"/>
        <v>wholesale line rental cost outflow cpaf q</v>
      </c>
      <c r="J2065" s="122" t="s">
        <v>2369</v>
      </c>
      <c r="K2065" s="172" t="s">
        <v>2226</v>
      </c>
      <c r="L2065" s="159"/>
      <c r="M2065" s="159"/>
      <c r="N2065" s="159"/>
      <c r="O2065" s="159"/>
      <c r="P2065" s="159"/>
      <c r="Q2065" s="159"/>
      <c r="R2065" s="159"/>
      <c r="S2065" s="159"/>
    </row>
    <row r="2066" spans="1:19">
      <c r="A2066" s="118"/>
      <c r="B2066" s="122"/>
      <c r="C2066" s="122"/>
      <c r="D2066" s="122" t="s">
        <v>263</v>
      </c>
      <c r="E2066" s="122" t="s">
        <v>2414</v>
      </c>
      <c r="F2066" s="122" t="s">
        <v>2235</v>
      </c>
      <c r="G2066" s="122" t="s">
        <v>2415</v>
      </c>
      <c r="H2066" s="122" t="s">
        <v>1327</v>
      </c>
      <c r="I2066" s="142" t="str">
        <f t="shared" si="8"/>
        <v>wholesale line rental cost net pnl cpaf q</v>
      </c>
      <c r="J2066" s="122" t="s">
        <v>2369</v>
      </c>
      <c r="K2066" s="172" t="s">
        <v>2226</v>
      </c>
      <c r="L2066" s="159"/>
      <c r="M2066" s="159"/>
      <c r="N2066" s="159"/>
      <c r="O2066" s="159"/>
      <c r="P2066" s="159"/>
      <c r="Q2066" s="159"/>
      <c r="R2066" s="159"/>
      <c r="S2066" s="159"/>
    </row>
    <row r="2067" spans="1:19">
      <c r="A2067" s="118"/>
      <c r="B2067" s="122"/>
      <c r="C2067" s="122"/>
      <c r="D2067" s="122" t="s">
        <v>263</v>
      </c>
      <c r="E2067" s="122" t="s">
        <v>2416</v>
      </c>
      <c r="F2067" s="122" t="s">
        <v>2235</v>
      </c>
      <c r="G2067" s="122" t="s">
        <v>2417</v>
      </c>
      <c r="H2067" s="122" t="s">
        <v>1327</v>
      </c>
      <c r="I2067" s="142" t="str">
        <f t="shared" si="8"/>
        <v>interconnect cost inflow cpaf q</v>
      </c>
      <c r="J2067" s="122" t="s">
        <v>2369</v>
      </c>
      <c r="K2067" s="172" t="s">
        <v>2226</v>
      </c>
      <c r="L2067" s="159"/>
      <c r="M2067" s="159"/>
      <c r="N2067" s="159"/>
      <c r="O2067" s="159"/>
      <c r="P2067" s="159"/>
      <c r="Q2067" s="159"/>
      <c r="R2067" s="159"/>
      <c r="S2067" s="159"/>
    </row>
    <row r="2068" spans="1:19">
      <c r="A2068" s="118"/>
      <c r="B2068" s="122"/>
      <c r="C2068" s="122"/>
      <c r="D2068" s="122" t="s">
        <v>263</v>
      </c>
      <c r="E2068" s="122" t="s">
        <v>2418</v>
      </c>
      <c r="F2068" s="122" t="s">
        <v>2235</v>
      </c>
      <c r="G2068" s="122" t="s">
        <v>2419</v>
      </c>
      <c r="H2068" s="122" t="s">
        <v>1327</v>
      </c>
      <c r="I2068" s="142" t="str">
        <f t="shared" si="8"/>
        <v>interconnect cost outflow cpaf q</v>
      </c>
      <c r="J2068" s="122" t="s">
        <v>2369</v>
      </c>
      <c r="K2068" s="172" t="s">
        <v>2226</v>
      </c>
      <c r="L2068" s="159"/>
      <c r="M2068" s="159"/>
      <c r="N2068" s="159"/>
      <c r="O2068" s="159"/>
      <c r="P2068" s="159"/>
      <c r="Q2068" s="159"/>
      <c r="R2068" s="159"/>
      <c r="S2068" s="159"/>
    </row>
    <row r="2069" spans="1:19">
      <c r="A2069" s="118"/>
      <c r="B2069" s="122"/>
      <c r="C2069" s="122"/>
      <c r="D2069" s="122" t="s">
        <v>263</v>
      </c>
      <c r="E2069" s="122" t="s">
        <v>2420</v>
      </c>
      <c r="F2069" s="122" t="s">
        <v>2235</v>
      </c>
      <c r="G2069" s="122" t="s">
        <v>2421</v>
      </c>
      <c r="H2069" s="122" t="s">
        <v>1327</v>
      </c>
      <c r="I2069" s="142" t="str">
        <f t="shared" si="8"/>
        <v>interconnect cost net pnl cpaf q</v>
      </c>
      <c r="J2069" s="122" t="s">
        <v>2369</v>
      </c>
      <c r="K2069" s="172" t="s">
        <v>2226</v>
      </c>
      <c r="L2069" s="159"/>
      <c r="M2069" s="159"/>
      <c r="N2069" s="159"/>
      <c r="O2069" s="159"/>
      <c r="P2069" s="159"/>
      <c r="Q2069" s="159"/>
      <c r="R2069" s="159"/>
      <c r="S2069" s="159"/>
    </row>
    <row r="2070" spans="1:19">
      <c r="A2070" s="118"/>
      <c r="B2070" s="122"/>
      <c r="C2070" s="122"/>
      <c r="D2070" s="122" t="s">
        <v>263</v>
      </c>
      <c r="E2070" s="122" t="s">
        <v>2422</v>
      </c>
      <c r="F2070" s="122" t="s">
        <v>2235</v>
      </c>
      <c r="G2070" s="122" t="s">
        <v>2423</v>
      </c>
      <c r="H2070" s="122" t="s">
        <v>1327</v>
      </c>
      <c r="I2070" s="142" t="str">
        <f t="shared" si="8"/>
        <v>tv content cost inflow cpaf q</v>
      </c>
      <c r="J2070" s="122" t="s">
        <v>2369</v>
      </c>
      <c r="K2070" s="172" t="s">
        <v>2226</v>
      </c>
      <c r="L2070" s="159"/>
      <c r="M2070" s="159"/>
      <c r="N2070" s="159"/>
      <c r="O2070" s="159"/>
      <c r="P2070" s="159"/>
      <c r="Q2070" s="159"/>
      <c r="R2070" s="159"/>
      <c r="S2070" s="159"/>
    </row>
    <row r="2071" spans="1:19">
      <c r="A2071" s="118"/>
      <c r="B2071" s="122"/>
      <c r="C2071" s="122"/>
      <c r="D2071" s="122" t="s">
        <v>263</v>
      </c>
      <c r="E2071" s="122" t="s">
        <v>2424</v>
      </c>
      <c r="F2071" s="122" t="s">
        <v>2235</v>
      </c>
      <c r="G2071" s="122" t="s">
        <v>2425</v>
      </c>
      <c r="H2071" s="122" t="s">
        <v>1327</v>
      </c>
      <c r="I2071" s="142" t="str">
        <f t="shared" si="8"/>
        <v>tv content cost outflow cpaf q</v>
      </c>
      <c r="J2071" s="122" t="s">
        <v>2369</v>
      </c>
      <c r="K2071" s="172" t="s">
        <v>2226</v>
      </c>
      <c r="L2071" s="159"/>
      <c r="M2071" s="159"/>
      <c r="N2071" s="159"/>
      <c r="O2071" s="159"/>
      <c r="P2071" s="159"/>
      <c r="Q2071" s="159"/>
      <c r="R2071" s="159"/>
      <c r="S2071" s="159"/>
    </row>
    <row r="2072" spans="1:19">
      <c r="A2072" s="118"/>
      <c r="B2072" s="122"/>
      <c r="C2072" s="122"/>
      <c r="D2072" s="122" t="s">
        <v>263</v>
      </c>
      <c r="E2072" s="122" t="s">
        <v>2426</v>
      </c>
      <c r="F2072" s="122" t="s">
        <v>2235</v>
      </c>
      <c r="G2072" s="122" t="s">
        <v>2427</v>
      </c>
      <c r="H2072" s="122" t="s">
        <v>1327</v>
      </c>
      <c r="I2072" s="142" t="str">
        <f t="shared" si="8"/>
        <v>tv content cost net pnl cpaf q</v>
      </c>
      <c r="J2072" s="122" t="s">
        <v>2369</v>
      </c>
      <c r="K2072" s="172" t="s">
        <v>2226</v>
      </c>
      <c r="L2072" s="159"/>
      <c r="M2072" s="159"/>
      <c r="N2072" s="159"/>
      <c r="O2072" s="159"/>
      <c r="P2072" s="159"/>
      <c r="Q2072" s="159"/>
      <c r="R2072" s="159"/>
      <c r="S2072" s="159"/>
    </row>
    <row r="2073" spans="1:19">
      <c r="A2073" s="118"/>
      <c r="B2073" s="122"/>
      <c r="C2073" s="122"/>
      <c r="D2073" s="122" t="s">
        <v>263</v>
      </c>
      <c r="E2073" s="122" t="s">
        <v>2428</v>
      </c>
      <c r="F2073" s="122" t="s">
        <v>2235</v>
      </c>
      <c r="G2073" s="122" t="s">
        <v>2429</v>
      </c>
      <c r="H2073" s="122" t="s">
        <v>1327</v>
      </c>
      <c r="I2073" s="142" t="str">
        <f t="shared" si="8"/>
        <v xml:space="preserve"> monthly wholesale ic cost inflow cpaf q</v>
      </c>
      <c r="J2073" s="122" t="s">
        <v>2369</v>
      </c>
      <c r="K2073" s="172" t="s">
        <v>2226</v>
      </c>
      <c r="L2073" s="159"/>
      <c r="M2073" s="159"/>
      <c r="N2073" s="159"/>
      <c r="O2073" s="159"/>
      <c r="P2073" s="159"/>
      <c r="Q2073" s="159"/>
      <c r="R2073" s="159"/>
      <c r="S2073" s="159"/>
    </row>
    <row r="2074" spans="1:19">
      <c r="A2074" s="118"/>
      <c r="B2074" s="122"/>
      <c r="C2074" s="122"/>
      <c r="D2074" s="122" t="s">
        <v>263</v>
      </c>
      <c r="E2074" s="122" t="s">
        <v>2430</v>
      </c>
      <c r="F2074" s="122" t="s">
        <v>2235</v>
      </c>
      <c r="G2074" s="122" t="s">
        <v>2431</v>
      </c>
      <c r="H2074" s="122" t="s">
        <v>1327</v>
      </c>
      <c r="I2074" s="142" t="str">
        <f t="shared" si="8"/>
        <v xml:space="preserve"> monthly wholesale ic cost outflow cpaf q</v>
      </c>
      <c r="J2074" s="122" t="s">
        <v>2369</v>
      </c>
      <c r="K2074" s="172" t="s">
        <v>2226</v>
      </c>
      <c r="L2074" s="159"/>
      <c r="M2074" s="159"/>
      <c r="N2074" s="159"/>
      <c r="O2074" s="159"/>
      <c r="P2074" s="159"/>
      <c r="Q2074" s="159"/>
      <c r="R2074" s="159"/>
      <c r="S2074" s="159"/>
    </row>
    <row r="2075" spans="1:19">
      <c r="A2075" s="118"/>
      <c r="B2075" s="122"/>
      <c r="C2075" s="122"/>
      <c r="D2075" s="122" t="s">
        <v>263</v>
      </c>
      <c r="E2075" s="122" t="s">
        <v>2432</v>
      </c>
      <c r="F2075" s="122" t="s">
        <v>2235</v>
      </c>
      <c r="G2075" s="122" t="s">
        <v>2433</v>
      </c>
      <c r="H2075" s="122" t="s">
        <v>1327</v>
      </c>
      <c r="I2075" s="142" t="str">
        <f t="shared" si="8"/>
        <v xml:space="preserve"> monthly wholesale ic cost net pnl cpaf q</v>
      </c>
      <c r="J2075" s="122" t="s">
        <v>2369</v>
      </c>
      <c r="K2075" s="172" t="s">
        <v>2226</v>
      </c>
      <c r="L2075" s="159"/>
      <c r="M2075" s="159"/>
      <c r="N2075" s="159"/>
      <c r="O2075" s="159"/>
      <c r="P2075" s="159"/>
      <c r="Q2075" s="159"/>
      <c r="R2075" s="159"/>
      <c r="S2075" s="159"/>
    </row>
    <row r="2076" spans="1:19">
      <c r="A2076" s="118"/>
      <c r="B2076" s="122"/>
      <c r="C2076" s="122"/>
      <c r="D2076" s="122" t="s">
        <v>263</v>
      </c>
      <c r="E2076" s="122" t="s">
        <v>2434</v>
      </c>
      <c r="F2076" s="122" t="s">
        <v>2235</v>
      </c>
      <c r="G2076" s="122" t="s">
        <v>2435</v>
      </c>
      <c r="H2076" s="122" t="s">
        <v>1327</v>
      </c>
      <c r="I2076" s="142" t="str">
        <f t="shared" si="8"/>
        <v>monthly fixed line margin inflow cpaf q</v>
      </c>
      <c r="J2076" s="122" t="s">
        <v>2369</v>
      </c>
      <c r="K2076" s="172" t="s">
        <v>2226</v>
      </c>
      <c r="L2076" s="159"/>
      <c r="M2076" s="159"/>
      <c r="N2076" s="159"/>
      <c r="O2076" s="159"/>
      <c r="P2076" s="159"/>
      <c r="Q2076" s="159"/>
      <c r="R2076" s="159"/>
      <c r="S2076" s="159"/>
    </row>
    <row r="2077" spans="1:19">
      <c r="A2077" s="118"/>
      <c r="B2077" s="122"/>
      <c r="C2077" s="122"/>
      <c r="D2077" s="122" t="s">
        <v>263</v>
      </c>
      <c r="E2077" s="122" t="s">
        <v>2436</v>
      </c>
      <c r="F2077" s="122" t="s">
        <v>2235</v>
      </c>
      <c r="G2077" s="122" t="s">
        <v>2437</v>
      </c>
      <c r="H2077" s="122" t="s">
        <v>1327</v>
      </c>
      <c r="I2077" s="142" t="str">
        <f t="shared" si="8"/>
        <v>monthly fixed line margin outflow cpaf q</v>
      </c>
      <c r="J2077" s="122" t="s">
        <v>2369</v>
      </c>
      <c r="K2077" s="172" t="s">
        <v>2226</v>
      </c>
      <c r="L2077" s="159"/>
      <c r="M2077" s="159"/>
      <c r="N2077" s="159"/>
      <c r="O2077" s="159"/>
      <c r="P2077" s="159"/>
      <c r="Q2077" s="159"/>
      <c r="R2077" s="159"/>
      <c r="S2077" s="159"/>
    </row>
    <row r="2078" spans="1:19">
      <c r="A2078" s="118"/>
      <c r="B2078" s="122"/>
      <c r="C2078" s="122"/>
      <c r="D2078" s="122" t="s">
        <v>263</v>
      </c>
      <c r="E2078" s="122" t="s">
        <v>2438</v>
      </c>
      <c r="F2078" s="122" t="s">
        <v>2235</v>
      </c>
      <c r="G2078" s="122" t="s">
        <v>2439</v>
      </c>
      <c r="H2078" s="122" t="s">
        <v>1327</v>
      </c>
      <c r="I2078" s="142" t="str">
        <f t="shared" si="8"/>
        <v>monthly fixed line margin net pnl cpaf q</v>
      </c>
      <c r="J2078" s="122" t="s">
        <v>2369</v>
      </c>
      <c r="K2078" s="172" t="s">
        <v>2226</v>
      </c>
      <c r="L2078" s="159"/>
      <c r="M2078" s="159"/>
      <c r="N2078" s="159"/>
      <c r="O2078" s="159"/>
      <c r="P2078" s="159"/>
      <c r="Q2078" s="159"/>
      <c r="R2078" s="159"/>
      <c r="S2078" s="159"/>
    </row>
    <row r="2079" spans="1:19">
      <c r="A2079" s="118"/>
      <c r="B2079" s="122"/>
      <c r="C2079" s="122"/>
      <c r="D2079" s="122" t="s">
        <v>263</v>
      </c>
      <c r="E2079" s="122" t="s">
        <v>2440</v>
      </c>
      <c r="F2079" s="122" t="s">
        <v>2235</v>
      </c>
      <c r="G2079" s="122" t="s">
        <v>2441</v>
      </c>
      <c r="H2079" s="122" t="s">
        <v>1327</v>
      </c>
      <c r="I2079" s="142" t="str">
        <f t="shared" si="8"/>
        <v>est. margin inflow cpaf q</v>
      </c>
      <c r="J2079" s="122" t="s">
        <v>2369</v>
      </c>
      <c r="K2079" s="172" t="s">
        <v>2226</v>
      </c>
      <c r="L2079" s="159"/>
      <c r="M2079" s="159"/>
      <c r="N2079" s="159"/>
      <c r="O2079" s="159"/>
      <c r="P2079" s="159"/>
      <c r="Q2079" s="159"/>
      <c r="R2079" s="159"/>
      <c r="S2079" s="159"/>
    </row>
    <row r="2080" spans="1:19">
      <c r="A2080" s="118"/>
      <c r="B2080" s="122"/>
      <c r="C2080" s="122"/>
      <c r="D2080" s="122" t="s">
        <v>263</v>
      </c>
      <c r="E2080" s="122" t="s">
        <v>2442</v>
      </c>
      <c r="F2080" s="122" t="s">
        <v>2235</v>
      </c>
      <c r="G2080" s="122" t="s">
        <v>2443</v>
      </c>
      <c r="H2080" s="122" t="s">
        <v>1327</v>
      </c>
      <c r="I2080" s="142" t="str">
        <f t="shared" si="8"/>
        <v>est. margin outflow cpaf q</v>
      </c>
      <c r="J2080" s="122" t="s">
        <v>2369</v>
      </c>
      <c r="K2080" s="172" t="s">
        <v>2226</v>
      </c>
      <c r="L2080" s="159"/>
      <c r="M2080" s="159"/>
      <c r="N2080" s="159"/>
      <c r="O2080" s="159"/>
      <c r="P2080" s="159"/>
      <c r="Q2080" s="159"/>
      <c r="R2080" s="159"/>
      <c r="S2080" s="159"/>
    </row>
    <row r="2081" spans="1:19">
      <c r="A2081" s="118"/>
      <c r="B2081" s="122"/>
      <c r="C2081" s="122"/>
      <c r="D2081" s="122" t="s">
        <v>263</v>
      </c>
      <c r="E2081" s="122" t="s">
        <v>2444</v>
      </c>
      <c r="F2081" s="122" t="s">
        <v>2235</v>
      </c>
      <c r="G2081" s="122" t="s">
        <v>2445</v>
      </c>
      <c r="H2081" s="122" t="s">
        <v>1327</v>
      </c>
      <c r="I2081" s="142" t="str">
        <f t="shared" si="8"/>
        <v>est. margin net pnl cpaf q</v>
      </c>
      <c r="J2081" s="122" t="s">
        <v>2369</v>
      </c>
      <c r="K2081" s="172" t="s">
        <v>2226</v>
      </c>
      <c r="L2081" s="159"/>
      <c r="M2081" s="159"/>
      <c r="N2081" s="159"/>
      <c r="O2081" s="159"/>
      <c r="P2081" s="159"/>
      <c r="Q2081" s="159"/>
      <c r="R2081" s="159"/>
      <c r="S2081" s="159"/>
    </row>
    <row r="2082" spans="1:19">
      <c r="A2082" s="118"/>
      <c r="B2082" s="122"/>
      <c r="C2082" s="122"/>
      <c r="D2082" s="122" t="s">
        <v>263</v>
      </c>
      <c r="E2082" s="122" t="s">
        <v>2446</v>
      </c>
      <c r="F2082" s="122" t="s">
        <v>2235</v>
      </c>
      <c r="G2082" s="122" t="s">
        <v>2447</v>
      </c>
      <c r="H2082" s="122" t="s">
        <v>1327</v>
      </c>
      <c r="I2082" s="142" t="str">
        <f t="shared" si="8"/>
        <v>commission inflow cpaf q</v>
      </c>
      <c r="J2082" s="122" t="s">
        <v>2369</v>
      </c>
      <c r="K2082" s="172" t="s">
        <v>2226</v>
      </c>
      <c r="L2082" s="159"/>
      <c r="M2082" s="159"/>
      <c r="N2082" s="159"/>
      <c r="O2082" s="159"/>
      <c r="P2082" s="159"/>
      <c r="Q2082" s="159"/>
      <c r="R2082" s="159"/>
      <c r="S2082" s="159"/>
    </row>
    <row r="2083" spans="1:19">
      <c r="A2083" s="118"/>
      <c r="B2083" s="122"/>
      <c r="C2083" s="122"/>
      <c r="D2083" s="122" t="s">
        <v>263</v>
      </c>
      <c r="E2083" s="122" t="s">
        <v>2448</v>
      </c>
      <c r="F2083" s="122" t="s">
        <v>2235</v>
      </c>
      <c r="G2083" s="122" t="s">
        <v>2449</v>
      </c>
      <c r="H2083" s="122" t="s">
        <v>1327</v>
      </c>
      <c r="I2083" s="142" t="str">
        <f t="shared" si="8"/>
        <v>commission outflow cpaf q</v>
      </c>
      <c r="J2083" s="122" t="s">
        <v>2369</v>
      </c>
      <c r="K2083" s="172" t="s">
        <v>2226</v>
      </c>
      <c r="L2083" s="159"/>
      <c r="M2083" s="159"/>
      <c r="N2083" s="159"/>
      <c r="O2083" s="159"/>
      <c r="P2083" s="159"/>
      <c r="Q2083" s="159"/>
      <c r="R2083" s="159"/>
      <c r="S2083" s="159"/>
    </row>
    <row r="2084" spans="1:19">
      <c r="A2084" s="118"/>
      <c r="B2084" s="122"/>
      <c r="C2084" s="122"/>
      <c r="D2084" s="122" t="s">
        <v>263</v>
      </c>
      <c r="E2084" s="122" t="s">
        <v>2450</v>
      </c>
      <c r="F2084" s="122" t="s">
        <v>2235</v>
      </c>
      <c r="G2084" s="122" t="s">
        <v>2451</v>
      </c>
      <c r="H2084" s="122" t="s">
        <v>1327</v>
      </c>
      <c r="I2084" s="142" t="str">
        <f t="shared" si="8"/>
        <v>commission net pnl cpaf q</v>
      </c>
      <c r="J2084" s="122" t="s">
        <v>2369</v>
      </c>
      <c r="K2084" s="172" t="s">
        <v>2226</v>
      </c>
      <c r="L2084" s="159"/>
      <c r="M2084" s="159"/>
      <c r="N2084" s="159"/>
      <c r="O2084" s="159"/>
      <c r="P2084" s="159"/>
      <c r="Q2084" s="159"/>
      <c r="R2084" s="159"/>
      <c r="S2084" s="159"/>
    </row>
    <row r="2085" spans="1:19">
      <c r="A2085" s="118"/>
      <c r="B2085" s="122"/>
      <c r="C2085" s="122"/>
      <c r="D2085" s="122" t="s">
        <v>263</v>
      </c>
      <c r="E2085" s="122" t="s">
        <v>2452</v>
      </c>
      <c r="F2085" s="122" t="s">
        <v>2235</v>
      </c>
      <c r="G2085" s="122" t="s">
        <v>2453</v>
      </c>
      <c r="H2085" s="122" t="s">
        <v>1327</v>
      </c>
      <c r="I2085" s="142" t="str">
        <f t="shared" si="8"/>
        <v>installation cost inflow cpaf q</v>
      </c>
      <c r="J2085" s="122" t="s">
        <v>2369</v>
      </c>
      <c r="K2085" s="172" t="s">
        <v>2226</v>
      </c>
      <c r="L2085" s="159"/>
      <c r="M2085" s="159"/>
      <c r="N2085" s="159"/>
      <c r="O2085" s="159"/>
      <c r="P2085" s="159"/>
      <c r="Q2085" s="159"/>
      <c r="R2085" s="159"/>
      <c r="S2085" s="159"/>
    </row>
    <row r="2086" spans="1:19">
      <c r="A2086" s="118"/>
      <c r="B2086" s="122"/>
      <c r="C2086" s="122"/>
      <c r="D2086" s="122" t="s">
        <v>263</v>
      </c>
      <c r="E2086" s="122" t="s">
        <v>2454</v>
      </c>
      <c r="F2086" s="122" t="s">
        <v>2235</v>
      </c>
      <c r="G2086" s="122" t="s">
        <v>2455</v>
      </c>
      <c r="H2086" s="122" t="s">
        <v>1327</v>
      </c>
      <c r="I2086" s="142" t="str">
        <f t="shared" si="8"/>
        <v>installation cost outflow cpaf q</v>
      </c>
      <c r="J2086" s="122" t="s">
        <v>2369</v>
      </c>
      <c r="K2086" s="172" t="s">
        <v>2226</v>
      </c>
      <c r="L2086" s="159"/>
      <c r="M2086" s="159"/>
      <c r="N2086" s="159"/>
      <c r="O2086" s="159"/>
      <c r="P2086" s="159"/>
      <c r="Q2086" s="159"/>
      <c r="R2086" s="159"/>
      <c r="S2086" s="159"/>
    </row>
    <row r="2087" spans="1:19">
      <c r="A2087" s="118"/>
      <c r="B2087" s="122"/>
      <c r="C2087" s="122"/>
      <c r="D2087" s="122" t="s">
        <v>263</v>
      </c>
      <c r="E2087" s="122" t="s">
        <v>2456</v>
      </c>
      <c r="F2087" s="122" t="s">
        <v>2235</v>
      </c>
      <c r="G2087" s="122" t="s">
        <v>2457</v>
      </c>
      <c r="H2087" s="122" t="s">
        <v>1327</v>
      </c>
      <c r="I2087" s="142" t="str">
        <f t="shared" si="8"/>
        <v>installation cost net pnl cpaf q</v>
      </c>
      <c r="J2087" s="122" t="s">
        <v>2369</v>
      </c>
      <c r="K2087" s="172" t="s">
        <v>2226</v>
      </c>
      <c r="L2087" s="159"/>
      <c r="M2087" s="159"/>
      <c r="N2087" s="159"/>
      <c r="O2087" s="159"/>
      <c r="P2087" s="159"/>
      <c r="Q2087" s="159"/>
      <c r="R2087" s="159"/>
      <c r="S2087" s="159"/>
    </row>
    <row r="2088" spans="1:19">
      <c r="A2088" s="118"/>
      <c r="B2088" s="122"/>
      <c r="C2088" s="122"/>
      <c r="D2088" s="122" t="s">
        <v>263</v>
      </c>
      <c r="E2088" s="122" t="s">
        <v>2458</v>
      </c>
      <c r="F2088" s="122" t="s">
        <v>2235</v>
      </c>
      <c r="G2088" s="122" t="s">
        <v>2459</v>
      </c>
      <c r="H2088" s="122" t="s">
        <v>1327</v>
      </c>
      <c r="I2088" s="142" t="str">
        <f t="shared" si="8"/>
        <v>total ar cost inflow
 cpaf q</v>
      </c>
      <c r="J2088" s="122" t="s">
        <v>2369</v>
      </c>
      <c r="K2088" s="172" t="s">
        <v>2226</v>
      </c>
      <c r="L2088" s="159"/>
      <c r="M2088" s="159"/>
      <c r="N2088" s="159"/>
      <c r="O2088" s="159"/>
      <c r="P2088" s="159"/>
      <c r="Q2088" s="159"/>
      <c r="R2088" s="159"/>
      <c r="S2088" s="159"/>
    </row>
    <row r="2089" spans="1:19">
      <c r="A2089" s="118"/>
      <c r="B2089" s="122"/>
      <c r="C2089" s="122"/>
      <c r="D2089" s="122" t="s">
        <v>263</v>
      </c>
      <c r="E2089" s="122" t="s">
        <v>2460</v>
      </c>
      <c r="F2089" s="122" t="s">
        <v>2235</v>
      </c>
      <c r="G2089" s="122" t="s">
        <v>2461</v>
      </c>
      <c r="H2089" s="122" t="s">
        <v>1327</v>
      </c>
      <c r="I2089" s="142" t="str">
        <f t="shared" si="8"/>
        <v>total ar cost outflow
 cpaf q</v>
      </c>
      <c r="J2089" s="122" t="s">
        <v>2369</v>
      </c>
      <c r="K2089" s="172" t="s">
        <v>2226</v>
      </c>
      <c r="L2089" s="159"/>
      <c r="M2089" s="159"/>
      <c r="N2089" s="159"/>
      <c r="O2089" s="159"/>
      <c r="P2089" s="159"/>
      <c r="Q2089" s="159"/>
      <c r="R2089" s="159"/>
      <c r="S2089" s="159"/>
    </row>
    <row r="2090" spans="1:19" ht="13">
      <c r="A2090" s="375"/>
      <c r="B2090" s="376"/>
      <c r="C2090" s="376"/>
      <c r="D2090" s="122" t="s">
        <v>263</v>
      </c>
      <c r="E2090" s="122" t="s">
        <v>2462</v>
      </c>
      <c r="F2090" s="122" t="s">
        <v>2235</v>
      </c>
      <c r="G2090" s="122" t="s">
        <v>2463</v>
      </c>
      <c r="H2090" s="122" t="s">
        <v>1327</v>
      </c>
      <c r="I2090" s="142" t="str">
        <f t="shared" si="8"/>
        <v>total ar cost net pnl cpaf q</v>
      </c>
      <c r="J2090" s="122" t="s">
        <v>2369</v>
      </c>
      <c r="K2090" s="172" t="s">
        <v>2226</v>
      </c>
      <c r="L2090" s="159"/>
      <c r="M2090" s="159"/>
      <c r="N2090" s="159"/>
      <c r="O2090" s="159"/>
      <c r="P2090" s="159"/>
      <c r="Q2090" s="159"/>
      <c r="R2090" s="159"/>
      <c r="S2090" s="159"/>
    </row>
    <row r="2091" spans="1:19" ht="13">
      <c r="A2091" s="375"/>
      <c r="B2091" s="376"/>
      <c r="C2091" s="376"/>
      <c r="D2091" s="122" t="s">
        <v>263</v>
      </c>
      <c r="E2091" s="122" t="s">
        <v>2464</v>
      </c>
      <c r="F2091" s="122" t="s">
        <v>2235</v>
      </c>
      <c r="G2091" s="118" t="s">
        <v>2465</v>
      </c>
      <c r="H2091" s="122" t="s">
        <v>1327</v>
      </c>
      <c r="I2091" s="142" t="str">
        <f t="shared" si="8"/>
        <v>missed appointment inflow cpaf q</v>
      </c>
      <c r="J2091" s="122" t="s">
        <v>2369</v>
      </c>
      <c r="K2091" s="172" t="s">
        <v>2226</v>
      </c>
      <c r="L2091" s="159"/>
      <c r="M2091" s="159"/>
      <c r="N2091" s="159"/>
      <c r="O2091" s="159"/>
      <c r="P2091" s="159"/>
      <c r="Q2091" s="159"/>
      <c r="R2091" s="159"/>
      <c r="S2091" s="159"/>
    </row>
    <row r="2092" spans="1:19" ht="13">
      <c r="A2092" s="375"/>
      <c r="B2092" s="376"/>
      <c r="C2092" s="376"/>
      <c r="D2092" s="122" t="s">
        <v>263</v>
      </c>
      <c r="E2092" s="122" t="s">
        <v>2466</v>
      </c>
      <c r="F2092" s="122" t="s">
        <v>2235</v>
      </c>
      <c r="G2092" s="118" t="s">
        <v>2467</v>
      </c>
      <c r="H2092" s="122" t="s">
        <v>1327</v>
      </c>
      <c r="I2092" s="142" t="str">
        <f t="shared" si="8"/>
        <v>missed appointment outflow cpaf q</v>
      </c>
      <c r="J2092" s="122" t="s">
        <v>2369</v>
      </c>
      <c r="K2092" s="172" t="s">
        <v>2226</v>
      </c>
      <c r="L2092" s="159"/>
      <c r="M2092" s="159"/>
      <c r="N2092" s="159"/>
      <c r="O2092" s="159"/>
      <c r="P2092" s="159"/>
      <c r="Q2092" s="159"/>
      <c r="R2092" s="159"/>
      <c r="S2092" s="159"/>
    </row>
    <row r="2093" spans="1:19" ht="13">
      <c r="A2093" s="375"/>
      <c r="B2093" s="376"/>
      <c r="C2093" s="376"/>
      <c r="D2093" s="122" t="s">
        <v>263</v>
      </c>
      <c r="E2093" s="122" t="s">
        <v>2468</v>
      </c>
      <c r="F2093" s="122" t="s">
        <v>2235</v>
      </c>
      <c r="G2093" s="118" t="s">
        <v>2469</v>
      </c>
      <c r="H2093" s="122" t="s">
        <v>1327</v>
      </c>
      <c r="I2093" s="142" t="str">
        <f t="shared" si="8"/>
        <v>missed appointment net pnl cpaf q</v>
      </c>
      <c r="J2093" s="122" t="s">
        <v>2369</v>
      </c>
      <c r="K2093" s="172" t="s">
        <v>2226</v>
      </c>
      <c r="L2093" s="159"/>
      <c r="M2093" s="159"/>
      <c r="N2093" s="159"/>
      <c r="O2093" s="159"/>
      <c r="P2093" s="159"/>
      <c r="Q2093" s="159"/>
      <c r="R2093" s="159"/>
      <c r="S2093" s="159"/>
    </row>
    <row r="2094" spans="1:19" ht="13">
      <c r="A2094" s="375"/>
      <c r="B2094" s="376"/>
      <c r="C2094" s="376"/>
      <c r="D2094" s="122" t="s">
        <v>263</v>
      </c>
      <c r="E2094" s="122" t="s">
        <v>2470</v>
      </c>
      <c r="F2094" s="122" t="s">
        <v>2235</v>
      </c>
      <c r="G2094" s="118" t="s">
        <v>2471</v>
      </c>
      <c r="H2094" s="122" t="s">
        <v>1327</v>
      </c>
      <c r="I2094" s="142" t="str">
        <f t="shared" si="8"/>
        <v>total cost inflow cpaf q</v>
      </c>
      <c r="J2094" s="122" t="s">
        <v>2369</v>
      </c>
      <c r="K2094" s="172" t="s">
        <v>2226</v>
      </c>
      <c r="L2094" s="159"/>
      <c r="M2094" s="159"/>
      <c r="N2094" s="159"/>
      <c r="O2094" s="159"/>
      <c r="P2094" s="159"/>
      <c r="Q2094" s="159"/>
      <c r="R2094" s="159"/>
      <c r="S2094" s="159"/>
    </row>
    <row r="2095" spans="1:19" ht="13">
      <c r="A2095" s="375"/>
      <c r="B2095" s="376"/>
      <c r="C2095" s="376"/>
      <c r="D2095" s="122" t="s">
        <v>263</v>
      </c>
      <c r="E2095" s="122" t="s">
        <v>2472</v>
      </c>
      <c r="F2095" s="122" t="s">
        <v>2235</v>
      </c>
      <c r="G2095" s="118" t="s">
        <v>2473</v>
      </c>
      <c r="H2095" s="122" t="s">
        <v>1327</v>
      </c>
      <c r="I2095" s="142" t="str">
        <f t="shared" si="8"/>
        <v>total cost outflow cpaf q</v>
      </c>
      <c r="J2095" s="122" t="s">
        <v>2369</v>
      </c>
      <c r="K2095" s="172" t="s">
        <v>2226</v>
      </c>
      <c r="L2095" s="159"/>
      <c r="M2095" s="159"/>
      <c r="N2095" s="159"/>
      <c r="O2095" s="159"/>
      <c r="P2095" s="159"/>
      <c r="Q2095" s="159"/>
      <c r="R2095" s="159"/>
      <c r="S2095" s="159"/>
    </row>
    <row r="2096" spans="1:19" ht="13">
      <c r="A2096" s="375"/>
      <c r="B2096" s="376"/>
      <c r="C2096" s="376"/>
      <c r="D2096" s="122" t="s">
        <v>263</v>
      </c>
      <c r="E2096" s="122" t="s">
        <v>2474</v>
      </c>
      <c r="F2096" s="122" t="s">
        <v>2235</v>
      </c>
      <c r="G2096" s="118" t="s">
        <v>2475</v>
      </c>
      <c r="H2096" s="122" t="s">
        <v>1327</v>
      </c>
      <c r="I2096" s="142" t="str">
        <f t="shared" si="8"/>
        <v>total cost net pnl cpaf q</v>
      </c>
      <c r="J2096" s="122" t="s">
        <v>2369</v>
      </c>
      <c r="K2096" s="172" t="s">
        <v>2226</v>
      </c>
      <c r="L2096" s="159"/>
      <c r="M2096" s="159"/>
      <c r="N2096" s="159"/>
      <c r="O2096" s="159"/>
      <c r="P2096" s="159"/>
      <c r="Q2096" s="159"/>
      <c r="R2096" s="159"/>
      <c r="S2096" s="159"/>
    </row>
    <row r="2097" spans="1:19" ht="13">
      <c r="A2097" s="375"/>
      <c r="B2097" s="376"/>
      <c r="C2097" s="376"/>
      <c r="D2097" s="122" t="s">
        <v>263</v>
      </c>
      <c r="E2097" s="122" t="s">
        <v>2476</v>
      </c>
      <c r="F2097" s="122" t="s">
        <v>2235</v>
      </c>
      <c r="G2097" s="356" t="s">
        <v>2477</v>
      </c>
      <c r="H2097" s="122" t="s">
        <v>1327</v>
      </c>
      <c r="I2097" s="142" t="str">
        <f t="shared" si="8"/>
        <v>fixed line gross margin inflow cpaf q</v>
      </c>
      <c r="J2097" s="122" t="s">
        <v>2369</v>
      </c>
      <c r="K2097" s="172" t="s">
        <v>2226</v>
      </c>
      <c r="L2097" s="159"/>
      <c r="M2097" s="159"/>
      <c r="N2097" s="159"/>
      <c r="O2097" s="159"/>
      <c r="P2097" s="159"/>
      <c r="Q2097" s="159"/>
      <c r="R2097" s="159"/>
      <c r="S2097" s="159"/>
    </row>
    <row r="2098" spans="1:19" ht="13">
      <c r="A2098" s="375"/>
      <c r="B2098" s="376"/>
      <c r="C2098" s="376"/>
      <c r="D2098" s="122" t="s">
        <v>263</v>
      </c>
      <c r="E2098" s="122" t="s">
        <v>2478</v>
      </c>
      <c r="F2098" s="122" t="s">
        <v>2235</v>
      </c>
      <c r="G2098" s="356" t="s">
        <v>2479</v>
      </c>
      <c r="H2098" s="122" t="s">
        <v>1327</v>
      </c>
      <c r="I2098" s="142" t="str">
        <f t="shared" si="8"/>
        <v>fixed line gross margin outflow cpaf q</v>
      </c>
      <c r="J2098" s="122" t="s">
        <v>2369</v>
      </c>
      <c r="K2098" s="172" t="s">
        <v>2226</v>
      </c>
      <c r="L2098" s="159"/>
      <c r="M2098" s="159"/>
      <c r="N2098" s="159"/>
      <c r="O2098" s="159"/>
      <c r="P2098" s="159"/>
      <c r="Q2098" s="159"/>
      <c r="R2098" s="159"/>
      <c r="S2098" s="159"/>
    </row>
    <row r="2099" spans="1:19" ht="25.5">
      <c r="A2099" s="375"/>
      <c r="B2099" s="376"/>
      <c r="C2099" s="376"/>
      <c r="D2099" s="122" t="s">
        <v>263</v>
      </c>
      <c r="E2099" s="122" t="s">
        <v>2480</v>
      </c>
      <c r="F2099" s="122" t="s">
        <v>2235</v>
      </c>
      <c r="G2099" s="118" t="s">
        <v>2481</v>
      </c>
      <c r="H2099" s="122" t="s">
        <v>1327</v>
      </c>
      <c r="I2099" s="142" t="str">
        <f t="shared" si="8"/>
        <v>fixed line gross margin net pnl
 cpaf q</v>
      </c>
      <c r="J2099" s="122" t="s">
        <v>2369</v>
      </c>
      <c r="K2099" s="172" t="s">
        <v>2226</v>
      </c>
      <c r="L2099" s="159"/>
      <c r="M2099" s="159"/>
      <c r="N2099" s="159"/>
      <c r="O2099" s="159"/>
      <c r="P2099" s="159"/>
      <c r="Q2099" s="159"/>
      <c r="R2099" s="159"/>
      <c r="S2099" s="159"/>
    </row>
    <row r="2100" spans="1:19" ht="13">
      <c r="A2100" s="375"/>
      <c r="B2100" s="376"/>
      <c r="C2100" s="376"/>
      <c r="D2100" s="122" t="s">
        <v>263</v>
      </c>
      <c r="E2100" s="122" t="s">
        <v>2482</v>
      </c>
      <c r="F2100" s="122" t="s">
        <v>2235</v>
      </c>
      <c r="G2100" s="118" t="s">
        <v>2483</v>
      </c>
      <c r="H2100" s="122" t="s">
        <v>1327</v>
      </c>
      <c r="I2100" s="142" t="str">
        <f t="shared" si="8"/>
        <v>cost to service inflow cpaf q</v>
      </c>
      <c r="J2100" s="122" t="s">
        <v>2369</v>
      </c>
      <c r="K2100" s="172" t="s">
        <v>2226</v>
      </c>
      <c r="L2100" s="159"/>
      <c r="M2100" s="159"/>
      <c r="N2100" s="159"/>
      <c r="O2100" s="159"/>
      <c r="P2100" s="159"/>
      <c r="Q2100" s="159"/>
      <c r="R2100" s="159"/>
      <c r="S2100" s="159"/>
    </row>
    <row r="2101" spans="1:19" ht="13">
      <c r="A2101" s="375"/>
      <c r="B2101" s="376"/>
      <c r="C2101" s="376"/>
      <c r="D2101" s="122" t="s">
        <v>263</v>
      </c>
      <c r="E2101" s="122" t="s">
        <v>2484</v>
      </c>
      <c r="F2101" s="122" t="s">
        <v>2235</v>
      </c>
      <c r="G2101" s="118" t="s">
        <v>2485</v>
      </c>
      <c r="H2101" s="122" t="s">
        <v>1327</v>
      </c>
      <c r="I2101" s="142" t="str">
        <f t="shared" si="8"/>
        <v>cost to service outflow cpaf q</v>
      </c>
      <c r="J2101" s="122" t="s">
        <v>2369</v>
      </c>
      <c r="K2101" s="172" t="s">
        <v>2226</v>
      </c>
      <c r="L2101" s="159"/>
      <c r="M2101" s="159"/>
      <c r="N2101" s="159"/>
      <c r="O2101" s="159"/>
      <c r="P2101" s="159"/>
      <c r="Q2101" s="159"/>
      <c r="R2101" s="159"/>
      <c r="S2101" s="159"/>
    </row>
    <row r="2102" spans="1:19" ht="13">
      <c r="A2102" s="375"/>
      <c r="B2102" s="376"/>
      <c r="C2102" s="376"/>
      <c r="D2102" s="122" t="s">
        <v>263</v>
      </c>
      <c r="E2102" s="122" t="s">
        <v>2486</v>
      </c>
      <c r="F2102" s="122" t="s">
        <v>2235</v>
      </c>
      <c r="G2102" s="118" t="s">
        <v>2487</v>
      </c>
      <c r="H2102" s="122" t="s">
        <v>1327</v>
      </c>
      <c r="I2102" s="142" t="str">
        <f t="shared" si="8"/>
        <v>cost to service net pnl cpaf q</v>
      </c>
      <c r="J2102" s="122" t="s">
        <v>2369</v>
      </c>
      <c r="K2102" s="172" t="s">
        <v>2226</v>
      </c>
      <c r="L2102" s="159"/>
      <c r="M2102" s="159"/>
      <c r="N2102" s="159"/>
      <c r="O2102" s="159"/>
      <c r="P2102" s="159"/>
      <c r="Q2102" s="159"/>
      <c r="R2102" s="159"/>
      <c r="S2102" s="159"/>
    </row>
    <row r="2103" spans="1:19" ht="13">
      <c r="A2103" s="375"/>
      <c r="B2103" s="376"/>
      <c r="C2103" s="376"/>
      <c r="D2103" s="122" t="s">
        <v>263</v>
      </c>
      <c r="E2103" s="122" t="s">
        <v>2488</v>
      </c>
      <c r="F2103" s="122" t="s">
        <v>2235</v>
      </c>
      <c r="G2103" s="118" t="s">
        <v>2489</v>
      </c>
      <c r="H2103" s="122" t="s">
        <v>1327</v>
      </c>
      <c r="I2103" s="142" t="str">
        <f t="shared" si="8"/>
        <v>vodafone retail cost inflow cpaf q</v>
      </c>
      <c r="J2103" s="122" t="s">
        <v>2369</v>
      </c>
      <c r="K2103" s="172" t="s">
        <v>2226</v>
      </c>
      <c r="L2103" s="159"/>
      <c r="M2103" s="159"/>
      <c r="N2103" s="159"/>
      <c r="O2103" s="159"/>
      <c r="P2103" s="159"/>
      <c r="Q2103" s="159"/>
      <c r="R2103" s="159"/>
      <c r="S2103" s="159"/>
    </row>
    <row r="2104" spans="1:19" ht="13">
      <c r="A2104" s="375"/>
      <c r="B2104" s="376"/>
      <c r="C2104" s="376"/>
      <c r="D2104" s="122" t="s">
        <v>263</v>
      </c>
      <c r="E2104" s="122" t="s">
        <v>2490</v>
      </c>
      <c r="F2104" s="122" t="s">
        <v>2235</v>
      </c>
      <c r="G2104" s="118" t="s">
        <v>2491</v>
      </c>
      <c r="H2104" s="122" t="s">
        <v>1327</v>
      </c>
      <c r="I2104" s="142" t="str">
        <f t="shared" si="8"/>
        <v>vodafone retail cost outflow cpaf q</v>
      </c>
      <c r="J2104" s="122" t="s">
        <v>2369</v>
      </c>
      <c r="K2104" s="172" t="s">
        <v>2226</v>
      </c>
      <c r="L2104" s="159"/>
      <c r="M2104" s="159"/>
      <c r="N2104" s="159"/>
      <c r="O2104" s="159"/>
      <c r="P2104" s="159"/>
      <c r="Q2104" s="159"/>
      <c r="R2104" s="159"/>
      <c r="S2104" s="159"/>
    </row>
    <row r="2105" spans="1:19" ht="13">
      <c r="A2105" s="375"/>
      <c r="B2105" s="376"/>
      <c r="C2105" s="376"/>
      <c r="D2105" s="122" t="s">
        <v>263</v>
      </c>
      <c r="E2105" s="122" t="s">
        <v>2492</v>
      </c>
      <c r="F2105" s="122" t="s">
        <v>2235</v>
      </c>
      <c r="G2105" s="118" t="s">
        <v>2493</v>
      </c>
      <c r="H2105" s="122" t="s">
        <v>1327</v>
      </c>
      <c r="I2105" s="142" t="str">
        <f t="shared" si="8"/>
        <v>vodafone retail cost net pnl cpaf q</v>
      </c>
      <c r="J2105" s="122" t="s">
        <v>2369</v>
      </c>
      <c r="K2105" s="172" t="s">
        <v>2226</v>
      </c>
      <c r="L2105" s="159"/>
      <c r="M2105" s="159"/>
      <c r="N2105" s="159"/>
      <c r="O2105" s="159"/>
      <c r="P2105" s="159"/>
      <c r="Q2105" s="159"/>
      <c r="R2105" s="159"/>
      <c r="S2105" s="159"/>
    </row>
    <row r="2106" spans="1:19" ht="13">
      <c r="A2106" s="375"/>
      <c r="B2106" s="376"/>
      <c r="C2106" s="376"/>
      <c r="D2106" s="122" t="s">
        <v>263</v>
      </c>
      <c r="E2106" s="122" t="s">
        <v>2494</v>
      </c>
      <c r="F2106" s="122" t="s">
        <v>2235</v>
      </c>
      <c r="G2106" s="118" t="s">
        <v>2495</v>
      </c>
      <c r="H2106" s="122" t="s">
        <v>1327</v>
      </c>
      <c r="I2106" s="142" t="str">
        <f t="shared" si="8"/>
        <v>total opex cost inflow cpaf q</v>
      </c>
      <c r="J2106" s="122" t="s">
        <v>2369</v>
      </c>
      <c r="K2106" s="172" t="s">
        <v>2226</v>
      </c>
      <c r="L2106" s="159"/>
      <c r="M2106" s="159"/>
      <c r="N2106" s="159"/>
      <c r="O2106" s="159"/>
      <c r="P2106" s="159"/>
      <c r="Q2106" s="159"/>
      <c r="R2106" s="159"/>
      <c r="S2106" s="159"/>
    </row>
    <row r="2107" spans="1:19" ht="13">
      <c r="A2107" s="375"/>
      <c r="B2107" s="376"/>
      <c r="C2107" s="376"/>
      <c r="D2107" s="122" t="s">
        <v>263</v>
      </c>
      <c r="E2107" s="122" t="s">
        <v>2496</v>
      </c>
      <c r="F2107" s="122" t="s">
        <v>2235</v>
      </c>
      <c r="G2107" s="118" t="s">
        <v>2497</v>
      </c>
      <c r="H2107" s="122" t="s">
        <v>1327</v>
      </c>
      <c r="I2107" s="142" t="str">
        <f t="shared" si="8"/>
        <v>total opex cost outflow cpaf q</v>
      </c>
      <c r="J2107" s="122" t="s">
        <v>2369</v>
      </c>
      <c r="K2107" s="172" t="s">
        <v>2226</v>
      </c>
      <c r="L2107" s="159"/>
      <c r="M2107" s="159"/>
      <c r="N2107" s="159"/>
      <c r="O2107" s="159"/>
      <c r="P2107" s="159"/>
      <c r="Q2107" s="159"/>
      <c r="R2107" s="159"/>
      <c r="S2107" s="159"/>
    </row>
    <row r="2108" spans="1:19" ht="13">
      <c r="A2108" s="375"/>
      <c r="B2108" s="376"/>
      <c r="C2108" s="376"/>
      <c r="D2108" s="122" t="s">
        <v>263</v>
      </c>
      <c r="E2108" s="122" t="s">
        <v>2498</v>
      </c>
      <c r="F2108" s="122" t="s">
        <v>2235</v>
      </c>
      <c r="G2108" s="118" t="s">
        <v>2499</v>
      </c>
      <c r="H2108" s="122" t="s">
        <v>1327</v>
      </c>
      <c r="I2108" s="142" t="str">
        <f t="shared" si="8"/>
        <v>total opex cost net pnl cpaf q</v>
      </c>
      <c r="J2108" s="122" t="s">
        <v>2369</v>
      </c>
      <c r="K2108" s="172" t="s">
        <v>2226</v>
      </c>
      <c r="L2108" s="159"/>
      <c r="M2108" s="159"/>
      <c r="N2108" s="159"/>
      <c r="O2108" s="159"/>
      <c r="P2108" s="159"/>
      <c r="Q2108" s="159"/>
      <c r="R2108" s="159"/>
      <c r="S2108" s="159"/>
    </row>
    <row r="2109" spans="1:19" ht="13">
      <c r="A2109" s="375"/>
      <c r="B2109" s="376"/>
      <c r="C2109" s="376"/>
      <c r="D2109" s="122" t="s">
        <v>263</v>
      </c>
      <c r="E2109" s="122" t="s">
        <v>2500</v>
      </c>
      <c r="F2109" s="122" t="s">
        <v>2235</v>
      </c>
      <c r="G2109" s="118" t="s">
        <v>2501</v>
      </c>
      <c r="H2109" s="122" t="s">
        <v>1327</v>
      </c>
      <c r="I2109" s="142" t="str">
        <f t="shared" si="8"/>
        <v>fixed line ebitda inflow cpaf q</v>
      </c>
      <c r="J2109" s="122" t="s">
        <v>2369</v>
      </c>
      <c r="K2109" s="172" t="s">
        <v>2226</v>
      </c>
      <c r="L2109" s="159"/>
      <c r="M2109" s="159"/>
      <c r="N2109" s="159"/>
      <c r="O2109" s="159"/>
      <c r="P2109" s="159"/>
      <c r="Q2109" s="159"/>
      <c r="R2109" s="159"/>
      <c r="S2109" s="159"/>
    </row>
    <row r="2110" spans="1:19" ht="13">
      <c r="A2110" s="375"/>
      <c r="B2110" s="376"/>
      <c r="C2110" s="376"/>
      <c r="D2110" s="122" t="s">
        <v>263</v>
      </c>
      <c r="E2110" s="122" t="s">
        <v>2502</v>
      </c>
      <c r="F2110" s="122" t="s">
        <v>2235</v>
      </c>
      <c r="G2110" s="118" t="s">
        <v>2503</v>
      </c>
      <c r="H2110" s="122" t="s">
        <v>1327</v>
      </c>
      <c r="I2110" s="142" t="str">
        <f t="shared" si="8"/>
        <v>fixed line ebitda outflow cpaf q</v>
      </c>
      <c r="J2110" s="122" t="s">
        <v>2369</v>
      </c>
      <c r="K2110" s="172" t="s">
        <v>2226</v>
      </c>
      <c r="L2110" s="159"/>
      <c r="M2110" s="159"/>
      <c r="N2110" s="159"/>
      <c r="O2110" s="159"/>
      <c r="P2110" s="159"/>
      <c r="Q2110" s="159"/>
      <c r="R2110" s="159"/>
      <c r="S2110" s="159"/>
    </row>
    <row r="2111" spans="1:19" ht="13">
      <c r="A2111" s="375"/>
      <c r="B2111" s="376"/>
      <c r="C2111" s="376"/>
      <c r="D2111" s="122" t="s">
        <v>263</v>
      </c>
      <c r="E2111" s="122" t="s">
        <v>2504</v>
      </c>
      <c r="F2111" s="122" t="s">
        <v>2235</v>
      </c>
      <c r="G2111" s="118" t="s">
        <v>2505</v>
      </c>
      <c r="H2111" s="122" t="s">
        <v>1327</v>
      </c>
      <c r="I2111" s="142" t="str">
        <f t="shared" si="8"/>
        <v>fixed line ebitda net pnl cpaf q</v>
      </c>
      <c r="J2111" s="122" t="s">
        <v>2369</v>
      </c>
      <c r="K2111" s="172" t="s">
        <v>2226</v>
      </c>
      <c r="L2111" s="159"/>
      <c r="M2111" s="159"/>
      <c r="N2111" s="159"/>
      <c r="O2111" s="159"/>
      <c r="P2111" s="159"/>
      <c r="Q2111" s="159"/>
      <c r="R2111" s="159"/>
      <c r="S2111" s="159"/>
    </row>
    <row r="2112" spans="1:19" ht="13">
      <c r="A2112" s="375"/>
      <c r="B2112" s="376"/>
      <c r="C2112" s="376"/>
      <c r="D2112" s="122" t="s">
        <v>263</v>
      </c>
      <c r="E2112" s="122" t="s">
        <v>2506</v>
      </c>
      <c r="F2112" s="122" t="s">
        <v>2235</v>
      </c>
      <c r="G2112" s="118" t="s">
        <v>2507</v>
      </c>
      <c r="H2112" s="122" t="s">
        <v>1327</v>
      </c>
      <c r="I2112" s="142" t="str">
        <f t="shared" si="8"/>
        <v>modem inflow cpaf q</v>
      </c>
      <c r="J2112" s="122" t="s">
        <v>2369</v>
      </c>
      <c r="K2112" s="172" t="s">
        <v>2226</v>
      </c>
      <c r="L2112" s="159"/>
      <c r="M2112" s="159"/>
      <c r="N2112" s="159"/>
      <c r="O2112" s="159"/>
      <c r="P2112" s="159"/>
      <c r="Q2112" s="159"/>
      <c r="R2112" s="159"/>
      <c r="S2112" s="159"/>
    </row>
    <row r="2113" spans="1:19" ht="13">
      <c r="A2113" s="375"/>
      <c r="B2113" s="376"/>
      <c r="C2113" s="376"/>
      <c r="D2113" s="122" t="s">
        <v>263</v>
      </c>
      <c r="E2113" s="122" t="s">
        <v>2508</v>
      </c>
      <c r="F2113" s="122" t="s">
        <v>2235</v>
      </c>
      <c r="G2113" s="118" t="s">
        <v>2509</v>
      </c>
      <c r="H2113" s="122" t="s">
        <v>1327</v>
      </c>
      <c r="I2113" s="142" t="str">
        <f t="shared" si="8"/>
        <v>modem outflow cpaf q</v>
      </c>
      <c r="J2113" s="122" t="s">
        <v>2369</v>
      </c>
      <c r="K2113" s="172" t="s">
        <v>2226</v>
      </c>
      <c r="L2113" s="159"/>
      <c r="M2113" s="159"/>
      <c r="N2113" s="159"/>
      <c r="O2113" s="159"/>
      <c r="P2113" s="159"/>
      <c r="Q2113" s="159"/>
      <c r="R2113" s="159"/>
      <c r="S2113" s="159"/>
    </row>
    <row r="2114" spans="1:19" ht="13">
      <c r="A2114" s="375"/>
      <c r="B2114" s="376"/>
      <c r="C2114" s="376"/>
      <c r="D2114" s="122" t="s">
        <v>263</v>
      </c>
      <c r="E2114" s="122" t="s">
        <v>2510</v>
      </c>
      <c r="F2114" s="122" t="s">
        <v>2235</v>
      </c>
      <c r="G2114" s="118" t="s">
        <v>2511</v>
      </c>
      <c r="H2114" s="122" t="s">
        <v>1327</v>
      </c>
      <c r="I2114" s="142" t="str">
        <f t="shared" si="8"/>
        <v>modem net pnl cpaf q</v>
      </c>
      <c r="J2114" s="122" t="s">
        <v>2369</v>
      </c>
      <c r="K2114" s="172" t="s">
        <v>2226</v>
      </c>
      <c r="L2114" s="159"/>
      <c r="M2114" s="159"/>
      <c r="N2114" s="159"/>
      <c r="O2114" s="159"/>
      <c r="P2114" s="159"/>
      <c r="Q2114" s="159"/>
      <c r="R2114" s="159"/>
      <c r="S2114" s="159"/>
    </row>
    <row r="2115" spans="1:19" ht="13">
      <c r="A2115" s="375"/>
      <c r="B2115" s="376"/>
      <c r="C2115" s="376"/>
      <c r="D2115" s="122" t="s">
        <v>263</v>
      </c>
      <c r="E2115" s="122" t="s">
        <v>2512</v>
      </c>
      <c r="F2115" s="122" t="s">
        <v>2235</v>
      </c>
      <c r="G2115" s="118" t="s">
        <v>2513</v>
      </c>
      <c r="H2115" s="122" t="s">
        <v>1327</v>
      </c>
      <c r="I2115" s="142" t="str">
        <f t="shared" ref="I2115:I2180" si="9">SUBSTITUTE(G2115,"_"," ")</f>
        <v>set top box inflow cpaf q</v>
      </c>
      <c r="J2115" s="122" t="s">
        <v>2369</v>
      </c>
      <c r="K2115" s="172" t="s">
        <v>2226</v>
      </c>
      <c r="L2115" s="159"/>
      <c r="M2115" s="159"/>
      <c r="N2115" s="159"/>
      <c r="O2115" s="159"/>
      <c r="P2115" s="159"/>
      <c r="Q2115" s="159"/>
      <c r="R2115" s="159"/>
      <c r="S2115" s="159"/>
    </row>
    <row r="2116" spans="1:19" ht="13">
      <c r="A2116" s="375"/>
      <c r="B2116" s="376"/>
      <c r="C2116" s="376"/>
      <c r="D2116" s="122" t="s">
        <v>263</v>
      </c>
      <c r="E2116" s="122" t="s">
        <v>2514</v>
      </c>
      <c r="F2116" s="122" t="s">
        <v>2235</v>
      </c>
      <c r="G2116" s="118" t="s">
        <v>2515</v>
      </c>
      <c r="H2116" s="122" t="s">
        <v>1327</v>
      </c>
      <c r="I2116" s="142" t="str">
        <f t="shared" si="9"/>
        <v>set top box outflow cpaf q</v>
      </c>
      <c r="J2116" s="122" t="s">
        <v>2369</v>
      </c>
      <c r="K2116" s="172" t="s">
        <v>2226</v>
      </c>
      <c r="L2116" s="159"/>
      <c r="M2116" s="159"/>
      <c r="N2116" s="159"/>
      <c r="O2116" s="159"/>
      <c r="P2116" s="159"/>
      <c r="Q2116" s="159"/>
      <c r="R2116" s="159"/>
      <c r="S2116" s="159"/>
    </row>
    <row r="2117" spans="1:19" ht="13">
      <c r="A2117" s="375"/>
      <c r="B2117" s="376"/>
      <c r="C2117" s="376"/>
      <c r="D2117" s="122" t="s">
        <v>263</v>
      </c>
      <c r="E2117" s="122" t="s">
        <v>2516</v>
      </c>
      <c r="F2117" s="122" t="s">
        <v>2235</v>
      </c>
      <c r="G2117" s="118" t="s">
        <v>2517</v>
      </c>
      <c r="H2117" s="122" t="s">
        <v>1327</v>
      </c>
      <c r="I2117" s="142" t="str">
        <f t="shared" si="9"/>
        <v>set top box net pnl cpaf q</v>
      </c>
      <c r="J2117" s="122" t="s">
        <v>2369</v>
      </c>
      <c r="K2117" s="172" t="s">
        <v>2226</v>
      </c>
      <c r="L2117" s="159"/>
      <c r="M2117" s="159"/>
      <c r="N2117" s="159"/>
      <c r="O2117" s="159"/>
      <c r="P2117" s="159"/>
      <c r="Q2117" s="159"/>
      <c r="R2117" s="159"/>
      <c r="S2117" s="159"/>
    </row>
    <row r="2118" spans="1:19" ht="13">
      <c r="A2118" s="375"/>
      <c r="B2118" s="376"/>
      <c r="C2118" s="376"/>
      <c r="D2118" s="122" t="s">
        <v>263</v>
      </c>
      <c r="E2118" s="122" t="s">
        <v>2518</v>
      </c>
      <c r="F2118" s="122" t="s">
        <v>2235</v>
      </c>
      <c r="G2118" s="118" t="s">
        <v>2519</v>
      </c>
      <c r="H2118" s="122" t="s">
        <v>1327</v>
      </c>
      <c r="I2118" s="142" t="str">
        <f t="shared" si="9"/>
        <v>overdue amount inflow cpaf q</v>
      </c>
      <c r="J2118" s="122" t="s">
        <v>2369</v>
      </c>
      <c r="K2118" s="172" t="s">
        <v>2226</v>
      </c>
      <c r="L2118" s="159"/>
      <c r="M2118" s="159"/>
      <c r="N2118" s="159"/>
      <c r="O2118" s="159"/>
      <c r="P2118" s="159"/>
      <c r="Q2118" s="159"/>
      <c r="R2118" s="159"/>
      <c r="S2118" s="159"/>
    </row>
    <row r="2119" spans="1:19" ht="13">
      <c r="A2119" s="375"/>
      <c r="B2119" s="376"/>
      <c r="C2119" s="376"/>
      <c r="D2119" s="122" t="s">
        <v>263</v>
      </c>
      <c r="E2119" s="122" t="s">
        <v>2520</v>
      </c>
      <c r="F2119" s="122" t="s">
        <v>2235</v>
      </c>
      <c r="G2119" s="118" t="s">
        <v>2521</v>
      </c>
      <c r="H2119" s="122" t="s">
        <v>1327</v>
      </c>
      <c r="I2119" s="142" t="str">
        <f t="shared" si="9"/>
        <v>overdue amount outflow cpaf q</v>
      </c>
      <c r="J2119" s="122" t="s">
        <v>2369</v>
      </c>
      <c r="K2119" s="172" t="s">
        <v>2226</v>
      </c>
      <c r="L2119" s="159"/>
      <c r="M2119" s="159"/>
      <c r="N2119" s="159"/>
      <c r="O2119" s="159"/>
      <c r="P2119" s="159"/>
      <c r="Q2119" s="159"/>
      <c r="R2119" s="159"/>
      <c r="S2119" s="159"/>
    </row>
    <row r="2120" spans="1:19" ht="13">
      <c r="A2120" s="375"/>
      <c r="B2120" s="376"/>
      <c r="C2120" s="376"/>
      <c r="D2120" s="122" t="s">
        <v>263</v>
      </c>
      <c r="E2120" s="122" t="s">
        <v>2522</v>
      </c>
      <c r="F2120" s="122" t="s">
        <v>2235</v>
      </c>
      <c r="G2120" s="118" t="s">
        <v>2523</v>
      </c>
      <c r="H2120" s="122" t="s">
        <v>1327</v>
      </c>
      <c r="I2120" s="142" t="str">
        <f t="shared" si="9"/>
        <v>overdue amount net pnl cpaf q</v>
      </c>
      <c r="J2120" s="122" t="s">
        <v>2369</v>
      </c>
      <c r="K2120" s="172" t="s">
        <v>2226</v>
      </c>
      <c r="L2120" s="159"/>
      <c r="M2120" s="159"/>
      <c r="N2120" s="159"/>
      <c r="O2120" s="159"/>
      <c r="P2120" s="159"/>
      <c r="Q2120" s="159"/>
      <c r="R2120" s="159"/>
      <c r="S2120" s="159"/>
    </row>
    <row r="2121" spans="1:19" ht="25.5">
      <c r="A2121" s="375"/>
      <c r="B2121" s="376"/>
      <c r="C2121" s="376"/>
      <c r="D2121" s="122" t="s">
        <v>263</v>
      </c>
      <c r="E2121" s="122" t="s">
        <v>2524</v>
      </c>
      <c r="F2121" s="122" t="s">
        <v>2235</v>
      </c>
      <c r="G2121" s="118" t="s">
        <v>2525</v>
      </c>
      <c r="H2121" s="122" t="s">
        <v>1327</v>
      </c>
      <c r="I2121" s="142" t="str">
        <f t="shared" si="9"/>
        <v>est tenure inflow
 cpaf q</v>
      </c>
      <c r="J2121" s="122" t="s">
        <v>2369</v>
      </c>
      <c r="K2121" s="172" t="s">
        <v>2226</v>
      </c>
      <c r="L2121" s="159"/>
      <c r="M2121" s="159"/>
      <c r="N2121" s="159"/>
      <c r="O2121" s="159"/>
      <c r="P2121" s="159"/>
      <c r="Q2121" s="159"/>
      <c r="R2121" s="159"/>
      <c r="S2121" s="159"/>
    </row>
    <row r="2122" spans="1:19" ht="13">
      <c r="A2122" s="375"/>
      <c r="B2122" s="376"/>
      <c r="C2122" s="376"/>
      <c r="D2122" s="122" t="s">
        <v>263</v>
      </c>
      <c r="E2122" s="122" t="s">
        <v>2526</v>
      </c>
      <c r="F2122" s="122" t="s">
        <v>2235</v>
      </c>
      <c r="G2122" s="118" t="s">
        <v>2527</v>
      </c>
      <c r="H2122" s="122" t="s">
        <v>1327</v>
      </c>
      <c r="I2122" s="142" t="str">
        <f t="shared" si="9"/>
        <v>est tenure outflow cpaf q</v>
      </c>
      <c r="J2122" s="122" t="s">
        <v>2369</v>
      </c>
      <c r="K2122" s="172" t="s">
        <v>2226</v>
      </c>
      <c r="L2122" s="159"/>
      <c r="M2122" s="159"/>
      <c r="N2122" s="159"/>
      <c r="O2122" s="159"/>
      <c r="P2122" s="159"/>
      <c r="Q2122" s="159"/>
      <c r="R2122" s="159"/>
      <c r="S2122" s="159"/>
    </row>
    <row r="2123" spans="1:19" ht="13">
      <c r="A2123" s="375"/>
      <c r="B2123" s="376"/>
      <c r="C2123" s="376"/>
      <c r="D2123" s="122" t="s">
        <v>263</v>
      </c>
      <c r="E2123" s="122" t="s">
        <v>2528</v>
      </c>
      <c r="F2123" s="122" t="s">
        <v>2235</v>
      </c>
      <c r="G2123" s="118" t="s">
        <v>2529</v>
      </c>
      <c r="H2123" s="122" t="s">
        <v>1327</v>
      </c>
      <c r="I2123" s="142" t="str">
        <f t="shared" si="9"/>
        <v>est tenure net pnl cpaf q</v>
      </c>
      <c r="J2123" s="122" t="s">
        <v>2369</v>
      </c>
      <c r="K2123" s="172" t="s">
        <v>2226</v>
      </c>
      <c r="L2123" s="159"/>
      <c r="M2123" s="159"/>
      <c r="N2123" s="159"/>
      <c r="O2123" s="159"/>
      <c r="P2123" s="159"/>
      <c r="Q2123" s="159"/>
      <c r="R2123" s="159"/>
      <c r="S2123" s="159"/>
    </row>
    <row r="2124" spans="1:19" ht="25.5">
      <c r="A2124" s="375"/>
      <c r="B2124" s="376"/>
      <c r="C2124" s="376"/>
      <c r="D2124" s="122" t="s">
        <v>263</v>
      </c>
      <c r="E2124" s="105" t="s">
        <v>2530</v>
      </c>
      <c r="F2124" s="122" t="s">
        <v>2235</v>
      </c>
      <c r="G2124" s="118" t="s">
        <v>2531</v>
      </c>
      <c r="H2124" s="122" t="s">
        <v>1327</v>
      </c>
      <c r="I2124" s="142" t="str">
        <f t="shared" si="9"/>
        <v>customer volume inflow cpaf q</v>
      </c>
      <c r="J2124" s="122" t="s">
        <v>2369</v>
      </c>
      <c r="K2124" s="172" t="s">
        <v>2226</v>
      </c>
      <c r="L2124" s="159"/>
      <c r="M2124" s="159"/>
      <c r="N2124" s="159"/>
      <c r="O2124" s="159"/>
      <c r="P2124" s="159"/>
      <c r="Q2124" s="159"/>
      <c r="R2124" s="159"/>
      <c r="S2124" s="159"/>
    </row>
    <row r="2125" spans="1:19" ht="25.5">
      <c r="A2125" s="375"/>
      <c r="B2125" s="376"/>
      <c r="C2125" s="376"/>
      <c r="D2125" s="122" t="s">
        <v>263</v>
      </c>
      <c r="E2125" s="105" t="s">
        <v>2532</v>
      </c>
      <c r="F2125" s="122" t="s">
        <v>2235</v>
      </c>
      <c r="G2125" s="118" t="s">
        <v>2533</v>
      </c>
      <c r="H2125" s="122" t="s">
        <v>1327</v>
      </c>
      <c r="I2125" s="142" t="str">
        <f t="shared" si="9"/>
        <v>customer volume outflow cpaf q</v>
      </c>
      <c r="J2125" s="122" t="s">
        <v>2369</v>
      </c>
      <c r="K2125" s="172" t="s">
        <v>2226</v>
      </c>
      <c r="L2125" s="159"/>
      <c r="M2125" s="159"/>
      <c r="N2125" s="159"/>
      <c r="O2125" s="159"/>
      <c r="P2125" s="159"/>
      <c r="Q2125" s="159"/>
      <c r="R2125" s="159"/>
      <c r="S2125" s="159"/>
    </row>
    <row r="2126" spans="1:19" ht="13">
      <c r="A2126" s="375"/>
      <c r="B2126" s="376"/>
      <c r="C2126" s="376"/>
      <c r="D2126" s="122" t="s">
        <v>263</v>
      </c>
      <c r="E2126" s="122" t="s">
        <v>2534</v>
      </c>
      <c r="F2126" s="122" t="s">
        <v>2235</v>
      </c>
      <c r="G2126" s="118" t="s">
        <v>2535</v>
      </c>
      <c r="H2126" s="122" t="s">
        <v>1327</v>
      </c>
      <c r="I2126" s="142" t="str">
        <f t="shared" si="9"/>
        <v>customer volume net pnl cpaf q</v>
      </c>
      <c r="J2126" s="122" t="s">
        <v>2369</v>
      </c>
      <c r="K2126" s="172" t="s">
        <v>2226</v>
      </c>
      <c r="L2126" s="159"/>
      <c r="M2126" s="159"/>
      <c r="N2126" s="159"/>
      <c r="O2126" s="159"/>
      <c r="P2126" s="159"/>
      <c r="Q2126" s="159"/>
      <c r="R2126" s="159"/>
      <c r="S2126" s="159"/>
    </row>
    <row r="2127" spans="1:19" ht="75">
      <c r="A2127" s="118" t="s">
        <v>2536</v>
      </c>
      <c r="B2127" s="122"/>
      <c r="C2127" s="122"/>
      <c r="D2127" s="122" t="s">
        <v>263</v>
      </c>
      <c r="E2127" s="118" t="s">
        <v>2537</v>
      </c>
      <c r="F2127" s="122" t="s">
        <v>2235</v>
      </c>
      <c r="G2127" s="122" t="s">
        <v>2538</v>
      </c>
      <c r="H2127" s="122" t="s">
        <v>1327</v>
      </c>
      <c r="I2127" s="142" t="str">
        <f t="shared" si="9"/>
        <v xml:space="preserve"> channel net revenue cpaf q</v>
      </c>
      <c r="J2127" s="122" t="s">
        <v>2539</v>
      </c>
      <c r="K2127" s="172" t="s">
        <v>2226</v>
      </c>
      <c r="L2127" s="159"/>
      <c r="M2127" s="159"/>
      <c r="N2127" s="159"/>
      <c r="O2127" s="159"/>
      <c r="P2127" s="159"/>
      <c r="Q2127" s="159"/>
      <c r="R2127" s="159"/>
      <c r="S2127" s="159"/>
    </row>
    <row r="2128" spans="1:19" ht="50">
      <c r="A2128" s="118" t="s">
        <v>2540</v>
      </c>
      <c r="B2128" s="122"/>
      <c r="C2128" s="122"/>
      <c r="D2128" s="122" t="s">
        <v>263</v>
      </c>
      <c r="E2128" s="118" t="s">
        <v>2541</v>
      </c>
      <c r="F2128" s="122" t="s">
        <v>2235</v>
      </c>
      <c r="G2128" s="159" t="s">
        <v>2542</v>
      </c>
      <c r="H2128" s="122" t="s">
        <v>1327</v>
      </c>
      <c r="I2128" s="142" t="str">
        <f t="shared" si="9"/>
        <v>c channel net revenue cpaf q</v>
      </c>
      <c r="J2128" s="122"/>
      <c r="K2128" s="172" t="s">
        <v>2226</v>
      </c>
      <c r="L2128" s="159"/>
      <c r="M2128" s="159"/>
      <c r="N2128" s="159"/>
      <c r="O2128" s="159"/>
      <c r="P2128" s="159"/>
      <c r="Q2128" s="159"/>
      <c r="R2128" s="159"/>
      <c r="S2128" s="159"/>
    </row>
    <row r="2129" spans="1:19" ht="62.5">
      <c r="A2129" s="118" t="s">
        <v>2543</v>
      </c>
      <c r="B2129" s="122"/>
      <c r="C2129" s="122"/>
      <c r="D2129" s="122" t="s">
        <v>263</v>
      </c>
      <c r="E2129" s="118" t="s">
        <v>2544</v>
      </c>
      <c r="F2129" s="122" t="s">
        <v>2235</v>
      </c>
      <c r="G2129" s="122" t="s">
        <v>2545</v>
      </c>
      <c r="H2129" s="122" t="s">
        <v>1327</v>
      </c>
      <c r="I2129" s="142" t="str">
        <f t="shared" si="9"/>
        <v>est life time val cpaf q</v>
      </c>
      <c r="J2129" s="122" t="s">
        <v>2539</v>
      </c>
      <c r="K2129" s="172" t="s">
        <v>2226</v>
      </c>
      <c r="L2129" s="159"/>
      <c r="M2129" s="159"/>
      <c r="N2129" s="159"/>
      <c r="O2129" s="159"/>
      <c r="P2129" s="159"/>
      <c r="Q2129" s="159"/>
      <c r="R2129" s="159"/>
      <c r="S2129" s="159"/>
    </row>
    <row r="2130" spans="1:19" ht="37.5">
      <c r="A2130" s="118" t="s">
        <v>2543</v>
      </c>
      <c r="B2130" s="122"/>
      <c r="C2130" s="122"/>
      <c r="D2130" s="122" t="s">
        <v>263</v>
      </c>
      <c r="E2130" s="118" t="s">
        <v>2546</v>
      </c>
      <c r="F2130" s="122" t="s">
        <v>2235</v>
      </c>
      <c r="G2130" s="122" t="s">
        <v>2547</v>
      </c>
      <c r="H2130" s="122" t="s">
        <v>1327</v>
      </c>
      <c r="I2130" s="142" t="str">
        <f t="shared" si="9"/>
        <v>est life time val cb cpaf q</v>
      </c>
      <c r="J2130" s="122" t="s">
        <v>2539</v>
      </c>
      <c r="K2130" s="172" t="s">
        <v>2226</v>
      </c>
      <c r="L2130" s="159"/>
      <c r="M2130" s="159"/>
      <c r="N2130" s="159"/>
      <c r="O2130" s="159"/>
      <c r="P2130" s="159"/>
      <c r="Q2130" s="159"/>
      <c r="R2130" s="159"/>
      <c r="S2130" s="159"/>
    </row>
    <row r="2131" spans="1:19" ht="13">
      <c r="A2131" s="356" t="s">
        <v>2548</v>
      </c>
      <c r="B2131" s="122"/>
      <c r="C2131" s="122"/>
      <c r="D2131" s="122" t="s">
        <v>263</v>
      </c>
      <c r="E2131" s="376" t="s">
        <v>2549</v>
      </c>
      <c r="F2131" s="122" t="s">
        <v>2235</v>
      </c>
      <c r="G2131" s="122" t="s">
        <v>2550</v>
      </c>
      <c r="H2131" s="122" t="s">
        <v>1327</v>
      </c>
      <c r="I2131" s="142" t="str">
        <f t="shared" si="9"/>
        <v>est tenure discovery cpaf q</v>
      </c>
      <c r="J2131" s="122" t="s">
        <v>2539</v>
      </c>
      <c r="K2131" s="172" t="s">
        <v>2226</v>
      </c>
      <c r="L2131" s="159"/>
      <c r="M2131" s="159"/>
      <c r="N2131" s="159"/>
      <c r="O2131" s="159"/>
      <c r="P2131" s="159"/>
      <c r="Q2131" s="159"/>
      <c r="R2131" s="159"/>
      <c r="S2131" s="159"/>
    </row>
    <row r="2132" spans="1:19" s="159" customFormat="1" ht="128">
      <c r="A2132" s="356" t="s">
        <v>2548</v>
      </c>
      <c r="B2132" s="122"/>
      <c r="C2132" s="122"/>
      <c r="D2132" s="122" t="s">
        <v>263</v>
      </c>
      <c r="E2132" s="118" t="s">
        <v>5254</v>
      </c>
      <c r="F2132" s="122" t="s">
        <v>2235</v>
      </c>
      <c r="G2132" s="215" t="s">
        <v>2551</v>
      </c>
      <c r="H2132" s="122" t="s">
        <v>1293</v>
      </c>
      <c r="I2132" s="142"/>
      <c r="J2132" s="122" t="s">
        <v>2552</v>
      </c>
      <c r="K2132" s="172" t="s">
        <v>2226</v>
      </c>
    </row>
    <row r="2133" spans="1:19" ht="140">
      <c r="A2133" s="356" t="s">
        <v>2548</v>
      </c>
      <c r="B2133" s="122"/>
      <c r="C2133" s="122"/>
      <c r="D2133" s="122" t="s">
        <v>263</v>
      </c>
      <c r="E2133" s="118" t="s">
        <v>5255</v>
      </c>
      <c r="F2133" s="122" t="s">
        <v>2235</v>
      </c>
      <c r="G2133" s="141" t="s">
        <v>2553</v>
      </c>
      <c r="H2133" s="122" t="s">
        <v>1293</v>
      </c>
      <c r="I2133" s="142"/>
      <c r="J2133" s="122" t="s">
        <v>2552</v>
      </c>
      <c r="K2133" s="172" t="s">
        <v>2226</v>
      </c>
      <c r="L2133" s="159"/>
      <c r="M2133" s="159"/>
      <c r="N2133" s="159"/>
      <c r="O2133" s="159"/>
      <c r="P2133" s="159"/>
      <c r="Q2133" s="159"/>
      <c r="R2133" s="159"/>
      <c r="S2133" s="159"/>
    </row>
    <row r="2134" spans="1:19" ht="201">
      <c r="A2134" s="356" t="s">
        <v>2548</v>
      </c>
      <c r="B2134" s="122"/>
      <c r="C2134" s="122"/>
      <c r="D2134" s="122" t="s">
        <v>263</v>
      </c>
      <c r="E2134" s="118" t="s">
        <v>5256</v>
      </c>
      <c r="F2134" s="122" t="s">
        <v>2235</v>
      </c>
      <c r="G2134" s="118" t="s">
        <v>2554</v>
      </c>
      <c r="H2134" s="122" t="s">
        <v>1292</v>
      </c>
      <c r="I2134" s="142"/>
      <c r="J2134" s="122" t="s">
        <v>2552</v>
      </c>
      <c r="K2134" s="172" t="s">
        <v>2226</v>
      </c>
      <c r="L2134" s="159"/>
      <c r="M2134" s="159"/>
      <c r="N2134" s="159"/>
      <c r="O2134" s="159"/>
      <c r="P2134" s="159"/>
      <c r="Q2134" s="159"/>
      <c r="R2134" s="159"/>
      <c r="S2134" s="159"/>
    </row>
    <row r="2135" spans="1:19" ht="75">
      <c r="A2135" s="118" t="s">
        <v>2555</v>
      </c>
      <c r="B2135" s="122"/>
      <c r="C2135" s="122"/>
      <c r="D2135" s="122" t="s">
        <v>263</v>
      </c>
      <c r="E2135" s="178" t="s">
        <v>2556</v>
      </c>
      <c r="F2135" s="122" t="s">
        <v>2235</v>
      </c>
      <c r="G2135" s="122" t="s">
        <v>2557</v>
      </c>
      <c r="H2135" s="122" t="s">
        <v>1327</v>
      </c>
      <c r="I2135" s="142" t="str">
        <f t="shared" si="9"/>
        <v xml:space="preserve"> F WLR CST cpaf q</v>
      </c>
      <c r="J2135" s="122" t="s">
        <v>2558</v>
      </c>
      <c r="K2135" s="172" t="s">
        <v>2226</v>
      </c>
      <c r="L2135" s="159"/>
      <c r="M2135" s="159"/>
      <c r="N2135" s="159"/>
      <c r="O2135" s="159"/>
      <c r="P2135" s="159"/>
      <c r="Q2135" s="159"/>
      <c r="R2135" s="159"/>
      <c r="S2135" s="159"/>
    </row>
    <row r="2136" spans="1:19" ht="76.5">
      <c r="A2136" s="118" t="s">
        <v>2555</v>
      </c>
      <c r="B2136" s="122"/>
      <c r="C2136" s="122"/>
      <c r="D2136" s="122" t="s">
        <v>263</v>
      </c>
      <c r="E2136" s="118" t="s">
        <v>2559</v>
      </c>
      <c r="F2136" s="122" t="s">
        <v>2235</v>
      </c>
      <c r="G2136" s="122" t="s">
        <v>2560</v>
      </c>
      <c r="H2136" s="122" t="s">
        <v>1327</v>
      </c>
      <c r="I2136" s="142" t="str">
        <f t="shared" si="9"/>
        <v>F WLR CST CB cpaf q</v>
      </c>
      <c r="J2136" s="122" t="s">
        <v>2558</v>
      </c>
      <c r="K2136" s="172" t="s">
        <v>2226</v>
      </c>
      <c r="L2136" s="159"/>
      <c r="M2136" s="159"/>
      <c r="N2136" s="159"/>
      <c r="O2136" s="159"/>
      <c r="P2136" s="159"/>
      <c r="Q2136" s="159"/>
      <c r="R2136" s="159"/>
      <c r="S2136" s="159"/>
    </row>
    <row r="2137" spans="1:19" ht="25">
      <c r="A2137" s="356" t="s">
        <v>2548</v>
      </c>
      <c r="B2137" s="122"/>
      <c r="C2137" s="122"/>
      <c r="D2137" s="122" t="s">
        <v>263</v>
      </c>
      <c r="E2137" s="118" t="s">
        <v>2561</v>
      </c>
      <c r="F2137" s="122" t="s">
        <v>2235</v>
      </c>
      <c r="G2137" s="122" t="s">
        <v>2562</v>
      </c>
      <c r="H2137" s="122" t="s">
        <v>1327</v>
      </c>
      <c r="I2137" s="142" t="str">
        <f t="shared" si="9"/>
        <v>cust life time value cpaf q</v>
      </c>
      <c r="J2137" s="122" t="s">
        <v>2558</v>
      </c>
      <c r="K2137" s="172" t="s">
        <v>2226</v>
      </c>
      <c r="L2137" s="159"/>
      <c r="M2137" s="159"/>
      <c r="N2137" s="159"/>
      <c r="O2137" s="159"/>
      <c r="P2137" s="159"/>
      <c r="Q2137" s="159"/>
      <c r="R2137" s="159"/>
      <c r="S2137" s="159"/>
    </row>
    <row r="2138" spans="1:19" ht="25">
      <c r="A2138" s="356" t="s">
        <v>2548</v>
      </c>
      <c r="B2138" s="122"/>
      <c r="C2138" s="122"/>
      <c r="D2138" s="122" t="s">
        <v>263</v>
      </c>
      <c r="E2138" s="118" t="s">
        <v>2563</v>
      </c>
      <c r="F2138" s="122" t="s">
        <v>2235</v>
      </c>
      <c r="G2138" s="122" t="s">
        <v>2564</v>
      </c>
      <c r="H2138" s="122" t="s">
        <v>1327</v>
      </c>
      <c r="I2138" s="142" t="str">
        <f t="shared" si="9"/>
        <v>cust life time value cb cpaf q</v>
      </c>
      <c r="J2138" s="122" t="s">
        <v>2558</v>
      </c>
      <c r="K2138" s="172" t="s">
        <v>2226</v>
      </c>
      <c r="L2138" s="159"/>
      <c r="M2138" s="159"/>
      <c r="N2138" s="159"/>
      <c r="O2138" s="159"/>
      <c r="P2138" s="159"/>
      <c r="Q2138" s="159"/>
      <c r="R2138" s="159"/>
      <c r="S2138" s="159"/>
    </row>
    <row r="2139" spans="1:19" ht="88.5">
      <c r="A2139" s="118" t="s">
        <v>2555</v>
      </c>
      <c r="B2139" s="122"/>
      <c r="C2139" s="122"/>
      <c r="D2139" s="122" t="s">
        <v>263</v>
      </c>
      <c r="E2139" s="118" t="s">
        <v>2565</v>
      </c>
      <c r="F2139" s="122" t="s">
        <v>2235</v>
      </c>
      <c r="G2139" s="122" t="s">
        <v>2566</v>
      </c>
      <c r="H2139" s="122" t="s">
        <v>1327</v>
      </c>
      <c r="I2139" s="142" t="str">
        <f t="shared" si="9"/>
        <v>channel total wholesale cost cpaf q</v>
      </c>
      <c r="J2139" s="122" t="s">
        <v>2558</v>
      </c>
      <c r="K2139" s="172" t="s">
        <v>2226</v>
      </c>
      <c r="L2139" s="159"/>
      <c r="M2139" s="159"/>
      <c r="N2139" s="159"/>
      <c r="O2139" s="159"/>
      <c r="P2139" s="159"/>
      <c r="Q2139" s="159"/>
      <c r="R2139" s="159"/>
      <c r="S2139" s="159"/>
    </row>
    <row r="2140" spans="1:19" ht="88.5">
      <c r="A2140" s="118" t="s">
        <v>2555</v>
      </c>
      <c r="B2140" s="122"/>
      <c r="C2140" s="122"/>
      <c r="D2140" s="122" t="s">
        <v>263</v>
      </c>
      <c r="E2140" s="118" t="s">
        <v>2567</v>
      </c>
      <c r="F2140" s="122" t="s">
        <v>2235</v>
      </c>
      <c r="G2140" s="122" t="s">
        <v>2568</v>
      </c>
      <c r="H2140" s="122" t="s">
        <v>1327</v>
      </c>
      <c r="I2140" s="142" t="str">
        <f t="shared" si="9"/>
        <v>channel total wholesale cost cb cpaf q</v>
      </c>
      <c r="J2140" s="122" t="s">
        <v>2558</v>
      </c>
      <c r="K2140" s="172" t="s">
        <v>2226</v>
      </c>
      <c r="L2140" s="159"/>
      <c r="M2140" s="159"/>
      <c r="N2140" s="159"/>
      <c r="O2140" s="159"/>
      <c r="P2140" s="159"/>
      <c r="Q2140" s="159"/>
      <c r="R2140" s="159"/>
      <c r="S2140" s="159"/>
    </row>
    <row r="2141" spans="1:19" ht="154">
      <c r="A2141" s="356" t="s">
        <v>2548</v>
      </c>
      <c r="B2141" s="122"/>
      <c r="C2141" s="122"/>
      <c r="D2141" s="122" t="s">
        <v>263</v>
      </c>
      <c r="E2141" s="377" t="s">
        <v>2569</v>
      </c>
      <c r="F2141" s="122" t="s">
        <v>2235</v>
      </c>
      <c r="G2141" s="122" t="s">
        <v>2570</v>
      </c>
      <c r="H2141" s="122" t="s">
        <v>1327</v>
      </c>
      <c r="I2141" s="142" t="str">
        <f t="shared" si="9"/>
        <v>est gross margin cpaf q</v>
      </c>
      <c r="J2141" s="122" t="s">
        <v>2558</v>
      </c>
      <c r="K2141" s="172" t="s">
        <v>2226</v>
      </c>
      <c r="L2141" s="159"/>
      <c r="M2141" s="159"/>
      <c r="N2141" s="159"/>
      <c r="O2141" s="159"/>
      <c r="P2141" s="159"/>
      <c r="Q2141" s="159"/>
      <c r="R2141" s="159"/>
      <c r="S2141" s="159"/>
    </row>
    <row r="2142" spans="1:19" ht="129">
      <c r="A2142" s="356" t="s">
        <v>2548</v>
      </c>
      <c r="B2142" s="122"/>
      <c r="C2142" s="122"/>
      <c r="D2142" s="122" t="s">
        <v>263</v>
      </c>
      <c r="E2142" s="118" t="s">
        <v>2571</v>
      </c>
      <c r="F2142" s="122" t="s">
        <v>2235</v>
      </c>
      <c r="G2142" s="122" t="s">
        <v>2572</v>
      </c>
      <c r="H2142" s="122" t="s">
        <v>1327</v>
      </c>
      <c r="I2142" s="142" t="str">
        <f t="shared" si="9"/>
        <v>est gross margin cb cpaf q</v>
      </c>
      <c r="J2142" s="122" t="s">
        <v>2558</v>
      </c>
      <c r="K2142" s="172" t="s">
        <v>2226</v>
      </c>
      <c r="L2142" s="159"/>
      <c r="M2142" s="159"/>
      <c r="N2142" s="159"/>
      <c r="O2142" s="159"/>
      <c r="P2142" s="159"/>
      <c r="Q2142" s="159"/>
      <c r="R2142" s="159"/>
      <c r="S2142" s="159"/>
    </row>
    <row r="2143" spans="1:19" ht="37.5">
      <c r="A2143" s="356" t="s">
        <v>2573</v>
      </c>
      <c r="B2143" s="118" t="s">
        <v>2574</v>
      </c>
      <c r="C2143" s="122"/>
      <c r="D2143" s="122" t="s">
        <v>93</v>
      </c>
      <c r="E2143" s="118" t="s">
        <v>2575</v>
      </c>
      <c r="F2143" s="122" t="s">
        <v>2235</v>
      </c>
      <c r="G2143" s="122" t="s">
        <v>2576</v>
      </c>
      <c r="H2143" s="122" t="s">
        <v>1327</v>
      </c>
      <c r="I2143" s="142" t="str">
        <f t="shared" si="9"/>
        <v>discount cp cpaf q</v>
      </c>
      <c r="J2143" s="122" t="s">
        <v>2558</v>
      </c>
      <c r="K2143" s="172" t="s">
        <v>2226</v>
      </c>
      <c r="L2143" s="159"/>
      <c r="M2143" s="159"/>
      <c r="N2143" s="159"/>
      <c r="O2143" s="159"/>
      <c r="P2143" s="159"/>
      <c r="Q2143" s="159"/>
      <c r="R2143" s="159"/>
      <c r="S2143" s="159"/>
    </row>
    <row r="2144" spans="1:19">
      <c r="A2144" s="356" t="s">
        <v>2548</v>
      </c>
      <c r="B2144" s="122"/>
      <c r="C2144" s="122"/>
      <c r="D2144" s="122" t="s">
        <v>263</v>
      </c>
      <c r="E2144" s="118" t="s">
        <v>2577</v>
      </c>
      <c r="F2144" s="122" t="s">
        <v>2235</v>
      </c>
      <c r="G2144" s="122" t="s">
        <v>2578</v>
      </c>
      <c r="H2144" s="122" t="s">
        <v>1327</v>
      </c>
      <c r="I2144" s="142" t="str">
        <f t="shared" si="9"/>
        <v>credit cp cpaf q</v>
      </c>
      <c r="J2144" s="122" t="s">
        <v>2558</v>
      </c>
      <c r="K2144" s="172" t="s">
        <v>2226</v>
      </c>
      <c r="L2144" s="159"/>
      <c r="M2144" s="159"/>
      <c r="N2144" s="159"/>
      <c r="O2144" s="159"/>
      <c r="P2144" s="159"/>
      <c r="Q2144" s="159"/>
      <c r="R2144" s="159"/>
      <c r="S2144" s="159"/>
    </row>
    <row r="2145" spans="1:19" ht="25">
      <c r="A2145" s="356" t="s">
        <v>2548</v>
      </c>
      <c r="B2145" s="122"/>
      <c r="C2145" s="122"/>
      <c r="D2145" s="122" t="s">
        <v>263</v>
      </c>
      <c r="E2145" s="118" t="s">
        <v>2579</v>
      </c>
      <c r="F2145" s="122" t="s">
        <v>2235</v>
      </c>
      <c r="G2145" s="122" t="s">
        <v>2580</v>
      </c>
      <c r="H2145" s="122" t="s">
        <v>1327</v>
      </c>
      <c r="I2145" s="142" t="str">
        <f t="shared" si="9"/>
        <v>fixed line customer service revenue cp cpaf q</v>
      </c>
      <c r="J2145" s="122" t="s">
        <v>2558</v>
      </c>
      <c r="K2145" s="172" t="s">
        <v>2226</v>
      </c>
      <c r="L2145" s="159"/>
      <c r="M2145" s="159"/>
      <c r="N2145" s="159"/>
      <c r="O2145" s="159"/>
      <c r="P2145" s="159"/>
      <c r="Q2145" s="159"/>
      <c r="R2145" s="159"/>
      <c r="S2145" s="159"/>
    </row>
    <row r="2146" spans="1:19" ht="25">
      <c r="A2146" s="356" t="s">
        <v>2548</v>
      </c>
      <c r="B2146" s="122"/>
      <c r="C2146" s="122"/>
      <c r="D2146" s="122" t="s">
        <v>263</v>
      </c>
      <c r="E2146" s="118" t="s">
        <v>2581</v>
      </c>
      <c r="F2146" s="122" t="s">
        <v>2235</v>
      </c>
      <c r="G2146" s="122" t="s">
        <v>2582</v>
      </c>
      <c r="H2146" s="122" t="s">
        <v>1327</v>
      </c>
      <c r="I2146" s="142" t="str">
        <f t="shared" si="9"/>
        <v>customer life time value cpaf q</v>
      </c>
      <c r="J2146" s="122" t="s">
        <v>2558</v>
      </c>
      <c r="K2146" s="172" t="s">
        <v>2226</v>
      </c>
      <c r="L2146" s="159"/>
      <c r="M2146" s="159"/>
      <c r="N2146" s="159"/>
      <c r="O2146" s="159"/>
      <c r="P2146" s="159"/>
      <c r="Q2146" s="159"/>
      <c r="R2146" s="159"/>
      <c r="S2146" s="159"/>
    </row>
    <row r="2147" spans="1:19" ht="100.5">
      <c r="A2147" s="356" t="s">
        <v>2583</v>
      </c>
      <c r="B2147" s="122"/>
      <c r="C2147" s="122"/>
      <c r="D2147" s="122" t="s">
        <v>263</v>
      </c>
      <c r="E2147" s="118" t="s">
        <v>2584</v>
      </c>
      <c r="F2147" s="122" t="s">
        <v>2235</v>
      </c>
      <c r="G2147" s="122" t="s">
        <v>2585</v>
      </c>
      <c r="H2147" s="122" t="s">
        <v>1327</v>
      </c>
      <c r="I2147" s="142" t="str">
        <f t="shared" si="9"/>
        <v>monthly cost cpaf q</v>
      </c>
      <c r="J2147" s="122" t="s">
        <v>2558</v>
      </c>
      <c r="K2147" s="172" t="s">
        <v>2226</v>
      </c>
      <c r="L2147" s="159"/>
      <c r="M2147" s="159"/>
      <c r="N2147" s="159"/>
      <c r="O2147" s="159"/>
      <c r="P2147" s="159"/>
      <c r="Q2147" s="159"/>
      <c r="R2147" s="159"/>
      <c r="S2147" s="159"/>
    </row>
    <row r="2148" spans="1:19" ht="113.5">
      <c r="A2148" s="356" t="s">
        <v>2583</v>
      </c>
      <c r="B2148" s="122"/>
      <c r="C2148" s="122"/>
      <c r="D2148" s="122" t="s">
        <v>263</v>
      </c>
      <c r="E2148" s="118" t="s">
        <v>2586</v>
      </c>
      <c r="F2148" s="122" t="s">
        <v>2235</v>
      </c>
      <c r="G2148" s="122" t="s">
        <v>2587</v>
      </c>
      <c r="H2148" s="122" t="s">
        <v>1327</v>
      </c>
      <c r="I2148" s="142" t="str">
        <f t="shared" si="9"/>
        <v>monthly cost cb cpaf q</v>
      </c>
      <c r="J2148" s="122" t="s">
        <v>2558</v>
      </c>
      <c r="K2148" s="172" t="s">
        <v>2226</v>
      </c>
      <c r="L2148" s="159"/>
      <c r="M2148" s="159"/>
      <c r="N2148" s="159"/>
      <c r="O2148" s="159"/>
      <c r="P2148" s="159"/>
      <c r="Q2148" s="159"/>
      <c r="R2148" s="159"/>
      <c r="S2148" s="159"/>
    </row>
    <row r="2149" spans="1:19" ht="50">
      <c r="A2149" s="356" t="s">
        <v>2548</v>
      </c>
      <c r="B2149" s="122"/>
      <c r="C2149" s="122"/>
      <c r="D2149" s="122" t="s">
        <v>263</v>
      </c>
      <c r="E2149" s="118" t="s">
        <v>2588</v>
      </c>
      <c r="F2149" s="122" t="s">
        <v>2235</v>
      </c>
      <c r="G2149" s="122" t="s">
        <v>2589</v>
      </c>
      <c r="H2149" s="122" t="s">
        <v>1327</v>
      </c>
      <c r="I2149" s="142" t="str">
        <f t="shared" si="9"/>
        <v>monthly margin cpaf q</v>
      </c>
      <c r="J2149" s="122" t="s">
        <v>2558</v>
      </c>
      <c r="K2149" s="172" t="s">
        <v>2226</v>
      </c>
      <c r="L2149" s="159"/>
      <c r="M2149" s="159"/>
      <c r="N2149" s="159"/>
      <c r="O2149" s="159"/>
      <c r="P2149" s="159"/>
      <c r="Q2149" s="159"/>
      <c r="R2149" s="159"/>
      <c r="S2149" s="159"/>
    </row>
    <row r="2150" spans="1:19" ht="50">
      <c r="A2150" s="356" t="s">
        <v>2548</v>
      </c>
      <c r="B2150" s="122"/>
      <c r="C2150" s="122"/>
      <c r="D2150" s="122" t="s">
        <v>263</v>
      </c>
      <c r="E2150" s="118" t="s">
        <v>2590</v>
      </c>
      <c r="F2150" s="122" t="s">
        <v>2235</v>
      </c>
      <c r="G2150" s="122" t="s">
        <v>2591</v>
      </c>
      <c r="H2150" s="122" t="s">
        <v>1327</v>
      </c>
      <c r="I2150" s="142" t="str">
        <f t="shared" si="9"/>
        <v>monthly margin cb cpaf q</v>
      </c>
      <c r="J2150" s="122" t="s">
        <v>2558</v>
      </c>
      <c r="K2150" s="172" t="s">
        <v>2226</v>
      </c>
      <c r="L2150" s="159"/>
      <c r="M2150" s="159"/>
      <c r="N2150" s="159"/>
      <c r="O2150" s="159"/>
      <c r="P2150" s="159"/>
      <c r="Q2150" s="159"/>
      <c r="R2150" s="159"/>
      <c r="S2150" s="159"/>
    </row>
    <row r="2151" spans="1:19" ht="100">
      <c r="A2151" s="118" t="s">
        <v>2592</v>
      </c>
      <c r="B2151" s="122" t="s">
        <v>2593</v>
      </c>
      <c r="C2151" s="122"/>
      <c r="D2151" s="122" t="s">
        <v>93</v>
      </c>
      <c r="E2151" s="118" t="s">
        <v>2594</v>
      </c>
      <c r="F2151" s="122" t="s">
        <v>2235</v>
      </c>
      <c r="G2151" s="122" t="s">
        <v>2595</v>
      </c>
      <c r="H2151" s="122" t="s">
        <v>1327</v>
      </c>
      <c r="I2151" s="142" t="str">
        <f t="shared" si="9"/>
        <v>digital care cost cpaf q</v>
      </c>
      <c r="J2151" s="122" t="s">
        <v>2558</v>
      </c>
      <c r="K2151" s="172" t="s">
        <v>2226</v>
      </c>
      <c r="L2151" s="159"/>
      <c r="M2151" s="159"/>
      <c r="N2151" s="159"/>
      <c r="O2151" s="159"/>
      <c r="P2151" s="159"/>
      <c r="Q2151" s="159"/>
      <c r="R2151" s="159"/>
      <c r="S2151" s="159"/>
    </row>
    <row r="2152" spans="1:19" ht="25">
      <c r="A2152" s="356" t="s">
        <v>2548</v>
      </c>
      <c r="B2152" s="122"/>
      <c r="C2152" s="122"/>
      <c r="D2152" s="122" t="s">
        <v>263</v>
      </c>
      <c r="E2152" s="118" t="s">
        <v>2596</v>
      </c>
      <c r="F2152" s="122" t="s">
        <v>2235</v>
      </c>
      <c r="G2152" s="122" t="s">
        <v>2597</v>
      </c>
      <c r="H2152" s="122" t="s">
        <v>1327</v>
      </c>
      <c r="I2152" s="142" t="str">
        <f t="shared" si="9"/>
        <v>total cost cp cpaf q</v>
      </c>
      <c r="J2152" s="122" t="s">
        <v>2558</v>
      </c>
      <c r="K2152" s="172" t="s">
        <v>2226</v>
      </c>
      <c r="L2152" s="159"/>
      <c r="M2152" s="159"/>
      <c r="N2152" s="159"/>
      <c r="O2152" s="159"/>
      <c r="P2152" s="159"/>
      <c r="Q2152" s="159"/>
      <c r="R2152" s="159"/>
      <c r="S2152" s="159"/>
    </row>
    <row r="2153" spans="1:19" ht="13">
      <c r="A2153" s="356" t="s">
        <v>2548</v>
      </c>
      <c r="B2153" s="122"/>
      <c r="C2153" s="122"/>
      <c r="D2153" s="122" t="s">
        <v>263</v>
      </c>
      <c r="E2153" s="118" t="s">
        <v>2598</v>
      </c>
      <c r="F2153" s="122" t="s">
        <v>2235</v>
      </c>
      <c r="G2153" s="122" t="s">
        <v>2599</v>
      </c>
      <c r="H2153" s="122" t="s">
        <v>1327</v>
      </c>
      <c r="I2153" s="142" t="str">
        <f t="shared" si="9"/>
        <v>est net margin cpaf q</v>
      </c>
      <c r="J2153" s="122" t="s">
        <v>2558</v>
      </c>
      <c r="K2153" s="172" t="s">
        <v>2226</v>
      </c>
      <c r="L2153" s="159"/>
      <c r="M2153" s="159"/>
      <c r="N2153" s="159"/>
      <c r="O2153" s="159"/>
      <c r="P2153" s="159"/>
      <c r="Q2153" s="159"/>
      <c r="R2153" s="159"/>
      <c r="S2153" s="159"/>
    </row>
    <row r="2154" spans="1:19" ht="50.5">
      <c r="A2154" s="356" t="s">
        <v>2548</v>
      </c>
      <c r="B2154" s="122"/>
      <c r="C2154" s="122"/>
      <c r="D2154" s="122" t="s">
        <v>263</v>
      </c>
      <c r="E2154" s="118" t="s">
        <v>2600</v>
      </c>
      <c r="F2154" s="122" t="s">
        <v>2235</v>
      </c>
      <c r="G2154" s="122" t="s">
        <v>2601</v>
      </c>
      <c r="H2154" s="122" t="s">
        <v>1327</v>
      </c>
      <c r="I2154" s="142" t="str">
        <f t="shared" si="9"/>
        <v>est net margin cb cpaf q</v>
      </c>
      <c r="J2154" s="122" t="s">
        <v>2558</v>
      </c>
      <c r="K2154" s="172" t="s">
        <v>2226</v>
      </c>
      <c r="L2154" s="159"/>
      <c r="M2154" s="159"/>
      <c r="N2154" s="159"/>
      <c r="O2154" s="159"/>
      <c r="P2154" s="159"/>
      <c r="Q2154" s="159"/>
      <c r="R2154" s="159"/>
      <c r="S2154" s="159"/>
    </row>
    <row r="2155" spans="1:19" ht="88">
      <c r="A2155" s="118" t="s">
        <v>2241</v>
      </c>
      <c r="B2155" s="376"/>
      <c r="C2155" s="376"/>
      <c r="D2155" s="122" t="s">
        <v>263</v>
      </c>
      <c r="E2155" s="120" t="s">
        <v>2602</v>
      </c>
      <c r="F2155" s="122" t="s">
        <v>2235</v>
      </c>
      <c r="G2155" s="141" t="s">
        <v>2603</v>
      </c>
      <c r="H2155" s="122" t="s">
        <v>1327</v>
      </c>
      <c r="I2155" s="142" t="str">
        <f t="shared" si="9"/>
        <v>monthly access fee store cpaf q</v>
      </c>
      <c r="J2155" s="376" t="s">
        <v>2604</v>
      </c>
      <c r="K2155" s="172" t="s">
        <v>2226</v>
      </c>
      <c r="L2155" s="159"/>
      <c r="M2155" s="159"/>
      <c r="N2155" s="159"/>
      <c r="O2155" s="159"/>
      <c r="P2155" s="159"/>
      <c r="Q2155" s="159"/>
      <c r="R2155" s="159"/>
      <c r="S2155" s="159"/>
    </row>
    <row r="2156" spans="1:19" ht="75.5">
      <c r="A2156" s="118" t="s">
        <v>2241</v>
      </c>
      <c r="B2156" s="376"/>
      <c r="C2156" s="376"/>
      <c r="D2156" s="122" t="s">
        <v>263</v>
      </c>
      <c r="E2156" s="120" t="s">
        <v>2605</v>
      </c>
      <c r="F2156" s="122" t="s">
        <v>2235</v>
      </c>
      <c r="G2156" s="141" t="s">
        <v>2606</v>
      </c>
      <c r="H2156" s="122" t="s">
        <v>1327</v>
      </c>
      <c r="I2156" s="142" t="str">
        <f t="shared" si="9"/>
        <v>out of bundle revenue store cpaf q</v>
      </c>
      <c r="J2156" s="376" t="s">
        <v>2604</v>
      </c>
      <c r="K2156" s="172" t="s">
        <v>2226</v>
      </c>
      <c r="L2156" s="159"/>
      <c r="M2156" s="159"/>
      <c r="N2156" s="159"/>
      <c r="O2156" s="159"/>
      <c r="P2156" s="159"/>
      <c r="Q2156" s="159"/>
      <c r="R2156" s="159"/>
      <c r="S2156" s="159"/>
    </row>
    <row r="2157" spans="1:19" ht="75.5">
      <c r="A2157" s="118" t="s">
        <v>2241</v>
      </c>
      <c r="B2157" s="376"/>
      <c r="C2157" s="376"/>
      <c r="D2157" s="122" t="s">
        <v>263</v>
      </c>
      <c r="E2157" s="120" t="s">
        <v>2607</v>
      </c>
      <c r="F2157" s="122" t="s">
        <v>2235</v>
      </c>
      <c r="G2157" s="141" t="s">
        <v>2608</v>
      </c>
      <c r="H2157" s="122" t="s">
        <v>1327</v>
      </c>
      <c r="I2157" s="142" t="str">
        <f t="shared" si="9"/>
        <v>additional service revenue store cpaf q</v>
      </c>
      <c r="J2157" s="376" t="s">
        <v>2604</v>
      </c>
      <c r="K2157" s="172" t="s">
        <v>2226</v>
      </c>
      <c r="L2157" s="159"/>
      <c r="M2157" s="159"/>
      <c r="N2157" s="159"/>
      <c r="O2157" s="159"/>
      <c r="P2157" s="159"/>
      <c r="Q2157" s="159"/>
      <c r="R2157" s="159"/>
      <c r="S2157" s="159"/>
    </row>
    <row r="2158" spans="1:19" ht="76">
      <c r="A2158" s="118" t="s">
        <v>2241</v>
      </c>
      <c r="B2158" s="376"/>
      <c r="C2158" s="376"/>
      <c r="D2158" s="122" t="s">
        <v>263</v>
      </c>
      <c r="E2158" s="120" t="s">
        <v>2609</v>
      </c>
      <c r="F2158" s="122" t="s">
        <v>2235</v>
      </c>
      <c r="G2158" s="141" t="s">
        <v>2610</v>
      </c>
      <c r="H2158" s="122" t="s">
        <v>1327</v>
      </c>
      <c r="I2158" s="142" t="str">
        <f t="shared" si="9"/>
        <v>fixed line customer revenue store cpaf q</v>
      </c>
      <c r="J2158" s="376" t="s">
        <v>2604</v>
      </c>
      <c r="K2158" s="172" t="s">
        <v>2226</v>
      </c>
      <c r="L2158" s="159"/>
      <c r="M2158" s="159"/>
      <c r="N2158" s="159"/>
      <c r="O2158" s="159"/>
      <c r="P2158" s="159"/>
      <c r="Q2158" s="159"/>
      <c r="R2158" s="159"/>
      <c r="S2158" s="159"/>
    </row>
    <row r="2159" spans="1:19" ht="75.5">
      <c r="A2159" s="118" t="s">
        <v>2241</v>
      </c>
      <c r="B2159" s="376"/>
      <c r="C2159" s="376"/>
      <c r="D2159" s="122" t="s">
        <v>263</v>
      </c>
      <c r="E2159" s="120" t="s">
        <v>2611</v>
      </c>
      <c r="F2159" s="122" t="s">
        <v>2235</v>
      </c>
      <c r="G2159" s="141" t="s">
        <v>2612</v>
      </c>
      <c r="H2159" s="122" t="s">
        <v>1327</v>
      </c>
      <c r="I2159" s="142" t="str">
        <f t="shared" si="9"/>
        <v>discount store cpaf q</v>
      </c>
      <c r="J2159" s="376" t="s">
        <v>2604</v>
      </c>
      <c r="K2159" s="172" t="s">
        <v>2226</v>
      </c>
      <c r="L2159" s="159"/>
      <c r="M2159" s="159"/>
      <c r="N2159" s="159"/>
      <c r="O2159" s="159"/>
      <c r="P2159" s="159"/>
      <c r="Q2159" s="159"/>
      <c r="R2159" s="159"/>
      <c r="S2159" s="159"/>
    </row>
    <row r="2160" spans="1:19" ht="75">
      <c r="A2160" s="120" t="s">
        <v>2361</v>
      </c>
      <c r="B2160" s="376"/>
      <c r="C2160" s="376"/>
      <c r="D2160" s="122" t="s">
        <v>263</v>
      </c>
      <c r="E2160" s="120" t="s">
        <v>2613</v>
      </c>
      <c r="F2160" s="122" t="s">
        <v>2235</v>
      </c>
      <c r="G2160" s="141" t="s">
        <v>2614</v>
      </c>
      <c r="H2160" s="122" t="s">
        <v>1327</v>
      </c>
      <c r="I2160" s="142" t="str">
        <f t="shared" si="9"/>
        <v>credit store cpaf q</v>
      </c>
      <c r="J2160" s="376" t="s">
        <v>2604</v>
      </c>
      <c r="K2160" s="172" t="s">
        <v>2226</v>
      </c>
      <c r="L2160" s="159"/>
      <c r="M2160" s="159"/>
      <c r="N2160" s="159"/>
      <c r="O2160" s="159"/>
      <c r="P2160" s="159"/>
      <c r="Q2160" s="159"/>
      <c r="R2160" s="159"/>
      <c r="S2160" s="159"/>
    </row>
    <row r="2161" spans="1:19" ht="62.5">
      <c r="A2161" s="120" t="s">
        <v>2361</v>
      </c>
      <c r="B2161" s="376"/>
      <c r="C2161" s="376"/>
      <c r="D2161" s="122" t="s">
        <v>263</v>
      </c>
      <c r="E2161" s="120" t="s">
        <v>2615</v>
      </c>
      <c r="F2161" s="122" t="s">
        <v>2235</v>
      </c>
      <c r="G2161" s="141" t="s">
        <v>2616</v>
      </c>
      <c r="H2161" s="122" t="s">
        <v>1327</v>
      </c>
      <c r="I2161" s="142" t="str">
        <f t="shared" si="9"/>
        <v>fixed line customer service revenue store cpaf q</v>
      </c>
      <c r="J2161" s="376" t="s">
        <v>2604</v>
      </c>
      <c r="K2161" s="172" t="s">
        <v>2226</v>
      </c>
      <c r="L2161" s="159"/>
      <c r="M2161" s="159"/>
      <c r="N2161" s="159"/>
      <c r="O2161" s="159"/>
      <c r="P2161" s="159"/>
      <c r="Q2161" s="159"/>
      <c r="R2161" s="159"/>
      <c r="S2161" s="159"/>
    </row>
    <row r="2162" spans="1:19" ht="75">
      <c r="A2162" s="120" t="s">
        <v>2361</v>
      </c>
      <c r="B2162" s="376"/>
      <c r="C2162" s="376"/>
      <c r="D2162" s="122" t="s">
        <v>263</v>
      </c>
      <c r="E2162" s="120" t="s">
        <v>2617</v>
      </c>
      <c r="F2162" s="122" t="s">
        <v>2235</v>
      </c>
      <c r="G2162" s="141" t="s">
        <v>2618</v>
      </c>
      <c r="H2162" s="122" t="s">
        <v>1327</v>
      </c>
      <c r="I2162" s="142" t="str">
        <f t="shared" si="9"/>
        <v>customer life time value store cpaf q</v>
      </c>
      <c r="J2162" s="376" t="s">
        <v>2604</v>
      </c>
      <c r="K2162" s="172" t="s">
        <v>2226</v>
      </c>
      <c r="L2162" s="159"/>
      <c r="M2162" s="159"/>
      <c r="N2162" s="159"/>
      <c r="O2162" s="159"/>
      <c r="P2162" s="159"/>
      <c r="Q2162" s="159"/>
      <c r="R2162" s="159"/>
      <c r="S2162" s="159"/>
    </row>
    <row r="2163" spans="1:19" ht="87.5">
      <c r="A2163" s="120" t="s">
        <v>2361</v>
      </c>
      <c r="B2163" s="376"/>
      <c r="C2163" s="376"/>
      <c r="D2163" s="122" t="s">
        <v>263</v>
      </c>
      <c r="E2163" s="120" t="s">
        <v>2619</v>
      </c>
      <c r="F2163" s="122" t="s">
        <v>2235</v>
      </c>
      <c r="G2163" s="141" t="s">
        <v>2620</v>
      </c>
      <c r="H2163" s="122" t="s">
        <v>1327</v>
      </c>
      <c r="I2163" s="142" t="str">
        <f t="shared" si="9"/>
        <v>interconnect cost store cpaf q</v>
      </c>
      <c r="J2163" s="376" t="s">
        <v>2604</v>
      </c>
      <c r="K2163" s="172" t="s">
        <v>2226</v>
      </c>
      <c r="L2163" s="159"/>
      <c r="M2163" s="159"/>
      <c r="N2163" s="159"/>
      <c r="O2163" s="159"/>
      <c r="P2163" s="159"/>
      <c r="Q2163" s="159"/>
      <c r="R2163" s="159"/>
      <c r="S2163" s="159"/>
    </row>
    <row r="2164" spans="1:19" ht="75">
      <c r="A2164" s="120" t="s">
        <v>2361</v>
      </c>
      <c r="B2164" s="376"/>
      <c r="C2164" s="376"/>
      <c r="D2164" s="122" t="s">
        <v>263</v>
      </c>
      <c r="E2164" s="120" t="s">
        <v>2621</v>
      </c>
      <c r="F2164" s="122" t="s">
        <v>2235</v>
      </c>
      <c r="G2164" s="141" t="s">
        <v>2622</v>
      </c>
      <c r="H2164" s="122" t="s">
        <v>1327</v>
      </c>
      <c r="I2164" s="142" t="str">
        <f t="shared" si="9"/>
        <v>interconnect cost cb store cpaf q</v>
      </c>
      <c r="J2164" s="376" t="s">
        <v>2604</v>
      </c>
      <c r="K2164" s="172" t="s">
        <v>2226</v>
      </c>
      <c r="L2164" s="159"/>
      <c r="M2164" s="159"/>
      <c r="N2164" s="159"/>
      <c r="O2164" s="159"/>
      <c r="P2164" s="159"/>
      <c r="Q2164" s="159"/>
      <c r="R2164" s="159"/>
      <c r="S2164" s="159"/>
    </row>
    <row r="2165" spans="1:19" ht="87.5">
      <c r="A2165" s="120" t="s">
        <v>2361</v>
      </c>
      <c r="B2165" s="376"/>
      <c r="C2165" s="376"/>
      <c r="D2165" s="122" t="s">
        <v>263</v>
      </c>
      <c r="E2165" s="120" t="s">
        <v>2623</v>
      </c>
      <c r="F2165" s="122" t="s">
        <v>2235</v>
      </c>
      <c r="G2165" s="187" t="s">
        <v>2624</v>
      </c>
      <c r="H2165" s="122" t="s">
        <v>1327</v>
      </c>
      <c r="I2165" s="142" t="str">
        <f t="shared" si="9"/>
        <v>wholesale line rental cost store cpaf q</v>
      </c>
      <c r="J2165" s="376" t="s">
        <v>2604</v>
      </c>
      <c r="K2165" s="172" t="s">
        <v>2226</v>
      </c>
      <c r="L2165" s="159"/>
      <c r="M2165" s="159"/>
      <c r="N2165" s="159"/>
      <c r="O2165" s="159"/>
      <c r="P2165" s="159"/>
      <c r="Q2165" s="159"/>
      <c r="R2165" s="159"/>
      <c r="S2165" s="159"/>
    </row>
    <row r="2166" spans="1:19" ht="88">
      <c r="A2166" s="120" t="s">
        <v>2361</v>
      </c>
      <c r="B2166" s="376"/>
      <c r="C2166" s="376"/>
      <c r="D2166" s="122" t="s">
        <v>263</v>
      </c>
      <c r="E2166" s="120" t="s">
        <v>2625</v>
      </c>
      <c r="F2166" s="122" t="s">
        <v>2235</v>
      </c>
      <c r="G2166" s="187" t="s">
        <v>2626</v>
      </c>
      <c r="H2166" s="122" t="s">
        <v>1327</v>
      </c>
      <c r="I2166" s="142" t="str">
        <f t="shared" si="9"/>
        <v>wholesale line rental cost cb store cpaf q</v>
      </c>
      <c r="J2166" s="376" t="s">
        <v>2604</v>
      </c>
      <c r="K2166" s="172" t="s">
        <v>2226</v>
      </c>
      <c r="L2166" s="159"/>
      <c r="M2166" s="159"/>
      <c r="N2166" s="159"/>
      <c r="O2166" s="159"/>
      <c r="P2166" s="159"/>
      <c r="Q2166" s="159"/>
      <c r="R2166" s="159"/>
      <c r="S2166" s="159"/>
    </row>
    <row r="2167" spans="1:19" ht="89.5">
      <c r="A2167" s="120" t="s">
        <v>2627</v>
      </c>
      <c r="B2167" s="376"/>
      <c r="C2167" s="376"/>
      <c r="D2167" s="122" t="s">
        <v>263</v>
      </c>
      <c r="E2167" s="120" t="s">
        <v>2628</v>
      </c>
      <c r="F2167" s="122" t="s">
        <v>2235</v>
      </c>
      <c r="G2167" s="187" t="s">
        <v>2629</v>
      </c>
      <c r="H2167" s="122" t="s">
        <v>1327</v>
      </c>
      <c r="I2167" s="142" t="str">
        <f t="shared" si="9"/>
        <v>tv content cost store cpaf q</v>
      </c>
      <c r="J2167" s="376" t="s">
        <v>2604</v>
      </c>
      <c r="K2167" s="172" t="s">
        <v>2226</v>
      </c>
      <c r="L2167" s="159"/>
      <c r="M2167" s="159"/>
      <c r="N2167" s="159"/>
      <c r="O2167" s="159"/>
      <c r="P2167" s="159"/>
      <c r="Q2167" s="159"/>
      <c r="R2167" s="159"/>
      <c r="S2167" s="159"/>
    </row>
    <row r="2168" spans="1:19" ht="62.5">
      <c r="A2168" s="120" t="s">
        <v>2627</v>
      </c>
      <c r="B2168" s="376"/>
      <c r="C2168" s="376"/>
      <c r="D2168" s="122" t="s">
        <v>263</v>
      </c>
      <c r="E2168" s="120" t="s">
        <v>2630</v>
      </c>
      <c r="F2168" s="122" t="s">
        <v>2235</v>
      </c>
      <c r="G2168" s="187" t="s">
        <v>2631</v>
      </c>
      <c r="H2168" s="122" t="s">
        <v>1327</v>
      </c>
      <c r="I2168" s="142" t="str">
        <f t="shared" si="9"/>
        <v>cost to service store cpaf q</v>
      </c>
      <c r="J2168" s="376" t="s">
        <v>2604</v>
      </c>
      <c r="K2168" s="172" t="s">
        <v>2226</v>
      </c>
      <c r="L2168" s="159"/>
      <c r="M2168" s="159"/>
      <c r="N2168" s="159"/>
      <c r="O2168" s="159"/>
      <c r="P2168" s="159"/>
      <c r="Q2168" s="159"/>
      <c r="R2168" s="159"/>
      <c r="S2168" s="159"/>
    </row>
    <row r="2169" spans="1:19" ht="101">
      <c r="A2169" s="120" t="s">
        <v>2627</v>
      </c>
      <c r="B2169" s="376"/>
      <c r="C2169" s="376"/>
      <c r="D2169" s="122" t="s">
        <v>263</v>
      </c>
      <c r="E2169" s="120" t="s">
        <v>2632</v>
      </c>
      <c r="F2169" s="122" t="s">
        <v>2235</v>
      </c>
      <c r="G2169" s="187" t="s">
        <v>2633</v>
      </c>
      <c r="H2169" s="122" t="s">
        <v>1327</v>
      </c>
      <c r="I2169" s="142" t="str">
        <f t="shared" si="9"/>
        <v>channel monthly cost cpaf q</v>
      </c>
      <c r="J2169" s="376" t="s">
        <v>2604</v>
      </c>
      <c r="K2169" s="172" t="s">
        <v>2226</v>
      </c>
      <c r="L2169" s="159"/>
      <c r="M2169" s="159"/>
      <c r="N2169" s="159"/>
      <c r="O2169" s="159"/>
      <c r="P2169" s="159"/>
      <c r="Q2169" s="159"/>
      <c r="R2169" s="159"/>
      <c r="S2169" s="159"/>
    </row>
    <row r="2170" spans="1:19" ht="88">
      <c r="A2170" s="120" t="s">
        <v>2627</v>
      </c>
      <c r="B2170" s="376"/>
      <c r="C2170" s="376"/>
      <c r="D2170" s="122" t="s">
        <v>263</v>
      </c>
      <c r="E2170" s="120" t="s">
        <v>2634</v>
      </c>
      <c r="F2170" s="122" t="s">
        <v>2235</v>
      </c>
      <c r="G2170" s="187" t="s">
        <v>2635</v>
      </c>
      <c r="H2170" s="122" t="s">
        <v>1327</v>
      </c>
      <c r="I2170" s="142" t="str">
        <f t="shared" si="9"/>
        <v>channel monthly cost cb cpaf q</v>
      </c>
      <c r="J2170" s="376" t="s">
        <v>2604</v>
      </c>
      <c r="K2170" s="172" t="s">
        <v>2226</v>
      </c>
      <c r="L2170" s="159"/>
      <c r="M2170" s="159"/>
      <c r="N2170" s="159"/>
      <c r="O2170" s="159"/>
      <c r="P2170" s="159"/>
      <c r="Q2170" s="159"/>
      <c r="R2170" s="159"/>
      <c r="S2170" s="159"/>
    </row>
    <row r="2171" spans="1:19" ht="87.5">
      <c r="A2171" s="120" t="s">
        <v>2361</v>
      </c>
      <c r="B2171" s="376"/>
      <c r="C2171" s="376"/>
      <c r="D2171" s="122" t="s">
        <v>263</v>
      </c>
      <c r="E2171" s="120" t="s">
        <v>2636</v>
      </c>
      <c r="F2171" s="122" t="s">
        <v>2235</v>
      </c>
      <c r="G2171" s="187" t="s">
        <v>2637</v>
      </c>
      <c r="H2171" s="122" t="s">
        <v>1327</v>
      </c>
      <c r="I2171" s="142" t="str">
        <f t="shared" si="9"/>
        <v>monthly cost store cpaf q</v>
      </c>
      <c r="J2171" s="376" t="s">
        <v>2604</v>
      </c>
      <c r="K2171" s="172" t="s">
        <v>2226</v>
      </c>
      <c r="L2171" s="159"/>
      <c r="M2171" s="159"/>
      <c r="N2171" s="159"/>
      <c r="O2171" s="159"/>
      <c r="P2171" s="159"/>
      <c r="Q2171" s="159"/>
      <c r="R2171" s="159"/>
      <c r="S2171" s="159"/>
    </row>
    <row r="2172" spans="1:19" ht="87.5">
      <c r="A2172" s="120" t="s">
        <v>2361</v>
      </c>
      <c r="B2172" s="376"/>
      <c r="C2172" s="376"/>
      <c r="D2172" s="122" t="s">
        <v>263</v>
      </c>
      <c r="E2172" s="120" t="s">
        <v>2638</v>
      </c>
      <c r="F2172" s="122" t="s">
        <v>2235</v>
      </c>
      <c r="G2172" s="187" t="s">
        <v>2639</v>
      </c>
      <c r="H2172" s="122" t="s">
        <v>1327</v>
      </c>
      <c r="I2172" s="142" t="str">
        <f t="shared" si="9"/>
        <v>monthly cost store cb cpaf q</v>
      </c>
      <c r="J2172" s="376" t="s">
        <v>2604</v>
      </c>
      <c r="K2172" s="172" t="s">
        <v>2226</v>
      </c>
      <c r="L2172" s="159"/>
      <c r="M2172" s="159"/>
      <c r="N2172" s="159"/>
      <c r="O2172" s="159"/>
      <c r="P2172" s="159"/>
      <c r="Q2172" s="159"/>
      <c r="R2172" s="159"/>
      <c r="S2172" s="159"/>
    </row>
    <row r="2173" spans="1:19" ht="13">
      <c r="A2173" s="120" t="s">
        <v>2361</v>
      </c>
      <c r="B2173" s="376"/>
      <c r="C2173" s="376"/>
      <c r="D2173" s="122" t="s">
        <v>263</v>
      </c>
      <c r="E2173" s="275" t="s">
        <v>2640</v>
      </c>
      <c r="F2173" s="122" t="s">
        <v>2235</v>
      </c>
      <c r="G2173" s="187" t="s">
        <v>2641</v>
      </c>
      <c r="H2173" s="122" t="s">
        <v>1327</v>
      </c>
      <c r="I2173" s="142" t="str">
        <f t="shared" si="9"/>
        <v>monthly margin store cpaf q</v>
      </c>
      <c r="J2173" s="376" t="s">
        <v>2604</v>
      </c>
      <c r="K2173" s="172" t="s">
        <v>2226</v>
      </c>
      <c r="L2173" s="159"/>
      <c r="M2173" s="159"/>
      <c r="N2173" s="159"/>
      <c r="O2173" s="159"/>
      <c r="P2173" s="159"/>
      <c r="Q2173" s="159"/>
      <c r="R2173" s="159"/>
      <c r="S2173" s="159"/>
    </row>
    <row r="2174" spans="1:19" ht="13">
      <c r="A2174" s="120" t="s">
        <v>2361</v>
      </c>
      <c r="B2174" s="376"/>
      <c r="C2174" s="376"/>
      <c r="D2174" s="122" t="s">
        <v>263</v>
      </c>
      <c r="E2174" s="376" t="s">
        <v>2642</v>
      </c>
      <c r="F2174" s="122" t="s">
        <v>2235</v>
      </c>
      <c r="G2174" s="187" t="s">
        <v>2643</v>
      </c>
      <c r="H2174" s="122" t="s">
        <v>1327</v>
      </c>
      <c r="I2174" s="142" t="str">
        <f t="shared" si="9"/>
        <v>monthly margin cb store cpaf q</v>
      </c>
      <c r="J2174" s="376" t="s">
        <v>2604</v>
      </c>
      <c r="K2174" s="172" t="s">
        <v>2226</v>
      </c>
      <c r="L2174" s="159"/>
      <c r="M2174" s="159"/>
      <c r="N2174" s="159"/>
      <c r="O2174" s="159"/>
      <c r="P2174" s="159"/>
      <c r="Q2174" s="159"/>
      <c r="R2174" s="159"/>
      <c r="S2174" s="159"/>
    </row>
    <row r="2175" spans="1:19" ht="13">
      <c r="A2175" s="120" t="s">
        <v>2361</v>
      </c>
      <c r="B2175" s="376"/>
      <c r="C2175" s="376"/>
      <c r="D2175" s="122" t="s">
        <v>263</v>
      </c>
      <c r="E2175" s="376" t="s">
        <v>2644</v>
      </c>
      <c r="F2175" s="122" t="s">
        <v>2235</v>
      </c>
      <c r="G2175" s="187" t="s">
        <v>2645</v>
      </c>
      <c r="H2175" s="122" t="s">
        <v>1327</v>
      </c>
      <c r="I2175" s="142" t="str">
        <f t="shared" si="9"/>
        <v>est tenure store cpaf q</v>
      </c>
      <c r="J2175" s="376" t="s">
        <v>2604</v>
      </c>
      <c r="K2175" s="172" t="s">
        <v>2226</v>
      </c>
      <c r="L2175" s="159"/>
      <c r="M2175" s="159"/>
      <c r="N2175" s="159"/>
      <c r="O2175" s="159"/>
      <c r="P2175" s="159"/>
      <c r="Q2175" s="159"/>
      <c r="R2175" s="159"/>
      <c r="S2175" s="159"/>
    </row>
    <row r="2176" spans="1:19" ht="13">
      <c r="A2176" s="120" t="s">
        <v>2361</v>
      </c>
      <c r="B2176" s="376"/>
      <c r="C2176" s="376"/>
      <c r="D2176" s="122" t="s">
        <v>263</v>
      </c>
      <c r="E2176" s="376" t="s">
        <v>2646</v>
      </c>
      <c r="F2176" s="122" t="s">
        <v>2235</v>
      </c>
      <c r="G2176" s="187" t="s">
        <v>2647</v>
      </c>
      <c r="H2176" s="122" t="s">
        <v>1327</v>
      </c>
      <c r="I2176" s="142" t="str">
        <f t="shared" si="9"/>
        <v>overall estimated margin store cpaf q</v>
      </c>
      <c r="J2176" s="376" t="s">
        <v>2604</v>
      </c>
      <c r="K2176" s="172" t="s">
        <v>2226</v>
      </c>
      <c r="L2176" s="159"/>
      <c r="M2176" s="159"/>
      <c r="N2176" s="159"/>
      <c r="O2176" s="159"/>
      <c r="P2176" s="159"/>
      <c r="Q2176" s="159"/>
      <c r="R2176" s="159"/>
      <c r="S2176" s="159"/>
    </row>
    <row r="2177" spans="1:19" ht="13">
      <c r="A2177" s="120" t="s">
        <v>2361</v>
      </c>
      <c r="B2177" s="376"/>
      <c r="C2177" s="376"/>
      <c r="D2177" s="122" t="s">
        <v>263</v>
      </c>
      <c r="E2177" s="376" t="s">
        <v>2648</v>
      </c>
      <c r="F2177" s="122" t="s">
        <v>2235</v>
      </c>
      <c r="G2177" s="187" t="s">
        <v>2649</v>
      </c>
      <c r="H2177" s="122" t="s">
        <v>1327</v>
      </c>
      <c r="I2177" s="142" t="str">
        <f t="shared" si="9"/>
        <v>overall estimated margin cb store cpaf q</v>
      </c>
      <c r="J2177" s="376" t="s">
        <v>2604</v>
      </c>
      <c r="K2177" s="172" t="s">
        <v>2226</v>
      </c>
      <c r="L2177" s="159"/>
      <c r="M2177" s="159"/>
      <c r="N2177" s="159"/>
      <c r="O2177" s="159"/>
      <c r="P2177" s="159"/>
      <c r="Q2177" s="159"/>
      <c r="R2177" s="159"/>
      <c r="S2177" s="159"/>
    </row>
    <row r="2178" spans="1:19" ht="13">
      <c r="A2178" s="120" t="s">
        <v>2361</v>
      </c>
      <c r="B2178" s="376"/>
      <c r="C2178" s="376"/>
      <c r="D2178" s="122" t="s">
        <v>263</v>
      </c>
      <c r="E2178" s="376" t="s">
        <v>2650</v>
      </c>
      <c r="F2178" s="122" t="s">
        <v>2235</v>
      </c>
      <c r="G2178" s="187" t="s">
        <v>2651</v>
      </c>
      <c r="H2178" s="122" t="s">
        <v>1327</v>
      </c>
      <c r="I2178" s="142" t="str">
        <f t="shared" si="9"/>
        <v>installation cost store cpaf q</v>
      </c>
      <c r="J2178" s="376" t="s">
        <v>2604</v>
      </c>
      <c r="K2178" s="172" t="s">
        <v>2226</v>
      </c>
      <c r="L2178" s="159"/>
      <c r="M2178" s="159"/>
      <c r="N2178" s="159"/>
      <c r="O2178" s="159"/>
      <c r="P2178" s="159"/>
      <c r="Q2178" s="159"/>
      <c r="R2178" s="159"/>
      <c r="S2178" s="159"/>
    </row>
    <row r="2179" spans="1:19" ht="13">
      <c r="A2179" s="120" t="s">
        <v>2361</v>
      </c>
      <c r="B2179" s="376"/>
      <c r="C2179" s="376"/>
      <c r="D2179" s="122" t="s">
        <v>263</v>
      </c>
      <c r="E2179" s="376" t="s">
        <v>2652</v>
      </c>
      <c r="F2179" s="122" t="s">
        <v>2235</v>
      </c>
      <c r="G2179" s="187" t="s">
        <v>2653</v>
      </c>
      <c r="H2179" s="122" t="s">
        <v>1327</v>
      </c>
      <c r="I2179" s="142" t="str">
        <f t="shared" si="9"/>
        <v>installation cost cb store cpaf q</v>
      </c>
      <c r="J2179" s="376" t="s">
        <v>2604</v>
      </c>
      <c r="K2179" s="172" t="s">
        <v>2226</v>
      </c>
      <c r="L2179" s="159"/>
      <c r="M2179" s="159"/>
      <c r="N2179" s="159"/>
      <c r="O2179" s="159"/>
      <c r="P2179" s="159"/>
      <c r="Q2179" s="159"/>
      <c r="R2179" s="159"/>
      <c r="S2179" s="159"/>
    </row>
    <row r="2180" spans="1:19" ht="50">
      <c r="A2180" s="120" t="s">
        <v>2361</v>
      </c>
      <c r="B2180" s="376"/>
      <c r="C2180" s="376"/>
      <c r="D2180" s="122" t="s">
        <v>263</v>
      </c>
      <c r="E2180" s="356" t="s">
        <v>2654</v>
      </c>
      <c r="F2180" s="122" t="s">
        <v>2235</v>
      </c>
      <c r="G2180" s="187" t="s">
        <v>2655</v>
      </c>
      <c r="H2180" s="122" t="s">
        <v>1327</v>
      </c>
      <c r="I2180" s="142" t="str">
        <f t="shared" si="9"/>
        <v>missed appointment store cpaf q</v>
      </c>
      <c r="J2180" s="376" t="s">
        <v>2604</v>
      </c>
      <c r="K2180" s="172" t="s">
        <v>2226</v>
      </c>
      <c r="L2180" s="159"/>
      <c r="M2180" s="159"/>
      <c r="N2180" s="159"/>
      <c r="O2180" s="159"/>
      <c r="P2180" s="159"/>
      <c r="Q2180" s="159"/>
      <c r="R2180" s="159"/>
      <c r="S2180" s="159"/>
    </row>
    <row r="2181" spans="1:19" ht="75">
      <c r="A2181" s="120" t="s">
        <v>2361</v>
      </c>
      <c r="B2181" s="376"/>
      <c r="C2181" s="376"/>
      <c r="D2181" s="122" t="s">
        <v>263</v>
      </c>
      <c r="E2181" s="356" t="s">
        <v>2656</v>
      </c>
      <c r="F2181" s="122" t="s">
        <v>2235</v>
      </c>
      <c r="G2181" s="187" t="s">
        <v>2657</v>
      </c>
      <c r="H2181" s="122" t="s">
        <v>1327</v>
      </c>
      <c r="I2181" s="142" t="str">
        <f t="shared" ref="I2181:I2197" si="10">SUBSTITUTE(G2181,"_"," ")</f>
        <v>est. gross margin store cpaf q</v>
      </c>
      <c r="J2181" s="376" t="s">
        <v>2604</v>
      </c>
      <c r="K2181" s="172" t="s">
        <v>2226</v>
      </c>
      <c r="L2181" s="159"/>
      <c r="M2181" s="159"/>
      <c r="N2181" s="159"/>
      <c r="O2181" s="159"/>
      <c r="P2181" s="159"/>
      <c r="Q2181" s="159"/>
      <c r="R2181" s="159"/>
      <c r="S2181" s="159"/>
    </row>
    <row r="2182" spans="1:19" ht="75">
      <c r="A2182" s="120" t="s">
        <v>2361</v>
      </c>
      <c r="B2182" s="376"/>
      <c r="C2182" s="376"/>
      <c r="D2182" s="122" t="s">
        <v>263</v>
      </c>
      <c r="E2182" s="356" t="s">
        <v>2658</v>
      </c>
      <c r="F2182" s="122" t="s">
        <v>2235</v>
      </c>
      <c r="G2182" s="187" t="s">
        <v>2659</v>
      </c>
      <c r="H2182" s="122" t="s">
        <v>1327</v>
      </c>
      <c r="I2182" s="142" t="str">
        <f t="shared" si="10"/>
        <v>est. gross margin cb store cpaf q</v>
      </c>
      <c r="J2182" s="376" t="s">
        <v>2604</v>
      </c>
      <c r="K2182" s="172" t="s">
        <v>2226</v>
      </c>
      <c r="L2182" s="159"/>
      <c r="M2182" s="159"/>
      <c r="N2182" s="159"/>
      <c r="O2182" s="159"/>
      <c r="P2182" s="159"/>
      <c r="Q2182" s="159"/>
      <c r="R2182" s="159"/>
      <c r="S2182" s="159"/>
    </row>
    <row r="2183" spans="1:19" ht="13">
      <c r="A2183" s="120" t="s">
        <v>2361</v>
      </c>
      <c r="B2183" s="376"/>
      <c r="C2183" s="376"/>
      <c r="D2183" s="122" t="s">
        <v>263</v>
      </c>
      <c r="E2183" s="376" t="s">
        <v>2660</v>
      </c>
      <c r="F2183" s="122" t="s">
        <v>2235</v>
      </c>
      <c r="G2183" s="187" t="s">
        <v>2661</v>
      </c>
      <c r="H2183" s="122" t="s">
        <v>1327</v>
      </c>
      <c r="I2183" s="142" t="str">
        <f t="shared" si="10"/>
        <v>commission store cpaf q</v>
      </c>
      <c r="J2183" s="376" t="s">
        <v>2604</v>
      </c>
      <c r="K2183" s="172" t="s">
        <v>2226</v>
      </c>
      <c r="L2183" s="159"/>
      <c r="M2183" s="159"/>
      <c r="N2183" s="159"/>
      <c r="O2183" s="159"/>
      <c r="P2183" s="159"/>
      <c r="Q2183" s="159"/>
      <c r="R2183" s="159"/>
      <c r="S2183" s="159"/>
    </row>
    <row r="2184" spans="1:19" ht="13">
      <c r="A2184" s="120" t="s">
        <v>2361</v>
      </c>
      <c r="B2184" s="376"/>
      <c r="C2184" s="376"/>
      <c r="D2184" s="122" t="s">
        <v>263</v>
      </c>
      <c r="E2184" s="376" t="s">
        <v>2662</v>
      </c>
      <c r="F2184" s="122" t="s">
        <v>2235</v>
      </c>
      <c r="G2184" s="187" t="s">
        <v>2663</v>
      </c>
      <c r="H2184" s="122" t="s">
        <v>1327</v>
      </c>
      <c r="I2184" s="142" t="str">
        <f t="shared" si="10"/>
        <v>opex cost store cpaf q</v>
      </c>
      <c r="J2184" s="376" t="s">
        <v>2604</v>
      </c>
      <c r="K2184" s="172" t="s">
        <v>2226</v>
      </c>
      <c r="L2184" s="159"/>
      <c r="M2184" s="159"/>
      <c r="N2184" s="159"/>
      <c r="O2184" s="159"/>
      <c r="P2184" s="159"/>
      <c r="Q2184" s="159"/>
      <c r="R2184" s="159"/>
      <c r="S2184" s="159"/>
    </row>
    <row r="2185" spans="1:19" ht="13">
      <c r="A2185" s="120" t="s">
        <v>2361</v>
      </c>
      <c r="B2185" s="376"/>
      <c r="C2185" s="376"/>
      <c r="D2185" s="122" t="s">
        <v>263</v>
      </c>
      <c r="E2185" s="376" t="s">
        <v>2664</v>
      </c>
      <c r="F2185" s="122" t="s">
        <v>2235</v>
      </c>
      <c r="G2185" s="187" t="s">
        <v>2665</v>
      </c>
      <c r="H2185" s="122" t="s">
        <v>1327</v>
      </c>
      <c r="I2185" s="142" t="str">
        <f t="shared" si="10"/>
        <v>total cost store cpaf q</v>
      </c>
      <c r="J2185" s="376" t="s">
        <v>2604</v>
      </c>
      <c r="K2185" s="172" t="s">
        <v>2226</v>
      </c>
      <c r="L2185" s="159"/>
      <c r="M2185" s="159"/>
      <c r="N2185" s="159"/>
      <c r="O2185" s="159"/>
      <c r="P2185" s="159"/>
      <c r="Q2185" s="159"/>
      <c r="R2185" s="159"/>
      <c r="S2185" s="159"/>
    </row>
    <row r="2186" spans="1:19" ht="13">
      <c r="A2186" s="120" t="s">
        <v>2361</v>
      </c>
      <c r="B2186" s="376"/>
      <c r="C2186" s="376"/>
      <c r="D2186" s="122" t="s">
        <v>263</v>
      </c>
      <c r="E2186" s="376" t="s">
        <v>2666</v>
      </c>
      <c r="F2186" s="122" t="s">
        <v>2235</v>
      </c>
      <c r="G2186" s="187" t="s">
        <v>2667</v>
      </c>
      <c r="H2186" s="122" t="s">
        <v>1327</v>
      </c>
      <c r="I2186" s="142" t="str">
        <f t="shared" si="10"/>
        <v>est net margin store cpaf q</v>
      </c>
      <c r="J2186" s="376" t="s">
        <v>2604</v>
      </c>
      <c r="K2186" s="172" t="s">
        <v>2226</v>
      </c>
      <c r="L2186" s="159"/>
      <c r="M2186" s="159"/>
      <c r="N2186" s="159"/>
      <c r="O2186" s="159"/>
      <c r="P2186" s="159"/>
      <c r="Q2186" s="159"/>
      <c r="R2186" s="159"/>
      <c r="S2186" s="159"/>
    </row>
    <row r="2187" spans="1:19" ht="75">
      <c r="A2187" s="120" t="s">
        <v>2361</v>
      </c>
      <c r="B2187" s="376"/>
      <c r="C2187" s="376"/>
      <c r="D2187" s="122" t="s">
        <v>263</v>
      </c>
      <c r="E2187" s="356" t="s">
        <v>2668</v>
      </c>
      <c r="F2187" s="122" t="s">
        <v>2235</v>
      </c>
      <c r="G2187" s="187" t="s">
        <v>2669</v>
      </c>
      <c r="H2187" s="122" t="s">
        <v>1327</v>
      </c>
      <c r="I2187" s="142" t="str">
        <f t="shared" si="10"/>
        <v>est net margin cb store cpaf q</v>
      </c>
      <c r="J2187" s="376" t="s">
        <v>2604</v>
      </c>
      <c r="K2187" s="172" t="s">
        <v>2226</v>
      </c>
      <c r="L2187" s="159"/>
      <c r="M2187" s="159"/>
      <c r="N2187" s="159"/>
      <c r="O2187" s="159"/>
      <c r="P2187" s="159"/>
      <c r="Q2187" s="159"/>
      <c r="R2187" s="159"/>
      <c r="S2187" s="159"/>
    </row>
    <row r="2188" spans="1:19" ht="25">
      <c r="A2188" s="120" t="s">
        <v>2627</v>
      </c>
      <c r="B2188" s="376"/>
      <c r="C2188" s="376"/>
      <c r="D2188" s="122" t="s">
        <v>263</v>
      </c>
      <c r="E2188" s="376" t="s">
        <v>5241</v>
      </c>
      <c r="F2188" s="122" t="s">
        <v>2235</v>
      </c>
      <c r="G2188" s="115" t="s">
        <v>2670</v>
      </c>
      <c r="H2188" s="376" t="s">
        <v>1293</v>
      </c>
      <c r="I2188" s="142" t="str">
        <f t="shared" si="10"/>
        <v>customer volume store cpaf q</v>
      </c>
      <c r="J2188" s="376" t="s">
        <v>2604</v>
      </c>
      <c r="K2188" s="172" t="s">
        <v>2226</v>
      </c>
      <c r="L2188" s="159"/>
      <c r="M2188" s="159"/>
      <c r="N2188" s="159"/>
      <c r="O2188" s="159"/>
      <c r="P2188" s="159"/>
      <c r="Q2188" s="159"/>
      <c r="R2188" s="159"/>
      <c r="S2188" s="159"/>
    </row>
    <row r="2189" spans="1:19" ht="25">
      <c r="A2189" s="120" t="s">
        <v>2361</v>
      </c>
      <c r="B2189" s="376"/>
      <c r="C2189" s="376"/>
      <c r="D2189" s="122" t="s">
        <v>263</v>
      </c>
      <c r="E2189" s="454" t="s">
        <v>5243</v>
      </c>
      <c r="F2189" s="122" t="s">
        <v>2235</v>
      </c>
      <c r="G2189" s="115" t="s">
        <v>2671</v>
      </c>
      <c r="H2189" s="376" t="s">
        <v>1327</v>
      </c>
      <c r="I2189" s="142" t="str">
        <f t="shared" si="10"/>
        <v>wholesale and ic cost disc cpaf q</v>
      </c>
      <c r="J2189" s="376" t="s">
        <v>2672</v>
      </c>
      <c r="K2189" s="172" t="s">
        <v>2226</v>
      </c>
      <c r="L2189" s="159"/>
      <c r="M2189" s="159"/>
      <c r="N2189" s="159"/>
      <c r="O2189" s="159"/>
      <c r="P2189" s="159"/>
      <c r="Q2189" s="159"/>
      <c r="R2189" s="159"/>
      <c r="S2189" s="159"/>
    </row>
    <row r="2190" spans="1:19" ht="62.5">
      <c r="A2190" s="120" t="s">
        <v>2361</v>
      </c>
      <c r="B2190" s="376"/>
      <c r="C2190" s="376"/>
      <c r="D2190" s="122" t="s">
        <v>263</v>
      </c>
      <c r="E2190" s="178" t="s">
        <v>5242</v>
      </c>
      <c r="F2190" s="122" t="s">
        <v>2235</v>
      </c>
      <c r="G2190" s="105" t="s">
        <v>2673</v>
      </c>
      <c r="H2190" s="376" t="s">
        <v>1327</v>
      </c>
      <c r="I2190" s="142" t="str">
        <f t="shared" si="10"/>
        <v>wholesale and ic cost cb disc cpaf q</v>
      </c>
      <c r="J2190" s="376" t="s">
        <v>2672</v>
      </c>
      <c r="K2190" s="172" t="s">
        <v>2226</v>
      </c>
      <c r="L2190" s="159"/>
      <c r="M2190" s="159"/>
      <c r="N2190" s="159"/>
      <c r="O2190" s="159"/>
      <c r="P2190" s="159"/>
      <c r="Q2190" s="159"/>
      <c r="R2190" s="159"/>
      <c r="S2190" s="159"/>
    </row>
    <row r="2191" spans="1:19" ht="409.5">
      <c r="A2191" s="120" t="s">
        <v>2674</v>
      </c>
      <c r="B2191" s="105"/>
      <c r="C2191" s="105"/>
      <c r="D2191" s="148" t="s">
        <v>263</v>
      </c>
      <c r="E2191" s="172" t="s">
        <v>2675</v>
      </c>
      <c r="F2191" s="151" t="s">
        <v>2235</v>
      </c>
      <c r="G2191" s="148" t="s">
        <v>2676</v>
      </c>
      <c r="H2191" s="148" t="s">
        <v>1293</v>
      </c>
      <c r="I2191" s="151" t="str">
        <f t="shared" si="10"/>
        <v>discount customer cnt cpaf q</v>
      </c>
      <c r="J2191" s="148" t="s">
        <v>1509</v>
      </c>
      <c r="K2191" s="172" t="s">
        <v>2226</v>
      </c>
      <c r="L2191" s="159"/>
      <c r="M2191" s="159"/>
      <c r="N2191" s="159"/>
      <c r="O2191" s="159"/>
      <c r="P2191" s="159"/>
      <c r="Q2191" s="159"/>
      <c r="R2191" s="159"/>
      <c r="S2191" s="159"/>
    </row>
    <row r="2192" spans="1:19" ht="409.5">
      <c r="A2192" s="120" t="s">
        <v>2674</v>
      </c>
      <c r="B2192" s="396" t="s">
        <v>1228</v>
      </c>
      <c r="C2192" s="148"/>
      <c r="D2192" s="148" t="s">
        <v>93</v>
      </c>
      <c r="E2192" s="148"/>
      <c r="F2192" s="151" t="s">
        <v>2235</v>
      </c>
      <c r="G2192" s="396" t="s">
        <v>2677</v>
      </c>
      <c r="H2192" s="148" t="s">
        <v>1327</v>
      </c>
      <c r="I2192" s="151" t="str">
        <f t="shared" si="10"/>
        <v>discount an cpaf q</v>
      </c>
      <c r="J2192" s="148" t="s">
        <v>1509</v>
      </c>
      <c r="K2192" s="172" t="s">
        <v>2226</v>
      </c>
      <c r="L2192" s="159"/>
      <c r="M2192" s="159"/>
      <c r="N2192" s="159"/>
      <c r="O2192" s="159"/>
      <c r="P2192" s="159"/>
      <c r="Q2192" s="159"/>
      <c r="R2192" s="159"/>
      <c r="S2192" s="159"/>
    </row>
    <row r="2193" spans="1:19" ht="409.5">
      <c r="A2193" s="120" t="s">
        <v>2678</v>
      </c>
      <c r="B2193" s="396" t="s">
        <v>1228</v>
      </c>
      <c r="C2193" s="148"/>
      <c r="D2193" s="148" t="s">
        <v>263</v>
      </c>
      <c r="E2193" s="396" t="s">
        <v>2679</v>
      </c>
      <c r="F2193" s="151" t="s">
        <v>2235</v>
      </c>
      <c r="G2193" s="396" t="s">
        <v>2680</v>
      </c>
      <c r="H2193" s="148" t="s">
        <v>1327</v>
      </c>
      <c r="I2193" s="151" t="str">
        <f t="shared" si="10"/>
        <v>discount revenue Impact cpaf q</v>
      </c>
      <c r="J2193" s="148" t="s">
        <v>1509</v>
      </c>
      <c r="K2193" s="172" t="s">
        <v>2226</v>
      </c>
      <c r="L2193" s="159"/>
      <c r="M2193" s="159"/>
      <c r="N2193" s="159"/>
      <c r="O2193" s="159"/>
      <c r="P2193" s="159"/>
      <c r="Q2193" s="159"/>
      <c r="R2193" s="159"/>
      <c r="S2193" s="159"/>
    </row>
    <row r="2194" spans="1:19" ht="409.5">
      <c r="A2194" s="120" t="s">
        <v>2678</v>
      </c>
      <c r="B2194" s="305" t="s">
        <v>1228</v>
      </c>
      <c r="C2194" s="458"/>
      <c r="D2194" s="458" t="s">
        <v>263</v>
      </c>
      <c r="E2194" s="305" t="s">
        <v>2681</v>
      </c>
      <c r="F2194" s="146" t="s">
        <v>2235</v>
      </c>
      <c r="G2194" s="305" t="s">
        <v>2682</v>
      </c>
      <c r="H2194" s="458" t="s">
        <v>1327</v>
      </c>
      <c r="I2194" s="142" t="str">
        <f t="shared" si="10"/>
        <v>discount revenue Impact cb cpaf q</v>
      </c>
      <c r="J2194" s="458" t="s">
        <v>1509</v>
      </c>
      <c r="K2194" s="172" t="s">
        <v>2226</v>
      </c>
      <c r="L2194" s="159"/>
      <c r="M2194" s="159"/>
      <c r="N2194" s="159"/>
      <c r="O2194" s="159"/>
      <c r="P2194" s="159"/>
      <c r="Q2194" s="159"/>
      <c r="R2194" s="159"/>
      <c r="S2194" s="159"/>
    </row>
    <row r="2195" spans="1:19" ht="38.5">
      <c r="A2195" s="105" t="s">
        <v>2683</v>
      </c>
      <c r="B2195" s="105"/>
      <c r="C2195" s="105"/>
      <c r="D2195" s="105" t="s">
        <v>263</v>
      </c>
      <c r="E2195" s="105" t="s">
        <v>2684</v>
      </c>
      <c r="F2195" s="122" t="s">
        <v>2235</v>
      </c>
      <c r="G2195" s="105" t="s">
        <v>2685</v>
      </c>
      <c r="H2195" s="105" t="s">
        <v>1327</v>
      </c>
      <c r="I2195" s="142" t="str">
        <f t="shared" si="10"/>
        <v xml:space="preserve">total revenue bd cpaf q </v>
      </c>
      <c r="J2195" s="105" t="s">
        <v>2686</v>
      </c>
      <c r="K2195" s="172" t="s">
        <v>2226</v>
      </c>
      <c r="L2195" s="159"/>
      <c r="M2195" s="159"/>
      <c r="N2195" s="159"/>
      <c r="O2195" s="159"/>
      <c r="P2195" s="159"/>
      <c r="Q2195" s="159"/>
      <c r="R2195" s="159"/>
      <c r="S2195" s="159"/>
    </row>
    <row r="2196" spans="1:19" ht="37.5">
      <c r="A2196" s="105" t="s">
        <v>2687</v>
      </c>
      <c r="B2196" s="105"/>
      <c r="C2196" s="105"/>
      <c r="D2196" s="105" t="s">
        <v>263</v>
      </c>
      <c r="E2196" s="105" t="s">
        <v>5238</v>
      </c>
      <c r="F2196" s="122" t="s">
        <v>2235</v>
      </c>
      <c r="G2196" s="105" t="s">
        <v>2688</v>
      </c>
      <c r="H2196" s="105" t="s">
        <v>1327</v>
      </c>
      <c r="I2196" s="142" t="str">
        <f t="shared" si="10"/>
        <v>net revenue bd cpaf q</v>
      </c>
      <c r="J2196" s="105" t="s">
        <v>2686</v>
      </c>
      <c r="K2196" s="172" t="s">
        <v>2226</v>
      </c>
      <c r="L2196" s="159"/>
      <c r="M2196" s="159"/>
      <c r="N2196" s="159"/>
      <c r="O2196" s="159"/>
      <c r="P2196" s="159"/>
      <c r="Q2196" s="159"/>
      <c r="R2196" s="159"/>
      <c r="S2196" s="159"/>
    </row>
    <row r="2197" spans="1:19" ht="175" customHeight="1">
      <c r="A2197" s="105" t="s">
        <v>2689</v>
      </c>
      <c r="B2197" s="105"/>
      <c r="C2197" s="205"/>
      <c r="D2197" s="105" t="s">
        <v>263</v>
      </c>
      <c r="E2197" s="204" t="s">
        <v>5239</v>
      </c>
      <c r="F2197" s="122" t="s">
        <v>2235</v>
      </c>
      <c r="G2197" s="105" t="s">
        <v>2690</v>
      </c>
      <c r="H2197" s="105" t="s">
        <v>1293</v>
      </c>
      <c r="I2197" s="142" t="str">
        <f t="shared" si="10"/>
        <v>customer cnt cpaf q</v>
      </c>
      <c r="J2197" s="458" t="s">
        <v>2369</v>
      </c>
      <c r="K2197" s="172" t="s">
        <v>2226</v>
      </c>
    </row>
    <row r="2198" spans="1:19" ht="75">
      <c r="A2198" s="105" t="s">
        <v>2691</v>
      </c>
      <c r="B2198" s="105"/>
      <c r="C2198" s="105"/>
      <c r="D2198" s="105" t="s">
        <v>263</v>
      </c>
      <c r="E2198" s="454" t="s">
        <v>5240</v>
      </c>
      <c r="F2198" s="122" t="s">
        <v>2235</v>
      </c>
      <c r="G2198" s="105" t="s">
        <v>2692</v>
      </c>
      <c r="H2198" s="105" t="s">
        <v>1293</v>
      </c>
      <c r="I2198" s="142" t="str">
        <f t="shared" ref="I2198:I2201" si="11">SUBSTITUTE(G2198,"_"," ")</f>
        <v>customer cnt cb cpaf q</v>
      </c>
      <c r="J2198" s="458" t="s">
        <v>2369</v>
      </c>
      <c r="K2198" s="172" t="s">
        <v>2226</v>
      </c>
    </row>
    <row r="2199" spans="1:19" ht="409.5">
      <c r="A2199" s="120" t="s">
        <v>2674</v>
      </c>
      <c r="B2199" s="105"/>
      <c r="C2199" s="105"/>
      <c r="D2199" s="148" t="s">
        <v>263</v>
      </c>
      <c r="E2199" s="172" t="s">
        <v>2693</v>
      </c>
      <c r="F2199" s="151" t="s">
        <v>2235</v>
      </c>
      <c r="G2199" s="148" t="s">
        <v>2694</v>
      </c>
      <c r="H2199" s="148" t="s">
        <v>1293</v>
      </c>
      <c r="I2199" s="151" t="str">
        <f t="shared" si="11"/>
        <v>discount subscriber cnt cpaf q</v>
      </c>
      <c r="J2199" s="148" t="s">
        <v>1509</v>
      </c>
      <c r="K2199" s="172" t="s">
        <v>2226</v>
      </c>
    </row>
    <row r="2200" spans="1:19" ht="62.5">
      <c r="A2200" s="105" t="s">
        <v>2695</v>
      </c>
      <c r="B2200" s="105"/>
      <c r="C2200" s="105"/>
      <c r="D2200" s="105"/>
      <c r="E2200" s="105" t="s">
        <v>2696</v>
      </c>
      <c r="F2200" s="151" t="s">
        <v>2235</v>
      </c>
      <c r="G2200" s="105" t="s">
        <v>2697</v>
      </c>
      <c r="H2200" s="105" t="s">
        <v>1327</v>
      </c>
      <c r="I2200" s="105" t="str">
        <f t="shared" si="11"/>
        <v>gross margin band dim cpaf q</v>
      </c>
      <c r="J2200" s="105"/>
      <c r="K2200" s="172" t="s">
        <v>2226</v>
      </c>
    </row>
    <row r="2201" spans="1:19" ht="37.5">
      <c r="A2201" s="105" t="s">
        <v>2698</v>
      </c>
      <c r="B2201" s="105"/>
      <c r="C2201" s="205"/>
      <c r="D2201" s="105" t="s">
        <v>263</v>
      </c>
      <c r="E2201" s="119" t="s">
        <v>2699</v>
      </c>
      <c r="F2201" s="122" t="s">
        <v>2235</v>
      </c>
      <c r="G2201" s="105" t="s">
        <v>2700</v>
      </c>
      <c r="H2201" s="105" t="s">
        <v>1293</v>
      </c>
      <c r="I2201" s="142" t="str">
        <f t="shared" si="11"/>
        <v>customer cnt pr cpaf q</v>
      </c>
      <c r="J2201" s="458" t="s">
        <v>2369</v>
      </c>
      <c r="K2201" s="172" t="s">
        <v>2226</v>
      </c>
    </row>
    <row r="2202" spans="1:19" ht="50">
      <c r="A2202" s="105" t="s">
        <v>2701</v>
      </c>
      <c r="B2202" s="105"/>
      <c r="C2202" s="105"/>
      <c r="D2202" s="105" t="s">
        <v>263</v>
      </c>
      <c r="E2202" s="178" t="s">
        <v>5235</v>
      </c>
      <c r="F2202" s="122" t="s">
        <v>2235</v>
      </c>
      <c r="G2202" s="105" t="s">
        <v>2702</v>
      </c>
      <c r="H2202" s="105" t="s">
        <v>1293</v>
      </c>
      <c r="I2202" s="142" t="str">
        <f t="shared" ref="I2202" si="12">SUBSTITUTE(G2202,"_"," ")</f>
        <v>customer cnt pr cb cpaf q</v>
      </c>
      <c r="J2202" s="458" t="s">
        <v>2369</v>
      </c>
      <c r="K2202" s="172" t="s">
        <v>2226</v>
      </c>
    </row>
    <row r="2203" spans="1:19" ht="37.5">
      <c r="A2203" s="105" t="s">
        <v>2703</v>
      </c>
      <c r="B2203" s="105"/>
      <c r="C2203" s="205"/>
      <c r="D2203" s="105" t="s">
        <v>263</v>
      </c>
      <c r="E2203" s="119" t="s">
        <v>2704</v>
      </c>
      <c r="F2203" s="122" t="s">
        <v>2235</v>
      </c>
      <c r="G2203" s="105" t="s">
        <v>2705</v>
      </c>
      <c r="H2203" s="105" t="s">
        <v>1293</v>
      </c>
      <c r="I2203" s="105"/>
      <c r="J2203" s="458" t="s">
        <v>2369</v>
      </c>
      <c r="K2203" s="172" t="s">
        <v>2226</v>
      </c>
    </row>
    <row r="2204" spans="1:19" ht="50">
      <c r="A2204" s="105" t="s">
        <v>2703</v>
      </c>
      <c r="B2204" s="105"/>
      <c r="C2204" s="105"/>
      <c r="D2204" s="105" t="s">
        <v>263</v>
      </c>
      <c r="E2204" s="178" t="s">
        <v>5236</v>
      </c>
      <c r="F2204" s="122" t="s">
        <v>2235</v>
      </c>
      <c r="G2204" s="105" t="s">
        <v>2706</v>
      </c>
      <c r="H2204" s="105" t="s">
        <v>1293</v>
      </c>
      <c r="I2204" s="105"/>
      <c r="J2204" s="458" t="s">
        <v>2369</v>
      </c>
      <c r="K2204" s="172" t="s">
        <v>2226</v>
      </c>
    </row>
    <row r="2205" spans="1:19" ht="37.5">
      <c r="A2205" s="105" t="s">
        <v>2703</v>
      </c>
      <c r="B2205" s="105"/>
      <c r="C2205" s="205"/>
      <c r="D2205" s="105" t="s">
        <v>263</v>
      </c>
      <c r="E2205" s="119" t="s">
        <v>2707</v>
      </c>
      <c r="F2205" s="122" t="s">
        <v>2235</v>
      </c>
      <c r="G2205" s="41" t="s">
        <v>2708</v>
      </c>
      <c r="H2205" s="105" t="s">
        <v>1293</v>
      </c>
      <c r="I2205" s="105"/>
      <c r="J2205" s="458" t="s">
        <v>2369</v>
      </c>
      <c r="K2205" s="172" t="s">
        <v>2226</v>
      </c>
    </row>
    <row r="2206" spans="1:19" ht="50">
      <c r="A2206" s="105" t="s">
        <v>2703</v>
      </c>
      <c r="B2206" s="105"/>
      <c r="C2206" s="105"/>
      <c r="D2206" s="105" t="s">
        <v>263</v>
      </c>
      <c r="E2206" s="178" t="s">
        <v>5237</v>
      </c>
      <c r="F2206" s="122" t="s">
        <v>2235</v>
      </c>
      <c r="G2206" s="41" t="s">
        <v>2709</v>
      </c>
      <c r="H2206" s="105" t="s">
        <v>1293</v>
      </c>
      <c r="I2206" s="105"/>
      <c r="J2206" s="458" t="s">
        <v>2369</v>
      </c>
      <c r="K2206" s="172" t="s">
        <v>2226</v>
      </c>
    </row>
    <row r="2207" spans="1:19" ht="14.5">
      <c r="A2207" s="105" t="s">
        <v>2703</v>
      </c>
      <c r="B2207" s="41" t="s">
        <v>832</v>
      </c>
      <c r="C2207" s="105"/>
      <c r="D2207" s="105" t="s">
        <v>93</v>
      </c>
      <c r="E2207" s="105"/>
      <c r="F2207" s="122" t="s">
        <v>2235</v>
      </c>
      <c r="G2207" s="41" t="s">
        <v>832</v>
      </c>
      <c r="H2207" s="105" t="s">
        <v>1292</v>
      </c>
      <c r="I2207" s="105"/>
      <c r="J2207" s="458" t="s">
        <v>2369</v>
      </c>
      <c r="K2207" s="172" t="s">
        <v>2226</v>
      </c>
    </row>
    <row r="2208" spans="1:19" ht="14.5">
      <c r="A2208" s="105" t="s">
        <v>2703</v>
      </c>
      <c r="B2208" s="41" t="s">
        <v>711</v>
      </c>
      <c r="C2208" s="105"/>
      <c r="D2208" s="105" t="s">
        <v>93</v>
      </c>
      <c r="E2208" s="105"/>
      <c r="F2208" s="122" t="s">
        <v>2235</v>
      </c>
      <c r="G2208" s="41" t="s">
        <v>711</v>
      </c>
      <c r="H2208" s="105" t="s">
        <v>1292</v>
      </c>
      <c r="I2208" s="105"/>
      <c r="J2208" s="458" t="s">
        <v>2369</v>
      </c>
      <c r="K2208" s="172" t="s">
        <v>2226</v>
      </c>
    </row>
    <row r="2209" spans="1:19">
      <c r="A2209" s="105" t="s">
        <v>2703</v>
      </c>
      <c r="B2209" s="105" t="s">
        <v>391</v>
      </c>
      <c r="C2209" s="105"/>
      <c r="D2209" s="105" t="s">
        <v>93</v>
      </c>
      <c r="E2209" s="105"/>
      <c r="F2209" s="122" t="s">
        <v>2235</v>
      </c>
      <c r="G2209" s="105" t="s">
        <v>391</v>
      </c>
      <c r="H2209" s="105" t="s">
        <v>1292</v>
      </c>
      <c r="I2209" s="105"/>
      <c r="J2209" s="458" t="s">
        <v>2369</v>
      </c>
      <c r="K2209" s="172" t="s">
        <v>2226</v>
      </c>
    </row>
    <row r="2210" spans="1:19" ht="100">
      <c r="A2210" s="492" t="s">
        <v>5244</v>
      </c>
      <c r="B2210" s="492" t="s">
        <v>3049</v>
      </c>
      <c r="C2210" s="492"/>
      <c r="D2210" s="492" t="s">
        <v>263</v>
      </c>
      <c r="E2210" s="493" t="s">
        <v>5234</v>
      </c>
      <c r="F2210" s="451" t="s">
        <v>2235</v>
      </c>
      <c r="G2210" s="492" t="s">
        <v>5250</v>
      </c>
      <c r="H2210" s="492" t="s">
        <v>1292</v>
      </c>
      <c r="I2210" s="492"/>
      <c r="J2210" s="494" t="s">
        <v>2369</v>
      </c>
      <c r="K2210" s="484" t="s">
        <v>2226</v>
      </c>
    </row>
    <row r="2211" spans="1:19" ht="50">
      <c r="A2211" s="492" t="s">
        <v>5245</v>
      </c>
      <c r="B2211" s="492" t="s">
        <v>5246</v>
      </c>
      <c r="C2211" s="492"/>
      <c r="D2211" s="492" t="s">
        <v>263</v>
      </c>
      <c r="E2211" s="492" t="s">
        <v>5247</v>
      </c>
      <c r="F2211" s="451" t="s">
        <v>2235</v>
      </c>
      <c r="G2211" s="492" t="s">
        <v>5251</v>
      </c>
      <c r="H2211" s="492" t="s">
        <v>1292</v>
      </c>
      <c r="I2211" s="492"/>
      <c r="J2211" s="494" t="s">
        <v>2369</v>
      </c>
      <c r="K2211" s="484" t="s">
        <v>2226</v>
      </c>
    </row>
    <row r="2212" spans="1:19" ht="62.5">
      <c r="A2212" s="492" t="s">
        <v>5248</v>
      </c>
      <c r="B2212" s="492" t="s">
        <v>5223</v>
      </c>
      <c r="C2212" s="492"/>
      <c r="D2212" s="492" t="s">
        <v>263</v>
      </c>
      <c r="E2212" s="492" t="s">
        <v>5249</v>
      </c>
      <c r="F2212" s="451" t="s">
        <v>2235</v>
      </c>
      <c r="G2212" s="492" t="s">
        <v>5252</v>
      </c>
      <c r="H2212" s="492" t="s">
        <v>1292</v>
      </c>
      <c r="I2212" s="492"/>
      <c r="J2212" s="494" t="s">
        <v>2369</v>
      </c>
      <c r="K2212" s="484" t="s">
        <v>2226</v>
      </c>
    </row>
    <row r="2213" spans="1:19" ht="50">
      <c r="A2213" s="492" t="s">
        <v>5245</v>
      </c>
      <c r="B2213" s="492" t="s">
        <v>5246</v>
      </c>
      <c r="C2213" s="492"/>
      <c r="D2213" s="492" t="s">
        <v>263</v>
      </c>
      <c r="E2213" s="492" t="s">
        <v>5246</v>
      </c>
      <c r="F2213" s="451" t="s">
        <v>2235</v>
      </c>
      <c r="G2213" s="492" t="s">
        <v>5253</v>
      </c>
      <c r="H2213" s="492" t="s">
        <v>1292</v>
      </c>
      <c r="I2213" s="492"/>
      <c r="J2213" s="494" t="s">
        <v>2369</v>
      </c>
      <c r="K2213" s="484" t="s">
        <v>2226</v>
      </c>
    </row>
    <row r="2218" spans="1:19" ht="15" customHeight="1">
      <c r="A2218" s="522" t="s">
        <v>2710</v>
      </c>
      <c r="B2218" s="523"/>
      <c r="C2218" s="523"/>
      <c r="D2218" s="523"/>
      <c r="E2218" s="523"/>
      <c r="F2218" s="523"/>
      <c r="G2218" s="523"/>
      <c r="H2218" s="523"/>
      <c r="I2218" s="523"/>
      <c r="J2218" s="523"/>
      <c r="K2218" s="523"/>
    </row>
    <row r="2220" spans="1:19" ht="14.5">
      <c r="A2220" s="183" t="s">
        <v>2711</v>
      </c>
      <c r="B2220"/>
      <c r="C2220"/>
      <c r="D2220"/>
      <c r="E2220"/>
      <c r="F2220"/>
      <c r="G2220" s="71"/>
      <c r="H2220"/>
      <c r="I2220"/>
      <c r="J2220"/>
    </row>
    <row r="2221" spans="1:19" ht="187.5">
      <c r="A2221" s="356" t="s">
        <v>2712</v>
      </c>
      <c r="B2221"/>
      <c r="C2221"/>
      <c r="D2221"/>
      <c r="E2221"/>
      <c r="F2221"/>
      <c r="G2221" s="71"/>
      <c r="H2221"/>
      <c r="I2221"/>
      <c r="J2221"/>
      <c r="K2221" s="159"/>
      <c r="L2221" s="159"/>
      <c r="M2221" s="159"/>
      <c r="N2221" s="159"/>
      <c r="O2221" s="159"/>
      <c r="P2221" s="159"/>
      <c r="Q2221" s="159"/>
      <c r="R2221" s="159"/>
      <c r="S2221" s="159"/>
    </row>
    <row r="2222" spans="1:19" ht="13">
      <c r="A2222" s="183" t="s">
        <v>73</v>
      </c>
      <c r="B2222" s="249" t="s">
        <v>74</v>
      </c>
      <c r="C2222" s="152" t="s">
        <v>75</v>
      </c>
      <c r="D2222" s="114" t="s">
        <v>76</v>
      </c>
      <c r="E2222" s="153" t="s">
        <v>77</v>
      </c>
      <c r="F2222" s="114" t="s">
        <v>78</v>
      </c>
      <c r="G2222" s="185" t="s">
        <v>79</v>
      </c>
      <c r="H2222" s="152" t="s">
        <v>80</v>
      </c>
      <c r="I2222" s="114" t="s">
        <v>683</v>
      </c>
      <c r="J2222" s="114" t="s">
        <v>2225</v>
      </c>
      <c r="K2222" s="153" t="s">
        <v>261</v>
      </c>
    </row>
    <row r="2223" spans="1:19">
      <c r="A2223" s="274" t="s">
        <v>1408</v>
      </c>
      <c r="B2223" s="122" t="s">
        <v>87</v>
      </c>
      <c r="C2223" s="122" t="s">
        <v>351</v>
      </c>
      <c r="D2223" s="122" t="s">
        <v>686</v>
      </c>
      <c r="E2223" s="122"/>
      <c r="F2223" s="120" t="s">
        <v>2713</v>
      </c>
      <c r="G2223" s="131" t="s">
        <v>1242</v>
      </c>
      <c r="H2223" s="122" t="s">
        <v>351</v>
      </c>
      <c r="I2223" s="122" t="s">
        <v>87</v>
      </c>
      <c r="J2223" s="122"/>
      <c r="K2223" s="122" t="s">
        <v>2714</v>
      </c>
      <c r="L2223" s="159"/>
      <c r="M2223" s="159"/>
      <c r="N2223" s="159"/>
      <c r="O2223" s="159"/>
      <c r="P2223" s="159"/>
      <c r="Q2223" s="159"/>
      <c r="R2223" s="159"/>
      <c r="S2223" s="159"/>
    </row>
    <row r="2224" spans="1:19">
      <c r="A2224" s="393" t="s">
        <v>1408</v>
      </c>
      <c r="B2224" s="354" t="s">
        <v>1122</v>
      </c>
      <c r="C2224" s="354" t="s">
        <v>1292</v>
      </c>
      <c r="D2224" s="354" t="s">
        <v>686</v>
      </c>
      <c r="E2224" s="354"/>
      <c r="F2224" s="382" t="s">
        <v>2713</v>
      </c>
      <c r="G2224" s="149" t="s">
        <v>1123</v>
      </c>
      <c r="H2224" s="354" t="s">
        <v>1292</v>
      </c>
      <c r="I2224" s="354" t="s">
        <v>1122</v>
      </c>
      <c r="J2224" s="354"/>
      <c r="K2224" s="122" t="s">
        <v>2714</v>
      </c>
      <c r="L2224" s="159"/>
      <c r="M2224" s="159"/>
      <c r="N2224" s="159"/>
      <c r="O2224" s="159"/>
      <c r="P2224" s="159"/>
      <c r="Q2224" s="159"/>
      <c r="R2224" s="159"/>
      <c r="S2224" s="159"/>
    </row>
    <row r="2225" spans="1:19">
      <c r="A2225" s="274" t="s">
        <v>1408</v>
      </c>
      <c r="B2225" s="122" t="s">
        <v>1415</v>
      </c>
      <c r="C2225" s="122" t="s">
        <v>351</v>
      </c>
      <c r="D2225" s="122" t="s">
        <v>686</v>
      </c>
      <c r="E2225" s="122"/>
      <c r="F2225" s="120" t="s">
        <v>2713</v>
      </c>
      <c r="G2225" s="131" t="s">
        <v>2715</v>
      </c>
      <c r="H2225" s="122" t="s">
        <v>351</v>
      </c>
      <c r="I2225" s="122" t="s">
        <v>1415</v>
      </c>
      <c r="J2225" s="122"/>
      <c r="K2225" s="122" t="s">
        <v>2714</v>
      </c>
      <c r="L2225" s="159"/>
      <c r="M2225" s="159"/>
      <c r="N2225" s="159"/>
      <c r="O2225" s="159"/>
      <c r="P2225" s="159"/>
      <c r="Q2225" s="159"/>
      <c r="R2225" s="159"/>
      <c r="S2225" s="159"/>
    </row>
    <row r="2226" spans="1:19" ht="14.5">
      <c r="A2226" s="390"/>
      <c r="B2226"/>
      <c r="C2226"/>
      <c r="D2226"/>
      <c r="E2226"/>
      <c r="F2226" s="97"/>
      <c r="G2226" s="71"/>
      <c r="H2226"/>
      <c r="I2226"/>
      <c r="J2226"/>
    </row>
    <row r="2227" spans="1:19" ht="14.5">
      <c r="A2227" s="183" t="s">
        <v>2716</v>
      </c>
      <c r="B2227"/>
      <c r="C2227"/>
      <c r="D2227"/>
      <c r="E2227"/>
      <c r="F2227" s="97"/>
      <c r="G2227" s="71"/>
      <c r="H2227"/>
      <c r="I2227"/>
      <c r="J2227"/>
    </row>
    <row r="2228" spans="1:19" ht="13">
      <c r="A2228" s="183" t="s">
        <v>73</v>
      </c>
      <c r="B2228" s="249" t="s">
        <v>74</v>
      </c>
      <c r="C2228" s="152" t="s">
        <v>75</v>
      </c>
      <c r="D2228" s="114" t="s">
        <v>76</v>
      </c>
      <c r="E2228" s="153" t="s">
        <v>77</v>
      </c>
      <c r="F2228" s="114" t="s">
        <v>78</v>
      </c>
      <c r="G2228" s="114" t="s">
        <v>79</v>
      </c>
      <c r="H2228" s="152" t="s">
        <v>80</v>
      </c>
      <c r="I2228" s="114" t="s">
        <v>683</v>
      </c>
      <c r="J2228" s="114" t="s">
        <v>2225</v>
      </c>
      <c r="K2228" s="153" t="s">
        <v>261</v>
      </c>
    </row>
    <row r="2229" spans="1:19" ht="25">
      <c r="A2229" s="356" t="s">
        <v>2717</v>
      </c>
      <c r="B2229" s="356" t="s">
        <v>87</v>
      </c>
      <c r="C2229" s="356" t="s">
        <v>262</v>
      </c>
      <c r="D2229" s="356" t="s">
        <v>686</v>
      </c>
      <c r="E2229" s="120"/>
      <c r="F2229" s="356" t="s">
        <v>2716</v>
      </c>
      <c r="G2229" s="356" t="s">
        <v>1242</v>
      </c>
      <c r="H2229" s="356" t="s">
        <v>262</v>
      </c>
      <c r="I2229" s="356" t="s">
        <v>1478</v>
      </c>
      <c r="J2229" s="356"/>
      <c r="K2229" s="122" t="s">
        <v>2714</v>
      </c>
      <c r="L2229" s="159"/>
      <c r="M2229" s="159"/>
      <c r="N2229" s="159"/>
      <c r="O2229" s="159"/>
      <c r="P2229" s="159"/>
      <c r="Q2229" s="159"/>
      <c r="R2229" s="159"/>
      <c r="S2229" s="159"/>
    </row>
    <row r="2230" spans="1:19" ht="25">
      <c r="A2230" s="356" t="s">
        <v>2717</v>
      </c>
      <c r="B2230" s="356" t="s">
        <v>92</v>
      </c>
      <c r="C2230" s="356" t="s">
        <v>267</v>
      </c>
      <c r="D2230" s="356" t="s">
        <v>686</v>
      </c>
      <c r="E2230" s="120"/>
      <c r="F2230" s="356" t="s">
        <v>2716</v>
      </c>
      <c r="G2230" s="356" t="s">
        <v>310</v>
      </c>
      <c r="H2230" s="356" t="s">
        <v>267</v>
      </c>
      <c r="I2230" s="356" t="s">
        <v>2718</v>
      </c>
      <c r="J2230" s="356"/>
      <c r="K2230" s="122" t="s">
        <v>2714</v>
      </c>
      <c r="L2230" s="159"/>
      <c r="M2230" s="159"/>
      <c r="N2230" s="159"/>
      <c r="O2230" s="159"/>
      <c r="P2230" s="159"/>
      <c r="Q2230" s="159"/>
      <c r="R2230" s="159"/>
      <c r="S2230" s="159"/>
    </row>
    <row r="2231" spans="1:19" ht="25">
      <c r="A2231" s="356" t="s">
        <v>2717</v>
      </c>
      <c r="B2231" s="356" t="s">
        <v>95</v>
      </c>
      <c r="C2231" s="356" t="s">
        <v>267</v>
      </c>
      <c r="D2231" s="356" t="s">
        <v>686</v>
      </c>
      <c r="E2231" s="120"/>
      <c r="F2231" s="356" t="s">
        <v>2716</v>
      </c>
      <c r="G2231" s="356" t="s">
        <v>312</v>
      </c>
      <c r="H2231" s="356" t="s">
        <v>267</v>
      </c>
      <c r="I2231" s="356" t="s">
        <v>2719</v>
      </c>
      <c r="J2231" s="356"/>
      <c r="K2231" s="122" t="s">
        <v>2714</v>
      </c>
      <c r="L2231" s="159"/>
      <c r="M2231" s="159"/>
      <c r="N2231" s="159"/>
      <c r="O2231" s="159"/>
      <c r="P2231" s="159"/>
      <c r="Q2231" s="159"/>
      <c r="R2231" s="159"/>
      <c r="S2231" s="159"/>
    </row>
    <row r="2232" spans="1:19" ht="25">
      <c r="A2232" s="356" t="s">
        <v>2717</v>
      </c>
      <c r="B2232" s="376" t="s">
        <v>99</v>
      </c>
      <c r="C2232" s="356" t="s">
        <v>267</v>
      </c>
      <c r="D2232" s="356" t="s">
        <v>686</v>
      </c>
      <c r="E2232" s="120"/>
      <c r="F2232" s="356" t="s">
        <v>2716</v>
      </c>
      <c r="G2232" s="376" t="s">
        <v>99</v>
      </c>
      <c r="H2232" s="356" t="s">
        <v>267</v>
      </c>
      <c r="I2232" s="356"/>
      <c r="J2232" s="356"/>
      <c r="K2232" s="122" t="s">
        <v>2714</v>
      </c>
      <c r="L2232" s="159"/>
      <c r="M2232" s="159"/>
      <c r="N2232" s="159"/>
      <c r="O2232" s="159"/>
      <c r="P2232" s="159"/>
      <c r="Q2232" s="159"/>
      <c r="R2232" s="159"/>
      <c r="S2232" s="159"/>
    </row>
    <row r="2233" spans="1:19" ht="25">
      <c r="A2233" s="356" t="s">
        <v>2717</v>
      </c>
      <c r="B2233" s="376" t="s">
        <v>2240</v>
      </c>
      <c r="C2233" s="356" t="s">
        <v>267</v>
      </c>
      <c r="D2233" s="356" t="s">
        <v>686</v>
      </c>
      <c r="E2233" s="120"/>
      <c r="F2233" s="356" t="s">
        <v>2716</v>
      </c>
      <c r="G2233" s="376" t="s">
        <v>2240</v>
      </c>
      <c r="H2233" s="356" t="s">
        <v>267</v>
      </c>
      <c r="I2233" s="356"/>
      <c r="J2233" s="356" t="s">
        <v>2720</v>
      </c>
      <c r="K2233" s="122" t="s">
        <v>2714</v>
      </c>
      <c r="L2233" s="159"/>
      <c r="M2233" s="159"/>
      <c r="N2233" s="159"/>
      <c r="O2233" s="159"/>
      <c r="P2233" s="159"/>
      <c r="Q2233" s="159"/>
      <c r="R2233" s="159"/>
      <c r="S2233" s="159"/>
    </row>
    <row r="2234" spans="1:19" ht="50">
      <c r="A2234" s="356" t="s">
        <v>2717</v>
      </c>
      <c r="B2234" s="356"/>
      <c r="C2234" s="356"/>
      <c r="D2234" s="356" t="s">
        <v>263</v>
      </c>
      <c r="E2234" s="120" t="s">
        <v>2721</v>
      </c>
      <c r="F2234" s="356" t="s">
        <v>2716</v>
      </c>
      <c r="G2234" s="356" t="s">
        <v>2722</v>
      </c>
      <c r="H2234" s="122" t="s">
        <v>280</v>
      </c>
      <c r="I2234" s="356"/>
      <c r="J2234" s="356" t="s">
        <v>2720</v>
      </c>
      <c r="K2234" s="122" t="s">
        <v>2714</v>
      </c>
      <c r="L2234" s="159"/>
      <c r="M2234" s="159"/>
      <c r="N2234" s="159"/>
      <c r="O2234" s="159"/>
      <c r="P2234" s="159"/>
      <c r="Q2234" s="159"/>
      <c r="R2234" s="159"/>
      <c r="S2234" s="159"/>
    </row>
    <row r="2235" spans="1:19" ht="37.5">
      <c r="A2235" s="356" t="s">
        <v>2717</v>
      </c>
      <c r="B2235" s="356"/>
      <c r="C2235" s="356"/>
      <c r="D2235" s="356" t="s">
        <v>263</v>
      </c>
      <c r="E2235" s="120" t="s">
        <v>2723</v>
      </c>
      <c r="F2235" s="356" t="s">
        <v>2716</v>
      </c>
      <c r="G2235" s="356" t="s">
        <v>2724</v>
      </c>
      <c r="H2235" s="122" t="s">
        <v>280</v>
      </c>
      <c r="I2235" s="356"/>
      <c r="J2235" s="356" t="s">
        <v>2720</v>
      </c>
      <c r="K2235" s="122" t="s">
        <v>2714</v>
      </c>
      <c r="L2235" s="159"/>
      <c r="M2235" s="159"/>
      <c r="N2235" s="159"/>
      <c r="O2235" s="159"/>
      <c r="P2235" s="159"/>
      <c r="Q2235" s="159"/>
      <c r="R2235" s="159"/>
      <c r="S2235" s="159"/>
    </row>
    <row r="2236" spans="1:19" ht="75">
      <c r="A2236" s="356" t="s">
        <v>2717</v>
      </c>
      <c r="B2236" s="356"/>
      <c r="C2236" s="356"/>
      <c r="D2236" s="356" t="s">
        <v>263</v>
      </c>
      <c r="E2236" s="120" t="s">
        <v>2725</v>
      </c>
      <c r="F2236" s="356" t="s">
        <v>2716</v>
      </c>
      <c r="G2236" s="356" t="s">
        <v>2726</v>
      </c>
      <c r="H2236" s="122" t="s">
        <v>280</v>
      </c>
      <c r="I2236" s="356"/>
      <c r="J2236" s="356" t="s">
        <v>2720</v>
      </c>
      <c r="K2236" s="122" t="s">
        <v>2714</v>
      </c>
      <c r="L2236" s="159"/>
      <c r="M2236" s="159"/>
      <c r="N2236" s="159"/>
      <c r="O2236" s="159"/>
      <c r="P2236" s="159"/>
      <c r="Q2236" s="159"/>
      <c r="R2236" s="159"/>
      <c r="S2236" s="159"/>
    </row>
    <row r="2237" spans="1:19" ht="62.5">
      <c r="A2237" s="356" t="s">
        <v>2717</v>
      </c>
      <c r="B2237" s="356"/>
      <c r="C2237" s="356"/>
      <c r="D2237" s="356" t="s">
        <v>263</v>
      </c>
      <c r="E2237" s="120" t="s">
        <v>2727</v>
      </c>
      <c r="F2237" s="356" t="s">
        <v>2716</v>
      </c>
      <c r="G2237" s="356" t="s">
        <v>2728</v>
      </c>
      <c r="H2237" s="122" t="s">
        <v>280</v>
      </c>
      <c r="I2237" s="356"/>
      <c r="J2237" s="356" t="s">
        <v>2720</v>
      </c>
      <c r="K2237" s="122" t="s">
        <v>2714</v>
      </c>
      <c r="L2237" s="159"/>
      <c r="M2237" s="159"/>
      <c r="N2237" s="159"/>
      <c r="O2237" s="159"/>
      <c r="P2237" s="159"/>
      <c r="Q2237" s="159"/>
      <c r="R2237" s="159"/>
      <c r="S2237" s="159"/>
    </row>
    <row r="2238" spans="1:19" ht="37.5">
      <c r="A2238" s="356" t="s">
        <v>2717</v>
      </c>
      <c r="B2238" s="356"/>
      <c r="C2238" s="356"/>
      <c r="D2238" s="356" t="s">
        <v>263</v>
      </c>
      <c r="E2238" s="120" t="s">
        <v>2729</v>
      </c>
      <c r="F2238" s="356" t="s">
        <v>2716</v>
      </c>
      <c r="G2238" s="356" t="s">
        <v>2730</v>
      </c>
      <c r="H2238" s="122" t="s">
        <v>280</v>
      </c>
      <c r="I2238" s="356"/>
      <c r="J2238" s="356" t="s">
        <v>2720</v>
      </c>
      <c r="K2238" s="122" t="s">
        <v>2714</v>
      </c>
      <c r="L2238" s="159"/>
      <c r="M2238" s="159"/>
      <c r="N2238" s="159"/>
      <c r="O2238" s="159"/>
      <c r="P2238" s="159"/>
      <c r="Q2238" s="159"/>
      <c r="R2238" s="159"/>
      <c r="S2238" s="159"/>
    </row>
    <row r="2239" spans="1:19" ht="37.5">
      <c r="A2239" s="356" t="s">
        <v>2717</v>
      </c>
      <c r="B2239" s="356"/>
      <c r="C2239" s="356"/>
      <c r="D2239" s="356" t="s">
        <v>263</v>
      </c>
      <c r="E2239" s="120" t="s">
        <v>2731</v>
      </c>
      <c r="F2239" s="356" t="s">
        <v>2716</v>
      </c>
      <c r="G2239" s="356" t="s">
        <v>2732</v>
      </c>
      <c r="H2239" s="122" t="s">
        <v>280</v>
      </c>
      <c r="I2239" s="356"/>
      <c r="J2239" s="356" t="s">
        <v>2720</v>
      </c>
      <c r="K2239" s="122" t="s">
        <v>2714</v>
      </c>
      <c r="L2239" s="159"/>
      <c r="M2239" s="159"/>
      <c r="N2239" s="159"/>
      <c r="O2239" s="159"/>
      <c r="P2239" s="159"/>
      <c r="Q2239" s="159"/>
      <c r="R2239" s="159"/>
      <c r="S2239" s="159"/>
    </row>
    <row r="2240" spans="1:19" ht="119.5" customHeight="1">
      <c r="A2240" s="356" t="s">
        <v>2717</v>
      </c>
      <c r="B2240" s="356"/>
      <c r="C2240" s="356"/>
      <c r="D2240" s="356" t="s">
        <v>263</v>
      </c>
      <c r="E2240" s="120" t="s">
        <v>2733</v>
      </c>
      <c r="F2240" s="356" t="s">
        <v>2716</v>
      </c>
      <c r="G2240" s="356" t="s">
        <v>2734</v>
      </c>
      <c r="H2240" s="122" t="s">
        <v>280</v>
      </c>
      <c r="I2240" s="356"/>
      <c r="J2240" s="356" t="s">
        <v>2720</v>
      </c>
      <c r="K2240" s="122" t="s">
        <v>2714</v>
      </c>
      <c r="L2240" s="159"/>
      <c r="M2240" s="159"/>
      <c r="N2240" s="159"/>
      <c r="O2240" s="159"/>
      <c r="P2240" s="159"/>
      <c r="Q2240" s="159"/>
      <c r="R2240" s="159"/>
      <c r="S2240" s="159"/>
    </row>
    <row r="2241" spans="1:19" ht="25">
      <c r="A2241" s="356" t="s">
        <v>2717</v>
      </c>
      <c r="B2241" s="356"/>
      <c r="C2241" s="356"/>
      <c r="D2241" s="356" t="s">
        <v>263</v>
      </c>
      <c r="E2241" s="120" t="s">
        <v>2735</v>
      </c>
      <c r="F2241" s="356" t="s">
        <v>2716</v>
      </c>
      <c r="G2241" s="356" t="s">
        <v>2736</v>
      </c>
      <c r="H2241" s="122" t="s">
        <v>280</v>
      </c>
      <c r="I2241" s="356"/>
      <c r="J2241" s="356" t="s">
        <v>2720</v>
      </c>
      <c r="K2241" s="122" t="s">
        <v>2714</v>
      </c>
      <c r="L2241" s="159"/>
      <c r="M2241" s="159"/>
      <c r="N2241" s="159"/>
      <c r="O2241" s="159"/>
      <c r="P2241" s="159"/>
      <c r="Q2241" s="159"/>
      <c r="R2241" s="159"/>
      <c r="S2241" s="159"/>
    </row>
    <row r="2242" spans="1:19" ht="37.5">
      <c r="A2242" s="356"/>
      <c r="B2242" s="356"/>
      <c r="C2242" s="356"/>
      <c r="D2242" s="356"/>
      <c r="E2242" s="120" t="s">
        <v>2737</v>
      </c>
      <c r="F2242" s="356" t="s">
        <v>2716</v>
      </c>
      <c r="G2242" s="356" t="s">
        <v>2738</v>
      </c>
      <c r="H2242" s="122" t="s">
        <v>280</v>
      </c>
      <c r="I2242" s="356"/>
      <c r="J2242" s="356" t="s">
        <v>2720</v>
      </c>
      <c r="K2242" s="122" t="s">
        <v>2714</v>
      </c>
      <c r="L2242" s="159"/>
      <c r="M2242" s="159"/>
      <c r="N2242" s="159"/>
      <c r="O2242" s="159"/>
      <c r="P2242" s="159"/>
      <c r="Q2242" s="159"/>
      <c r="R2242" s="159"/>
      <c r="S2242" s="159"/>
    </row>
    <row r="2243" spans="1:19" ht="87.5">
      <c r="A2243" s="356" t="s">
        <v>2717</v>
      </c>
      <c r="B2243" s="356"/>
      <c r="C2243" s="356"/>
      <c r="D2243" s="356" t="s">
        <v>263</v>
      </c>
      <c r="E2243" s="120" t="s">
        <v>2739</v>
      </c>
      <c r="F2243" s="356" t="s">
        <v>2716</v>
      </c>
      <c r="G2243" s="356" t="s">
        <v>2740</v>
      </c>
      <c r="H2243" s="122" t="s">
        <v>280</v>
      </c>
      <c r="I2243" s="356"/>
      <c r="J2243" s="356" t="s">
        <v>2720</v>
      </c>
      <c r="K2243" s="122" t="s">
        <v>2714</v>
      </c>
      <c r="L2243" s="159"/>
      <c r="M2243" s="159"/>
      <c r="N2243" s="159"/>
      <c r="O2243" s="159"/>
      <c r="P2243" s="159"/>
      <c r="Q2243" s="159"/>
      <c r="R2243" s="159"/>
      <c r="S2243" s="159"/>
    </row>
    <row r="2244" spans="1:19" ht="37.5">
      <c r="A2244" s="356" t="s">
        <v>2717</v>
      </c>
      <c r="B2244" s="356"/>
      <c r="C2244" s="356"/>
      <c r="D2244" s="356" t="s">
        <v>263</v>
      </c>
      <c r="E2244" s="120" t="s">
        <v>2741</v>
      </c>
      <c r="F2244" s="356" t="s">
        <v>2716</v>
      </c>
      <c r="G2244" s="356" t="s">
        <v>2742</v>
      </c>
      <c r="H2244" s="122" t="s">
        <v>280</v>
      </c>
      <c r="I2244" s="356"/>
      <c r="J2244" s="356" t="s">
        <v>2720</v>
      </c>
      <c r="K2244" s="122" t="s">
        <v>2714</v>
      </c>
      <c r="L2244" s="159"/>
      <c r="M2244" s="159"/>
      <c r="N2244" s="159"/>
      <c r="O2244" s="159"/>
      <c r="P2244" s="159"/>
      <c r="Q2244" s="159"/>
      <c r="R2244" s="159"/>
      <c r="S2244" s="159"/>
    </row>
    <row r="2245" spans="1:19" ht="100">
      <c r="A2245" s="356" t="s">
        <v>2717</v>
      </c>
      <c r="B2245" s="356"/>
      <c r="C2245" s="356"/>
      <c r="D2245" s="356" t="s">
        <v>263</v>
      </c>
      <c r="E2245" s="120" t="s">
        <v>2743</v>
      </c>
      <c r="F2245" s="356" t="s">
        <v>2716</v>
      </c>
      <c r="G2245" s="356" t="s">
        <v>2744</v>
      </c>
      <c r="H2245" s="122" t="s">
        <v>280</v>
      </c>
      <c r="I2245" s="356"/>
      <c r="J2245" s="356" t="s">
        <v>2720</v>
      </c>
      <c r="K2245" s="122" t="s">
        <v>2714</v>
      </c>
      <c r="L2245" s="159"/>
      <c r="M2245" s="159"/>
      <c r="N2245" s="159"/>
      <c r="O2245" s="159"/>
      <c r="P2245" s="159"/>
      <c r="Q2245" s="159"/>
      <c r="R2245" s="159"/>
      <c r="S2245" s="159"/>
    </row>
    <row r="2246" spans="1:19" ht="65.5" customHeight="1">
      <c r="A2246" s="513" t="s">
        <v>2717</v>
      </c>
      <c r="B2246" s="513"/>
      <c r="C2246" s="513"/>
      <c r="D2246" s="513" t="s">
        <v>263</v>
      </c>
      <c r="E2246" s="514" t="s">
        <v>5260</v>
      </c>
      <c r="F2246" s="513" t="s">
        <v>2716</v>
      </c>
      <c r="G2246" s="513" t="s">
        <v>5259</v>
      </c>
      <c r="H2246" s="451" t="s">
        <v>280</v>
      </c>
      <c r="I2246" s="513"/>
      <c r="J2246" s="513" t="s">
        <v>2720</v>
      </c>
      <c r="K2246" s="451" t="s">
        <v>2714</v>
      </c>
      <c r="L2246" s="159"/>
      <c r="M2246" s="159"/>
      <c r="N2246" s="159"/>
      <c r="O2246" s="159"/>
      <c r="P2246" s="159"/>
      <c r="Q2246" s="159"/>
      <c r="R2246" s="159"/>
      <c r="S2246" s="159"/>
    </row>
    <row r="2247" spans="1:19" ht="25">
      <c r="A2247" s="356" t="s">
        <v>2717</v>
      </c>
      <c r="B2247" s="356"/>
      <c r="C2247" s="356"/>
      <c r="D2247" s="356" t="s">
        <v>263</v>
      </c>
      <c r="E2247" s="120" t="s">
        <v>2745</v>
      </c>
      <c r="F2247" s="356" t="s">
        <v>2716</v>
      </c>
      <c r="G2247" s="356" t="s">
        <v>2746</v>
      </c>
      <c r="H2247" s="122" t="s">
        <v>280</v>
      </c>
      <c r="I2247" s="356"/>
      <c r="J2247" s="356" t="s">
        <v>2720</v>
      </c>
      <c r="K2247" s="122" t="s">
        <v>2714</v>
      </c>
      <c r="L2247" s="159"/>
      <c r="M2247" s="159"/>
      <c r="N2247" s="159"/>
      <c r="O2247" s="159"/>
      <c r="P2247" s="159"/>
      <c r="Q2247" s="159"/>
      <c r="R2247" s="159"/>
      <c r="S2247" s="159"/>
    </row>
    <row r="2248" spans="1:19" ht="25.5">
      <c r="A2248" s="513" t="s">
        <v>2717</v>
      </c>
      <c r="B2248" s="513"/>
      <c r="C2248" s="513"/>
      <c r="D2248" s="513" t="s">
        <v>263</v>
      </c>
      <c r="E2248" s="514" t="s">
        <v>5262</v>
      </c>
      <c r="F2248" s="513" t="s">
        <v>2716</v>
      </c>
      <c r="G2248" s="513" t="s">
        <v>2747</v>
      </c>
      <c r="H2248" s="451" t="s">
        <v>280</v>
      </c>
      <c r="I2248" s="513"/>
      <c r="J2248" s="513" t="s">
        <v>2720</v>
      </c>
      <c r="K2248" s="451" t="s">
        <v>2714</v>
      </c>
      <c r="L2248" s="159"/>
      <c r="M2248" s="159"/>
      <c r="N2248" s="159"/>
      <c r="O2248" s="159"/>
      <c r="P2248" s="159"/>
      <c r="Q2248" s="159"/>
      <c r="R2248" s="159"/>
      <c r="S2248" s="159"/>
    </row>
    <row r="2249" spans="1:19" ht="75">
      <c r="A2249" s="356" t="s">
        <v>2717</v>
      </c>
      <c r="B2249" s="356"/>
      <c r="C2249" s="356"/>
      <c r="D2249" s="356" t="s">
        <v>263</v>
      </c>
      <c r="E2249" s="120" t="s">
        <v>2748</v>
      </c>
      <c r="F2249" s="356" t="s">
        <v>2716</v>
      </c>
      <c r="G2249" s="356" t="s">
        <v>2749</v>
      </c>
      <c r="H2249" s="122" t="s">
        <v>280</v>
      </c>
      <c r="I2249" s="356"/>
      <c r="J2249" s="356" t="s">
        <v>2720</v>
      </c>
      <c r="K2249" s="122" t="s">
        <v>2714</v>
      </c>
      <c r="L2249" s="159"/>
      <c r="M2249" s="159"/>
      <c r="N2249" s="159"/>
      <c r="O2249" s="159"/>
      <c r="P2249" s="159"/>
      <c r="Q2249" s="159"/>
      <c r="R2249" s="159"/>
      <c r="S2249" s="159"/>
    </row>
    <row r="2250" spans="1:19" ht="75">
      <c r="A2250" s="356" t="s">
        <v>2717</v>
      </c>
      <c r="B2250" s="356"/>
      <c r="C2250" s="356"/>
      <c r="D2250" s="356" t="s">
        <v>263</v>
      </c>
      <c r="E2250" s="120" t="s">
        <v>2750</v>
      </c>
      <c r="F2250" s="356" t="s">
        <v>2716</v>
      </c>
      <c r="G2250" s="356" t="s">
        <v>2751</v>
      </c>
      <c r="H2250" s="122" t="s">
        <v>280</v>
      </c>
      <c r="I2250" s="356"/>
      <c r="J2250" s="356" t="s">
        <v>2720</v>
      </c>
      <c r="K2250" s="122" t="s">
        <v>2714</v>
      </c>
      <c r="L2250" s="159"/>
      <c r="M2250" s="159"/>
      <c r="N2250" s="159"/>
      <c r="O2250" s="159"/>
      <c r="P2250" s="159"/>
      <c r="Q2250" s="159"/>
      <c r="R2250" s="159"/>
      <c r="S2250" s="159"/>
    </row>
    <row r="2251" spans="1:19" ht="25">
      <c r="A2251" s="356" t="s">
        <v>2717</v>
      </c>
      <c r="B2251" s="356"/>
      <c r="C2251" s="356"/>
      <c r="D2251" s="356" t="s">
        <v>263</v>
      </c>
      <c r="E2251" s="120" t="s">
        <v>2752</v>
      </c>
      <c r="F2251" s="356" t="s">
        <v>2716</v>
      </c>
      <c r="G2251" s="356" t="s">
        <v>2753</v>
      </c>
      <c r="H2251" s="122" t="s">
        <v>280</v>
      </c>
      <c r="I2251" s="356"/>
      <c r="J2251" s="356" t="s">
        <v>2720</v>
      </c>
      <c r="K2251" s="122" t="s">
        <v>2714</v>
      </c>
      <c r="L2251" s="159"/>
      <c r="M2251" s="159"/>
      <c r="N2251" s="159"/>
      <c r="O2251" s="159"/>
      <c r="P2251" s="159"/>
      <c r="Q2251" s="159"/>
      <c r="R2251" s="159"/>
      <c r="S2251" s="159"/>
    </row>
    <row r="2252" spans="1:19" ht="25">
      <c r="A2252" s="356" t="s">
        <v>2717</v>
      </c>
      <c r="B2252" s="356"/>
      <c r="C2252" s="356"/>
      <c r="D2252" s="356" t="s">
        <v>263</v>
      </c>
      <c r="E2252" s="120" t="s">
        <v>2754</v>
      </c>
      <c r="F2252" s="356" t="s">
        <v>2716</v>
      </c>
      <c r="G2252" s="356" t="s">
        <v>2755</v>
      </c>
      <c r="H2252" s="122" t="s">
        <v>280</v>
      </c>
      <c r="I2252" s="356"/>
      <c r="J2252" s="356" t="s">
        <v>2720</v>
      </c>
      <c r="K2252" s="122" t="s">
        <v>2714</v>
      </c>
      <c r="L2252" s="159"/>
      <c r="M2252" s="159"/>
      <c r="N2252" s="159"/>
      <c r="O2252" s="159"/>
      <c r="P2252" s="159"/>
      <c r="Q2252" s="159"/>
      <c r="R2252" s="159"/>
      <c r="S2252" s="159"/>
    </row>
    <row r="2253" spans="1:19" ht="150">
      <c r="A2253" s="120" t="s">
        <v>2756</v>
      </c>
      <c r="B2253" s="356"/>
      <c r="C2253" s="356"/>
      <c r="D2253" s="356" t="s">
        <v>263</v>
      </c>
      <c r="E2253" s="120" t="s">
        <v>2757</v>
      </c>
      <c r="F2253" s="356" t="s">
        <v>2716</v>
      </c>
      <c r="G2253" s="356" t="s">
        <v>2758</v>
      </c>
      <c r="H2253" s="122" t="s">
        <v>280</v>
      </c>
      <c r="I2253" s="356"/>
      <c r="J2253" s="356" t="s">
        <v>2720</v>
      </c>
      <c r="K2253" s="122" t="s">
        <v>2714</v>
      </c>
      <c r="L2253" s="159"/>
      <c r="M2253" s="159"/>
      <c r="N2253" s="159"/>
      <c r="O2253" s="159"/>
      <c r="P2253" s="159"/>
      <c r="Q2253" s="159"/>
      <c r="R2253" s="159"/>
      <c r="S2253" s="159"/>
    </row>
    <row r="2254" spans="1:19" ht="50">
      <c r="A2254" s="356" t="s">
        <v>2717</v>
      </c>
      <c r="B2254" s="356"/>
      <c r="C2254" s="356"/>
      <c r="D2254" s="356" t="s">
        <v>263</v>
      </c>
      <c r="E2254" s="120" t="s">
        <v>2759</v>
      </c>
      <c r="F2254" s="356" t="s">
        <v>2716</v>
      </c>
      <c r="G2254" s="356" t="s">
        <v>2760</v>
      </c>
      <c r="H2254" s="122" t="s">
        <v>280</v>
      </c>
      <c r="I2254" s="356"/>
      <c r="J2254" s="356" t="s">
        <v>2720</v>
      </c>
      <c r="K2254" s="122" t="s">
        <v>2714</v>
      </c>
      <c r="L2254" s="159"/>
      <c r="M2254" s="159"/>
      <c r="N2254" s="159"/>
      <c r="O2254" s="159"/>
      <c r="P2254" s="159"/>
      <c r="Q2254" s="159"/>
      <c r="R2254" s="159"/>
      <c r="S2254" s="159"/>
    </row>
    <row r="2255" spans="1:19" ht="50">
      <c r="A2255" s="356" t="s">
        <v>2717</v>
      </c>
      <c r="B2255" s="356"/>
      <c r="C2255" s="356"/>
      <c r="D2255" s="356" t="s">
        <v>263</v>
      </c>
      <c r="E2255" s="120" t="s">
        <v>2761</v>
      </c>
      <c r="F2255" s="356" t="s">
        <v>2716</v>
      </c>
      <c r="G2255" s="356" t="s">
        <v>2762</v>
      </c>
      <c r="H2255" s="122" t="s">
        <v>280</v>
      </c>
      <c r="I2255" s="356"/>
      <c r="J2255" s="356" t="s">
        <v>2720</v>
      </c>
      <c r="K2255" s="122" t="s">
        <v>2714</v>
      </c>
      <c r="L2255" s="159"/>
      <c r="M2255" s="159"/>
      <c r="N2255" s="159"/>
      <c r="O2255" s="159"/>
      <c r="P2255" s="159"/>
      <c r="Q2255" s="159"/>
      <c r="R2255" s="159"/>
      <c r="S2255" s="159"/>
    </row>
    <row r="2256" spans="1:19" ht="25">
      <c r="A2256" s="356" t="s">
        <v>2717</v>
      </c>
      <c r="B2256" s="356"/>
      <c r="C2256" s="356"/>
      <c r="D2256" s="356" t="s">
        <v>263</v>
      </c>
      <c r="E2256" s="120" t="s">
        <v>2763</v>
      </c>
      <c r="F2256" s="356" t="s">
        <v>2716</v>
      </c>
      <c r="G2256" s="356" t="s">
        <v>2764</v>
      </c>
      <c r="H2256" s="122" t="s">
        <v>280</v>
      </c>
      <c r="I2256" s="356"/>
      <c r="J2256" s="356" t="s">
        <v>2720</v>
      </c>
      <c r="K2256" s="122" t="s">
        <v>2714</v>
      </c>
      <c r="L2256" s="159"/>
      <c r="M2256" s="159"/>
      <c r="N2256" s="159"/>
      <c r="O2256" s="159"/>
      <c r="P2256" s="159"/>
      <c r="Q2256" s="159"/>
      <c r="R2256" s="159"/>
      <c r="S2256" s="159"/>
    </row>
    <row r="2257" spans="1:19" ht="62.5">
      <c r="A2257" s="356" t="s">
        <v>2717</v>
      </c>
      <c r="B2257" s="356"/>
      <c r="C2257" s="356"/>
      <c r="D2257" s="356" t="s">
        <v>263</v>
      </c>
      <c r="E2257" s="120" t="s">
        <v>2765</v>
      </c>
      <c r="F2257" s="356" t="s">
        <v>2716</v>
      </c>
      <c r="G2257" s="356" t="s">
        <v>2766</v>
      </c>
      <c r="H2257" s="122" t="s">
        <v>280</v>
      </c>
      <c r="I2257" s="356"/>
      <c r="J2257" s="356" t="s">
        <v>2720</v>
      </c>
      <c r="K2257" s="122" t="s">
        <v>2714</v>
      </c>
      <c r="L2257" s="159"/>
      <c r="M2257" s="159"/>
      <c r="N2257" s="159"/>
      <c r="O2257" s="159"/>
      <c r="P2257" s="159"/>
      <c r="Q2257" s="159"/>
      <c r="R2257" s="159"/>
      <c r="S2257" s="159"/>
    </row>
    <row r="2258" spans="1:19" ht="62.5">
      <c r="A2258" s="356" t="s">
        <v>2717</v>
      </c>
      <c r="B2258" s="356"/>
      <c r="C2258" s="356"/>
      <c r="D2258" s="356" t="s">
        <v>263</v>
      </c>
      <c r="E2258" s="120" t="s">
        <v>2767</v>
      </c>
      <c r="F2258" s="356" t="s">
        <v>2716</v>
      </c>
      <c r="G2258" s="356" t="s">
        <v>2768</v>
      </c>
      <c r="H2258" s="122" t="s">
        <v>280</v>
      </c>
      <c r="I2258" s="356"/>
      <c r="J2258" s="356" t="s">
        <v>2720</v>
      </c>
      <c r="K2258" s="122" t="s">
        <v>2714</v>
      </c>
      <c r="L2258" s="159"/>
      <c r="M2258" s="159"/>
      <c r="N2258" s="159"/>
      <c r="O2258" s="159"/>
      <c r="P2258" s="159"/>
      <c r="Q2258" s="159"/>
      <c r="R2258" s="159"/>
      <c r="S2258" s="159"/>
    </row>
    <row r="2259" spans="1:19" ht="25">
      <c r="A2259" s="356" t="s">
        <v>2717</v>
      </c>
      <c r="B2259" s="356"/>
      <c r="C2259" s="356"/>
      <c r="D2259" s="356" t="s">
        <v>263</v>
      </c>
      <c r="E2259" s="120" t="s">
        <v>2769</v>
      </c>
      <c r="F2259" s="356" t="s">
        <v>2716</v>
      </c>
      <c r="G2259" s="356" t="s">
        <v>2770</v>
      </c>
      <c r="H2259" s="122" t="s">
        <v>280</v>
      </c>
      <c r="I2259" s="356"/>
      <c r="J2259" s="356" t="s">
        <v>2720</v>
      </c>
      <c r="K2259" s="122" t="s">
        <v>2714</v>
      </c>
      <c r="L2259" s="159"/>
      <c r="M2259" s="159"/>
      <c r="N2259" s="159"/>
      <c r="O2259" s="159"/>
      <c r="P2259" s="159"/>
      <c r="Q2259" s="159"/>
      <c r="R2259" s="159"/>
      <c r="S2259" s="159"/>
    </row>
    <row r="2260" spans="1:19" ht="25">
      <c r="A2260" s="356" t="s">
        <v>2717</v>
      </c>
      <c r="B2260" s="356"/>
      <c r="C2260" s="356"/>
      <c r="D2260" s="356" t="s">
        <v>263</v>
      </c>
      <c r="E2260" s="120" t="s">
        <v>2771</v>
      </c>
      <c r="F2260" s="356" t="s">
        <v>2716</v>
      </c>
      <c r="G2260" s="356" t="s">
        <v>2772</v>
      </c>
      <c r="H2260" s="122" t="s">
        <v>280</v>
      </c>
      <c r="I2260" s="356"/>
      <c r="J2260" s="356" t="s">
        <v>2720</v>
      </c>
      <c r="K2260" s="122" t="s">
        <v>2714</v>
      </c>
      <c r="L2260" s="159"/>
      <c r="M2260" s="159"/>
      <c r="N2260" s="159"/>
      <c r="O2260" s="159"/>
      <c r="P2260" s="159"/>
      <c r="Q2260" s="159"/>
      <c r="R2260" s="159"/>
      <c r="S2260" s="159"/>
    </row>
    <row r="2261" spans="1:19" ht="37.5">
      <c r="A2261" s="356" t="s">
        <v>2717</v>
      </c>
      <c r="B2261" s="356"/>
      <c r="C2261" s="356"/>
      <c r="D2261" s="356" t="s">
        <v>263</v>
      </c>
      <c r="E2261" s="120" t="s">
        <v>2773</v>
      </c>
      <c r="F2261" s="356" t="s">
        <v>2716</v>
      </c>
      <c r="G2261" s="356" t="s">
        <v>2774</v>
      </c>
      <c r="H2261" s="122" t="s">
        <v>280</v>
      </c>
      <c r="I2261" s="356"/>
      <c r="J2261" s="356" t="s">
        <v>2720</v>
      </c>
      <c r="K2261" s="122" t="s">
        <v>2714</v>
      </c>
      <c r="L2261" s="159"/>
      <c r="M2261" s="159"/>
      <c r="N2261" s="159"/>
      <c r="O2261" s="159"/>
      <c r="P2261" s="159"/>
      <c r="Q2261" s="159"/>
      <c r="R2261" s="159"/>
      <c r="S2261" s="159"/>
    </row>
    <row r="2262" spans="1:19" ht="37.5">
      <c r="A2262" s="356" t="s">
        <v>2717</v>
      </c>
      <c r="B2262" s="356"/>
      <c r="C2262" s="356"/>
      <c r="D2262" s="356" t="s">
        <v>263</v>
      </c>
      <c r="E2262" s="120" t="s">
        <v>2775</v>
      </c>
      <c r="F2262" s="356" t="s">
        <v>2716</v>
      </c>
      <c r="G2262" s="282" t="s">
        <v>2776</v>
      </c>
      <c r="H2262" s="122" t="s">
        <v>280</v>
      </c>
      <c r="I2262" s="356"/>
      <c r="J2262" s="356" t="s">
        <v>2720</v>
      </c>
      <c r="K2262" s="122" t="s">
        <v>2714</v>
      </c>
      <c r="L2262" s="159"/>
      <c r="M2262" s="159"/>
      <c r="N2262" s="159"/>
      <c r="O2262" s="159"/>
      <c r="P2262" s="159"/>
      <c r="Q2262" s="159"/>
      <c r="R2262" s="159"/>
      <c r="S2262" s="159"/>
    </row>
    <row r="2263" spans="1:19" ht="50.5">
      <c r="A2263" s="356" t="s">
        <v>2717</v>
      </c>
      <c r="B2263" s="376"/>
      <c r="C2263" s="376"/>
      <c r="D2263" s="389" t="s">
        <v>263</v>
      </c>
      <c r="E2263" s="118" t="s">
        <v>2777</v>
      </c>
      <c r="F2263" s="356" t="s">
        <v>2716</v>
      </c>
      <c r="G2263" s="118" t="s">
        <v>2778</v>
      </c>
      <c r="H2263" s="118" t="s">
        <v>1293</v>
      </c>
      <c r="I2263" s="376"/>
      <c r="J2263" s="376" t="s">
        <v>2720</v>
      </c>
      <c r="K2263" s="122" t="s">
        <v>2714</v>
      </c>
      <c r="L2263" s="159"/>
      <c r="M2263" s="159"/>
      <c r="N2263" s="159"/>
      <c r="O2263" s="159"/>
      <c r="P2263" s="159"/>
      <c r="Q2263" s="159"/>
      <c r="R2263" s="159"/>
      <c r="S2263" s="159"/>
    </row>
    <row r="2264" spans="1:19" ht="75.5">
      <c r="A2264" s="356" t="s">
        <v>2717</v>
      </c>
      <c r="B2264" s="376"/>
      <c r="C2264" s="376"/>
      <c r="D2264" s="389" t="s">
        <v>263</v>
      </c>
      <c r="E2264" s="118" t="s">
        <v>2779</v>
      </c>
      <c r="F2264" s="356" t="s">
        <v>2716</v>
      </c>
      <c r="G2264" s="118" t="s">
        <v>2780</v>
      </c>
      <c r="H2264" s="118" t="s">
        <v>1293</v>
      </c>
      <c r="I2264" s="376"/>
      <c r="J2264" s="376" t="s">
        <v>2720</v>
      </c>
      <c r="K2264" s="122" t="s">
        <v>2714</v>
      </c>
      <c r="L2264" s="159"/>
      <c r="M2264" s="159"/>
      <c r="N2264" s="159"/>
      <c r="O2264" s="159"/>
      <c r="P2264" s="159"/>
      <c r="Q2264" s="159"/>
      <c r="R2264" s="159"/>
      <c r="S2264" s="159"/>
    </row>
    <row r="2265" spans="1:19" ht="156">
      <c r="A2265" s="356" t="s">
        <v>2717</v>
      </c>
      <c r="B2265" s="376"/>
      <c r="C2265" s="376"/>
      <c r="D2265" s="389" t="s">
        <v>263</v>
      </c>
      <c r="E2265" s="375" t="s">
        <v>2781</v>
      </c>
      <c r="F2265" s="356" t="s">
        <v>2716</v>
      </c>
      <c r="G2265" s="118" t="s">
        <v>2782</v>
      </c>
      <c r="H2265" s="118" t="s">
        <v>267</v>
      </c>
      <c r="I2265" s="376"/>
      <c r="J2265" s="376" t="s">
        <v>2720</v>
      </c>
      <c r="K2265" s="122" t="s">
        <v>2714</v>
      </c>
      <c r="L2265" s="159"/>
      <c r="M2265" s="159"/>
      <c r="N2265" s="159"/>
      <c r="O2265" s="159"/>
      <c r="P2265" s="159"/>
      <c r="Q2265" s="159"/>
      <c r="R2265" s="159"/>
      <c r="S2265" s="159"/>
    </row>
    <row r="2266" spans="1:19" ht="25">
      <c r="A2266" s="356" t="s">
        <v>2717</v>
      </c>
      <c r="B2266" s="376"/>
      <c r="C2266" s="376"/>
      <c r="D2266" s="389" t="s">
        <v>263</v>
      </c>
      <c r="E2266" s="376" t="s">
        <v>2783</v>
      </c>
      <c r="F2266" s="356" t="s">
        <v>2716</v>
      </c>
      <c r="G2266" s="376" t="s">
        <v>2784</v>
      </c>
      <c r="H2266" s="118" t="s">
        <v>274</v>
      </c>
      <c r="I2266" s="376"/>
      <c r="J2266" s="376" t="s">
        <v>2720</v>
      </c>
      <c r="K2266" s="122" t="s">
        <v>2714</v>
      </c>
      <c r="L2266" s="159"/>
      <c r="M2266" s="159"/>
      <c r="N2266" s="159"/>
      <c r="O2266" s="159"/>
      <c r="P2266" s="159"/>
      <c r="Q2266" s="159"/>
      <c r="R2266" s="159"/>
      <c r="S2266" s="159"/>
    </row>
    <row r="2267" spans="1:19" ht="25">
      <c r="A2267" s="356" t="s">
        <v>2717</v>
      </c>
      <c r="B2267" s="376"/>
      <c r="C2267" s="376"/>
      <c r="D2267" s="389" t="s">
        <v>263</v>
      </c>
      <c r="E2267" s="376" t="s">
        <v>2785</v>
      </c>
      <c r="F2267" s="356" t="s">
        <v>2716</v>
      </c>
      <c r="G2267" s="376" t="s">
        <v>2786</v>
      </c>
      <c r="H2267" s="118" t="s">
        <v>274</v>
      </c>
      <c r="I2267" s="376"/>
      <c r="J2267" s="376" t="s">
        <v>2720</v>
      </c>
      <c r="K2267" s="122" t="s">
        <v>2714</v>
      </c>
      <c r="L2267" s="159"/>
      <c r="M2267" s="159"/>
      <c r="N2267" s="159"/>
      <c r="O2267" s="159"/>
      <c r="P2267" s="159"/>
      <c r="Q2267" s="159"/>
      <c r="R2267" s="159"/>
      <c r="S2267" s="159"/>
    </row>
    <row r="2268" spans="1:19" ht="25">
      <c r="A2268" s="356" t="s">
        <v>2717</v>
      </c>
      <c r="B2268" s="376"/>
      <c r="C2268" s="376"/>
      <c r="D2268" s="389" t="s">
        <v>263</v>
      </c>
      <c r="E2268" s="376" t="s">
        <v>2787</v>
      </c>
      <c r="F2268" s="356" t="s">
        <v>2716</v>
      </c>
      <c r="G2268" s="376" t="s">
        <v>2788</v>
      </c>
      <c r="H2268" s="118" t="s">
        <v>274</v>
      </c>
      <c r="I2268" s="376"/>
      <c r="J2268" s="376" t="s">
        <v>2720</v>
      </c>
      <c r="K2268" s="122" t="s">
        <v>2714</v>
      </c>
      <c r="L2268" s="159"/>
      <c r="M2268" s="159"/>
      <c r="N2268" s="159"/>
      <c r="O2268" s="159"/>
      <c r="P2268" s="159"/>
      <c r="Q2268" s="159"/>
      <c r="R2268" s="159"/>
      <c r="S2268" s="159"/>
    </row>
    <row r="2269" spans="1:19" ht="25">
      <c r="A2269" s="356" t="s">
        <v>2717</v>
      </c>
      <c r="B2269" s="376"/>
      <c r="C2269" s="376"/>
      <c r="D2269" s="389" t="s">
        <v>263</v>
      </c>
      <c r="E2269" s="376" t="s">
        <v>2789</v>
      </c>
      <c r="F2269" s="356" t="s">
        <v>2716</v>
      </c>
      <c r="G2269" s="376" t="s">
        <v>2790</v>
      </c>
      <c r="H2269" s="118" t="s">
        <v>280</v>
      </c>
      <c r="I2269" s="376"/>
      <c r="J2269" s="376" t="s">
        <v>2720</v>
      </c>
      <c r="K2269" s="122" t="s">
        <v>2714</v>
      </c>
      <c r="L2269" s="159"/>
      <c r="M2269" s="159"/>
      <c r="N2269" s="159"/>
      <c r="O2269" s="159"/>
      <c r="P2269" s="159"/>
      <c r="Q2269" s="159"/>
      <c r="R2269" s="159"/>
      <c r="S2269" s="159"/>
    </row>
    <row r="2270" spans="1:19" ht="25">
      <c r="A2270" s="356" t="s">
        <v>2717</v>
      </c>
      <c r="B2270" s="376"/>
      <c r="C2270" s="376"/>
      <c r="D2270" s="389" t="s">
        <v>263</v>
      </c>
      <c r="E2270" s="376" t="s">
        <v>2791</v>
      </c>
      <c r="F2270" s="356" t="s">
        <v>2716</v>
      </c>
      <c r="G2270" s="376" t="s">
        <v>2792</v>
      </c>
      <c r="H2270" s="118" t="s">
        <v>280</v>
      </c>
      <c r="I2270" s="376"/>
      <c r="J2270" s="376" t="s">
        <v>2720</v>
      </c>
      <c r="K2270" s="122" t="s">
        <v>2714</v>
      </c>
      <c r="L2270" s="159"/>
      <c r="M2270" s="159"/>
      <c r="N2270" s="159"/>
      <c r="O2270" s="159"/>
      <c r="P2270" s="159"/>
      <c r="Q2270" s="159"/>
      <c r="R2270" s="159"/>
      <c r="S2270" s="159"/>
    </row>
    <row r="2271" spans="1:19" ht="25">
      <c r="A2271" s="356" t="s">
        <v>2717</v>
      </c>
      <c r="B2271" s="376"/>
      <c r="C2271" s="376"/>
      <c r="D2271" s="389" t="s">
        <v>263</v>
      </c>
      <c r="E2271" s="376" t="s">
        <v>2793</v>
      </c>
      <c r="F2271" s="356" t="s">
        <v>2716</v>
      </c>
      <c r="G2271" s="376" t="s">
        <v>2794</v>
      </c>
      <c r="H2271" s="118" t="s">
        <v>280</v>
      </c>
      <c r="I2271" s="376"/>
      <c r="J2271" s="376" t="s">
        <v>2720</v>
      </c>
      <c r="K2271" s="122" t="s">
        <v>2714</v>
      </c>
      <c r="L2271" s="159"/>
      <c r="M2271" s="159"/>
      <c r="N2271" s="159"/>
      <c r="O2271" s="159"/>
      <c r="P2271" s="159"/>
      <c r="Q2271" s="159"/>
      <c r="R2271" s="159"/>
      <c r="S2271" s="159"/>
    </row>
    <row r="2272" spans="1:19" ht="25">
      <c r="A2272" s="356" t="s">
        <v>2717</v>
      </c>
      <c r="B2272" s="376"/>
      <c r="C2272" s="376"/>
      <c r="D2272" s="389" t="s">
        <v>263</v>
      </c>
      <c r="E2272" s="376" t="s">
        <v>2795</v>
      </c>
      <c r="F2272" s="356" t="s">
        <v>2716</v>
      </c>
      <c r="G2272" s="376" t="s">
        <v>2796</v>
      </c>
      <c r="H2272" s="118" t="s">
        <v>280</v>
      </c>
      <c r="I2272" s="376"/>
      <c r="J2272" s="376" t="s">
        <v>2720</v>
      </c>
      <c r="K2272" s="122" t="s">
        <v>2714</v>
      </c>
      <c r="L2272" s="159"/>
      <c r="M2272" s="159"/>
      <c r="N2272" s="159"/>
      <c r="O2272" s="159"/>
      <c r="P2272" s="159"/>
      <c r="Q2272" s="159"/>
      <c r="R2272" s="159"/>
      <c r="S2272" s="159"/>
    </row>
    <row r="2273" spans="1:19" ht="25">
      <c r="A2273" s="356" t="s">
        <v>2717</v>
      </c>
      <c r="B2273" s="376"/>
      <c r="C2273" s="394"/>
      <c r="D2273" s="389" t="s">
        <v>263</v>
      </c>
      <c r="E2273" s="376" t="s">
        <v>2797</v>
      </c>
      <c r="F2273" s="356" t="s">
        <v>2716</v>
      </c>
      <c r="G2273" s="376" t="s">
        <v>2798</v>
      </c>
      <c r="H2273" s="118" t="s">
        <v>280</v>
      </c>
      <c r="I2273" s="376"/>
      <c r="J2273" s="376" t="s">
        <v>2720</v>
      </c>
      <c r="K2273" s="122" t="s">
        <v>2714</v>
      </c>
      <c r="L2273" s="159"/>
      <c r="M2273" s="159"/>
      <c r="N2273" s="159"/>
      <c r="O2273" s="159"/>
      <c r="P2273" s="159"/>
      <c r="Q2273" s="159"/>
      <c r="R2273" s="159"/>
      <c r="S2273" s="159"/>
    </row>
    <row r="2274" spans="1:19" ht="25">
      <c r="A2274" s="356" t="s">
        <v>2717</v>
      </c>
      <c r="B2274" s="376"/>
      <c r="C2274" s="376"/>
      <c r="D2274" s="389" t="s">
        <v>263</v>
      </c>
      <c r="E2274" s="376" t="s">
        <v>2799</v>
      </c>
      <c r="F2274" s="356" t="s">
        <v>2716</v>
      </c>
      <c r="G2274" s="376" t="s">
        <v>2800</v>
      </c>
      <c r="H2274" s="118" t="s">
        <v>280</v>
      </c>
      <c r="I2274" s="376"/>
      <c r="J2274" s="376" t="s">
        <v>2720</v>
      </c>
      <c r="K2274" s="122" t="s">
        <v>2714</v>
      </c>
      <c r="L2274" s="159"/>
      <c r="M2274" s="159"/>
      <c r="N2274" s="159"/>
      <c r="O2274" s="159"/>
      <c r="P2274" s="159"/>
      <c r="Q2274" s="159"/>
      <c r="R2274" s="159"/>
      <c r="S2274" s="159"/>
    </row>
    <row r="2275" spans="1:19" ht="25">
      <c r="A2275" s="356" t="s">
        <v>2717</v>
      </c>
      <c r="B2275" s="376"/>
      <c r="C2275" s="376"/>
      <c r="D2275" s="389" t="s">
        <v>263</v>
      </c>
      <c r="E2275" s="376" t="s">
        <v>2801</v>
      </c>
      <c r="F2275" s="356" t="s">
        <v>2716</v>
      </c>
      <c r="G2275" s="376" t="s">
        <v>2802</v>
      </c>
      <c r="H2275" s="118" t="s">
        <v>280</v>
      </c>
      <c r="I2275" s="376"/>
      <c r="J2275" s="376" t="s">
        <v>2720</v>
      </c>
      <c r="K2275" s="122" t="s">
        <v>2714</v>
      </c>
      <c r="L2275" s="159"/>
      <c r="M2275" s="159"/>
      <c r="N2275" s="159"/>
      <c r="O2275" s="159"/>
      <c r="P2275" s="159"/>
      <c r="Q2275" s="159"/>
      <c r="R2275" s="159"/>
      <c r="S2275" s="159"/>
    </row>
    <row r="2276" spans="1:19" ht="25">
      <c r="A2276" s="356" t="s">
        <v>2717</v>
      </c>
      <c r="B2276" s="376"/>
      <c r="C2276" s="376"/>
      <c r="D2276" s="389" t="s">
        <v>263</v>
      </c>
      <c r="E2276" s="376" t="s">
        <v>2803</v>
      </c>
      <c r="F2276" s="356" t="s">
        <v>2716</v>
      </c>
      <c r="G2276" s="376" t="s">
        <v>2804</v>
      </c>
      <c r="H2276" s="118" t="s">
        <v>280</v>
      </c>
      <c r="I2276" s="376"/>
      <c r="J2276" s="376" t="s">
        <v>2720</v>
      </c>
      <c r="K2276" s="122" t="s">
        <v>2714</v>
      </c>
      <c r="L2276" s="159"/>
      <c r="M2276" s="159"/>
      <c r="N2276" s="159"/>
      <c r="O2276" s="159"/>
      <c r="P2276" s="159"/>
      <c r="Q2276" s="159"/>
      <c r="R2276" s="159"/>
      <c r="S2276" s="159"/>
    </row>
    <row r="2277" spans="1:19" ht="25">
      <c r="A2277" s="356" t="s">
        <v>2717</v>
      </c>
      <c r="B2277" s="376"/>
      <c r="C2277" s="376"/>
      <c r="D2277" s="389" t="s">
        <v>263</v>
      </c>
      <c r="E2277" s="376" t="s">
        <v>2805</v>
      </c>
      <c r="F2277" s="356" t="s">
        <v>2716</v>
      </c>
      <c r="G2277" s="376" t="s">
        <v>2806</v>
      </c>
      <c r="H2277" s="118" t="s">
        <v>280</v>
      </c>
      <c r="I2277" s="376"/>
      <c r="J2277" s="376" t="s">
        <v>2720</v>
      </c>
      <c r="K2277" s="122" t="s">
        <v>2714</v>
      </c>
      <c r="L2277" s="159"/>
      <c r="M2277" s="159"/>
      <c r="N2277" s="159"/>
      <c r="O2277" s="159"/>
      <c r="P2277" s="159"/>
      <c r="Q2277" s="159"/>
      <c r="R2277" s="159"/>
      <c r="S2277" s="159"/>
    </row>
    <row r="2278" spans="1:19" ht="25">
      <c r="A2278" s="356" t="s">
        <v>2717</v>
      </c>
      <c r="B2278" s="376"/>
      <c r="C2278" s="376"/>
      <c r="D2278" s="389" t="s">
        <v>263</v>
      </c>
      <c r="E2278" s="376" t="s">
        <v>2807</v>
      </c>
      <c r="F2278" s="356" t="s">
        <v>2716</v>
      </c>
      <c r="G2278" s="376" t="s">
        <v>2808</v>
      </c>
      <c r="H2278" s="118" t="s">
        <v>280</v>
      </c>
      <c r="I2278" s="376"/>
      <c r="J2278" s="376" t="s">
        <v>2720</v>
      </c>
      <c r="K2278" s="122" t="s">
        <v>2714</v>
      </c>
      <c r="L2278" s="159"/>
      <c r="M2278" s="159"/>
      <c r="N2278" s="159"/>
      <c r="O2278" s="159"/>
      <c r="P2278" s="159"/>
      <c r="Q2278" s="159"/>
      <c r="R2278" s="159"/>
      <c r="S2278" s="159"/>
    </row>
    <row r="2279" spans="1:19" ht="25">
      <c r="A2279" s="356" t="s">
        <v>2717</v>
      </c>
      <c r="B2279" s="376"/>
      <c r="C2279" s="376"/>
      <c r="D2279" s="389" t="s">
        <v>263</v>
      </c>
      <c r="E2279" s="376" t="s">
        <v>2809</v>
      </c>
      <c r="F2279" s="356" t="s">
        <v>2716</v>
      </c>
      <c r="G2279" s="376" t="s">
        <v>2810</v>
      </c>
      <c r="H2279" s="118" t="s">
        <v>280</v>
      </c>
      <c r="I2279" s="376"/>
      <c r="J2279" s="376" t="s">
        <v>2720</v>
      </c>
      <c r="K2279" s="122" t="s">
        <v>2714</v>
      </c>
      <c r="L2279" s="159"/>
      <c r="M2279" s="159"/>
      <c r="N2279" s="159"/>
      <c r="O2279" s="159"/>
      <c r="P2279" s="159"/>
      <c r="Q2279" s="159"/>
      <c r="R2279" s="159"/>
      <c r="S2279" s="159"/>
    </row>
    <row r="2280" spans="1:19" ht="25">
      <c r="A2280" s="356" t="s">
        <v>2717</v>
      </c>
      <c r="B2280" s="376"/>
      <c r="C2280" s="376"/>
      <c r="D2280" s="389" t="s">
        <v>263</v>
      </c>
      <c r="E2280" s="376" t="s">
        <v>2811</v>
      </c>
      <c r="F2280" s="356" t="s">
        <v>2716</v>
      </c>
      <c r="G2280" s="376" t="s">
        <v>2812</v>
      </c>
      <c r="H2280" s="118" t="s">
        <v>280</v>
      </c>
      <c r="I2280" s="376"/>
      <c r="J2280" s="376" t="s">
        <v>2720</v>
      </c>
      <c r="K2280" s="122" t="s">
        <v>2714</v>
      </c>
      <c r="L2280" s="159"/>
      <c r="M2280" s="159"/>
      <c r="N2280" s="159"/>
      <c r="O2280" s="159"/>
      <c r="P2280" s="159"/>
      <c r="Q2280" s="159"/>
      <c r="R2280" s="159"/>
      <c r="S2280" s="159"/>
    </row>
    <row r="2281" spans="1:19" ht="25">
      <c r="A2281" s="356" t="s">
        <v>2717</v>
      </c>
      <c r="B2281" s="376"/>
      <c r="C2281" s="376"/>
      <c r="D2281" s="389" t="s">
        <v>263</v>
      </c>
      <c r="E2281" s="376" t="s">
        <v>2813</v>
      </c>
      <c r="F2281" s="356" t="s">
        <v>2716</v>
      </c>
      <c r="G2281" s="376" t="s">
        <v>2814</v>
      </c>
      <c r="H2281" s="118" t="s">
        <v>280</v>
      </c>
      <c r="I2281" s="376"/>
      <c r="J2281" s="376" t="s">
        <v>2720</v>
      </c>
      <c r="K2281" s="122" t="s">
        <v>2714</v>
      </c>
      <c r="L2281" s="159"/>
      <c r="M2281" s="159"/>
      <c r="N2281" s="159"/>
      <c r="O2281" s="159"/>
      <c r="P2281" s="159"/>
      <c r="Q2281" s="159"/>
      <c r="R2281" s="159"/>
      <c r="S2281" s="159"/>
    </row>
    <row r="2282" spans="1:19" ht="25">
      <c r="A2282" s="356" t="s">
        <v>2717</v>
      </c>
      <c r="B2282" s="376"/>
      <c r="C2282" s="376"/>
      <c r="D2282" s="389" t="s">
        <v>263</v>
      </c>
      <c r="E2282" s="376" t="s">
        <v>2815</v>
      </c>
      <c r="F2282" s="356" t="s">
        <v>2716</v>
      </c>
      <c r="G2282" s="376" t="s">
        <v>2816</v>
      </c>
      <c r="H2282" s="118" t="s">
        <v>280</v>
      </c>
      <c r="I2282" s="376"/>
      <c r="J2282" s="376" t="s">
        <v>2720</v>
      </c>
      <c r="K2282" s="122" t="s">
        <v>2714</v>
      </c>
      <c r="L2282" s="159"/>
      <c r="M2282" s="159"/>
      <c r="N2282" s="159"/>
      <c r="O2282" s="159"/>
      <c r="P2282" s="159"/>
      <c r="Q2282" s="159"/>
      <c r="R2282" s="159"/>
      <c r="S2282" s="159"/>
    </row>
    <row r="2283" spans="1:19" ht="25">
      <c r="A2283" s="356" t="s">
        <v>2717</v>
      </c>
      <c r="B2283" s="376"/>
      <c r="C2283" s="376"/>
      <c r="D2283" s="389" t="s">
        <v>263</v>
      </c>
      <c r="E2283" s="376" t="s">
        <v>2817</v>
      </c>
      <c r="F2283" s="356" t="s">
        <v>2716</v>
      </c>
      <c r="G2283" s="376" t="s">
        <v>2818</v>
      </c>
      <c r="H2283" s="118" t="s">
        <v>280</v>
      </c>
      <c r="I2283" s="376"/>
      <c r="J2283" s="376" t="s">
        <v>2720</v>
      </c>
      <c r="K2283" s="122" t="s">
        <v>2714</v>
      </c>
      <c r="L2283" s="159"/>
      <c r="M2283" s="159"/>
      <c r="N2283" s="159"/>
      <c r="O2283" s="159"/>
      <c r="P2283" s="159"/>
      <c r="Q2283" s="159"/>
      <c r="R2283" s="159"/>
      <c r="S2283" s="159"/>
    </row>
    <row r="2284" spans="1:19" ht="25">
      <c r="A2284" s="356" t="s">
        <v>2717</v>
      </c>
      <c r="B2284" s="376"/>
      <c r="C2284" s="376"/>
      <c r="D2284" s="389" t="s">
        <v>263</v>
      </c>
      <c r="E2284" s="376" t="s">
        <v>2819</v>
      </c>
      <c r="F2284" s="356" t="s">
        <v>2716</v>
      </c>
      <c r="G2284" s="376" t="s">
        <v>2820</v>
      </c>
      <c r="H2284" s="118" t="s">
        <v>280</v>
      </c>
      <c r="I2284" s="376"/>
      <c r="J2284" s="376" t="s">
        <v>2720</v>
      </c>
      <c r="K2284" s="122" t="s">
        <v>2714</v>
      </c>
      <c r="L2284" s="159"/>
      <c r="M2284" s="159"/>
      <c r="N2284" s="159"/>
      <c r="O2284" s="159"/>
      <c r="P2284" s="159"/>
      <c r="Q2284" s="159"/>
      <c r="R2284" s="159"/>
      <c r="S2284" s="159"/>
    </row>
    <row r="2285" spans="1:19" ht="25">
      <c r="A2285" s="356" t="s">
        <v>2717</v>
      </c>
      <c r="B2285" s="376"/>
      <c r="C2285" s="376"/>
      <c r="D2285" s="389" t="s">
        <v>263</v>
      </c>
      <c r="E2285" s="376" t="s">
        <v>2821</v>
      </c>
      <c r="F2285" s="356" t="s">
        <v>2716</v>
      </c>
      <c r="G2285" s="376" t="s">
        <v>2822</v>
      </c>
      <c r="H2285" s="118" t="s">
        <v>280</v>
      </c>
      <c r="I2285" s="376"/>
      <c r="J2285" s="376" t="s">
        <v>2720</v>
      </c>
      <c r="K2285" s="122" t="s">
        <v>2714</v>
      </c>
      <c r="L2285" s="159"/>
      <c r="M2285" s="159"/>
      <c r="N2285" s="159"/>
      <c r="O2285" s="159"/>
      <c r="P2285" s="159"/>
      <c r="Q2285" s="159"/>
      <c r="R2285" s="159"/>
      <c r="S2285" s="159"/>
    </row>
    <row r="2286" spans="1:19" ht="25">
      <c r="A2286" s="356" t="s">
        <v>2717</v>
      </c>
      <c r="B2286" s="376"/>
      <c r="C2286" s="376"/>
      <c r="D2286" s="389" t="s">
        <v>263</v>
      </c>
      <c r="E2286" s="376" t="s">
        <v>2823</v>
      </c>
      <c r="F2286" s="356" t="s">
        <v>2716</v>
      </c>
      <c r="G2286" s="376" t="s">
        <v>2824</v>
      </c>
      <c r="H2286" s="118" t="s">
        <v>280</v>
      </c>
      <c r="I2286" s="376"/>
      <c r="J2286" s="376" t="s">
        <v>2720</v>
      </c>
      <c r="K2286" s="122" t="s">
        <v>2714</v>
      </c>
      <c r="L2286" s="159"/>
      <c r="M2286" s="159"/>
      <c r="N2286" s="159"/>
      <c r="O2286" s="159"/>
      <c r="P2286" s="159"/>
      <c r="Q2286" s="159"/>
      <c r="R2286" s="159"/>
      <c r="S2286" s="159"/>
    </row>
    <row r="2287" spans="1:19" ht="25">
      <c r="A2287" s="356" t="s">
        <v>2717</v>
      </c>
      <c r="B2287" s="376"/>
      <c r="C2287" s="376"/>
      <c r="D2287" s="389" t="s">
        <v>263</v>
      </c>
      <c r="E2287" s="376" t="s">
        <v>2825</v>
      </c>
      <c r="F2287" s="356" t="s">
        <v>2716</v>
      </c>
      <c r="G2287" s="376" t="s">
        <v>2826</v>
      </c>
      <c r="H2287" s="118" t="s">
        <v>280</v>
      </c>
      <c r="I2287" s="376"/>
      <c r="J2287" s="376" t="s">
        <v>2720</v>
      </c>
      <c r="K2287" s="122" t="s">
        <v>2714</v>
      </c>
      <c r="L2287" s="159"/>
      <c r="M2287" s="159"/>
      <c r="N2287" s="159"/>
      <c r="O2287" s="159"/>
      <c r="P2287" s="159"/>
      <c r="Q2287" s="159"/>
      <c r="R2287" s="159"/>
      <c r="S2287" s="159"/>
    </row>
    <row r="2288" spans="1:19" ht="25">
      <c r="A2288" s="356" t="s">
        <v>2717</v>
      </c>
      <c r="B2288" s="376"/>
      <c r="C2288" s="376"/>
      <c r="D2288" s="389" t="s">
        <v>263</v>
      </c>
      <c r="E2288" s="376" t="s">
        <v>2827</v>
      </c>
      <c r="F2288" s="356" t="s">
        <v>2716</v>
      </c>
      <c r="G2288" s="376" t="s">
        <v>2828</v>
      </c>
      <c r="H2288" s="118" t="s">
        <v>280</v>
      </c>
      <c r="I2288" s="376"/>
      <c r="J2288" s="376" t="s">
        <v>2720</v>
      </c>
      <c r="K2288" s="122" t="s">
        <v>2714</v>
      </c>
      <c r="L2288" s="159"/>
      <c r="M2288" s="159"/>
      <c r="N2288" s="159"/>
      <c r="O2288" s="159"/>
      <c r="P2288" s="159"/>
      <c r="Q2288" s="159"/>
      <c r="R2288" s="159"/>
      <c r="S2288" s="159"/>
    </row>
    <row r="2289" spans="1:19" ht="25">
      <c r="A2289" s="356" t="s">
        <v>2717</v>
      </c>
      <c r="B2289" s="376"/>
      <c r="C2289" s="376"/>
      <c r="D2289" s="389" t="s">
        <v>263</v>
      </c>
      <c r="E2289" s="376" t="s">
        <v>2829</v>
      </c>
      <c r="F2289" s="356" t="s">
        <v>2716</v>
      </c>
      <c r="G2289" s="376" t="s">
        <v>2830</v>
      </c>
      <c r="H2289" s="118" t="s">
        <v>280</v>
      </c>
      <c r="I2289" s="376"/>
      <c r="J2289" s="376" t="s">
        <v>2720</v>
      </c>
      <c r="K2289" s="122" t="s">
        <v>2714</v>
      </c>
      <c r="L2289" s="159"/>
      <c r="M2289" s="159"/>
      <c r="N2289" s="159"/>
      <c r="O2289" s="159"/>
      <c r="P2289" s="159"/>
      <c r="Q2289" s="159"/>
      <c r="R2289" s="159"/>
      <c r="S2289" s="159"/>
    </row>
    <row r="2290" spans="1:19" ht="25">
      <c r="A2290" s="356" t="s">
        <v>2717</v>
      </c>
      <c r="B2290" s="376"/>
      <c r="C2290" s="376"/>
      <c r="D2290" s="389" t="s">
        <v>263</v>
      </c>
      <c r="E2290" s="376" t="s">
        <v>2831</v>
      </c>
      <c r="F2290" s="356" t="s">
        <v>2716</v>
      </c>
      <c r="G2290" s="376" t="s">
        <v>2832</v>
      </c>
      <c r="H2290" s="118" t="s">
        <v>280</v>
      </c>
      <c r="I2290" s="376"/>
      <c r="J2290" s="376" t="s">
        <v>2720</v>
      </c>
      <c r="K2290" s="122" t="s">
        <v>2714</v>
      </c>
      <c r="L2290" s="159"/>
      <c r="M2290" s="159"/>
      <c r="N2290" s="159"/>
      <c r="O2290" s="159"/>
      <c r="P2290" s="159"/>
      <c r="Q2290" s="159"/>
      <c r="R2290" s="159"/>
      <c r="S2290" s="159"/>
    </row>
    <row r="2291" spans="1:19" ht="25">
      <c r="A2291" s="356" t="s">
        <v>2717</v>
      </c>
      <c r="B2291" s="376"/>
      <c r="C2291" s="376"/>
      <c r="D2291" s="389" t="s">
        <v>263</v>
      </c>
      <c r="E2291" s="376" t="s">
        <v>2833</v>
      </c>
      <c r="F2291" s="356" t="s">
        <v>2716</v>
      </c>
      <c r="G2291" s="376" t="s">
        <v>2834</v>
      </c>
      <c r="H2291" s="118" t="s">
        <v>280</v>
      </c>
      <c r="I2291" s="376"/>
      <c r="J2291" s="376" t="s">
        <v>2720</v>
      </c>
      <c r="K2291" s="122" t="s">
        <v>2714</v>
      </c>
      <c r="L2291" s="159"/>
      <c r="M2291" s="159"/>
      <c r="N2291" s="159"/>
      <c r="O2291" s="159"/>
      <c r="P2291" s="159"/>
      <c r="Q2291" s="159"/>
      <c r="R2291" s="159"/>
      <c r="S2291" s="159"/>
    </row>
    <row r="2292" spans="1:19" ht="25">
      <c r="A2292" s="356" t="s">
        <v>2717</v>
      </c>
      <c r="B2292" s="376"/>
      <c r="C2292" s="376"/>
      <c r="D2292" s="389" t="s">
        <v>263</v>
      </c>
      <c r="E2292" s="376" t="s">
        <v>2835</v>
      </c>
      <c r="F2292" s="356" t="s">
        <v>2716</v>
      </c>
      <c r="G2292" s="376" t="s">
        <v>2836</v>
      </c>
      <c r="H2292" s="118" t="s">
        <v>280</v>
      </c>
      <c r="I2292" s="376"/>
      <c r="J2292" s="376" t="s">
        <v>2720</v>
      </c>
      <c r="K2292" s="122" t="s">
        <v>2714</v>
      </c>
      <c r="L2292" s="159"/>
      <c r="M2292" s="159"/>
      <c r="N2292" s="159"/>
      <c r="O2292" s="159"/>
      <c r="P2292" s="159"/>
      <c r="Q2292" s="159"/>
      <c r="R2292" s="159"/>
      <c r="S2292" s="159"/>
    </row>
    <row r="2293" spans="1:19" ht="25">
      <c r="A2293" s="356" t="s">
        <v>2717</v>
      </c>
      <c r="B2293" s="376"/>
      <c r="C2293" s="376"/>
      <c r="D2293" s="389" t="s">
        <v>263</v>
      </c>
      <c r="E2293" s="376" t="s">
        <v>2837</v>
      </c>
      <c r="F2293" s="356" t="s">
        <v>2716</v>
      </c>
      <c r="G2293" s="376" t="s">
        <v>2838</v>
      </c>
      <c r="H2293" s="118" t="s">
        <v>280</v>
      </c>
      <c r="I2293" s="376"/>
      <c r="J2293" s="376" t="s">
        <v>2720</v>
      </c>
      <c r="K2293" s="122" t="s">
        <v>2714</v>
      </c>
      <c r="L2293" s="159"/>
      <c r="M2293" s="159"/>
      <c r="N2293" s="159"/>
      <c r="O2293" s="159"/>
      <c r="P2293" s="159"/>
      <c r="Q2293" s="159"/>
      <c r="R2293" s="159"/>
      <c r="S2293" s="159"/>
    </row>
    <row r="2294" spans="1:19" ht="25">
      <c r="A2294" s="356" t="s">
        <v>2717</v>
      </c>
      <c r="B2294" s="376"/>
      <c r="C2294" s="376"/>
      <c r="D2294" s="389" t="s">
        <v>263</v>
      </c>
      <c r="E2294" s="376" t="s">
        <v>2839</v>
      </c>
      <c r="F2294" s="356" t="s">
        <v>2716</v>
      </c>
      <c r="G2294" s="376" t="s">
        <v>2840</v>
      </c>
      <c r="H2294" s="118" t="s">
        <v>280</v>
      </c>
      <c r="I2294" s="376"/>
      <c r="J2294" s="376" t="s">
        <v>2720</v>
      </c>
      <c r="K2294" s="122" t="s">
        <v>2714</v>
      </c>
      <c r="L2294" s="159"/>
      <c r="M2294" s="159"/>
      <c r="N2294" s="159"/>
      <c r="O2294" s="159"/>
      <c r="P2294" s="159"/>
      <c r="Q2294" s="159"/>
      <c r="R2294" s="159"/>
      <c r="S2294" s="159"/>
    </row>
    <row r="2295" spans="1:19" ht="25">
      <c r="A2295" s="356" t="s">
        <v>2717</v>
      </c>
      <c r="B2295" s="376"/>
      <c r="C2295" s="376"/>
      <c r="D2295" s="389" t="s">
        <v>263</v>
      </c>
      <c r="E2295" s="376" t="s">
        <v>2841</v>
      </c>
      <c r="F2295" s="356" t="s">
        <v>2716</v>
      </c>
      <c r="G2295" s="376" t="s">
        <v>2842</v>
      </c>
      <c r="H2295" s="118" t="s">
        <v>280</v>
      </c>
      <c r="I2295" s="376"/>
      <c r="J2295" s="376" t="s">
        <v>2720</v>
      </c>
      <c r="K2295" s="122" t="s">
        <v>2714</v>
      </c>
      <c r="L2295" s="159"/>
      <c r="M2295" s="159"/>
      <c r="N2295" s="159"/>
      <c r="O2295" s="159"/>
      <c r="P2295" s="159"/>
      <c r="Q2295" s="159"/>
      <c r="R2295" s="159"/>
      <c r="S2295" s="159"/>
    </row>
    <row r="2296" spans="1:19" ht="25">
      <c r="A2296" s="356" t="s">
        <v>2717</v>
      </c>
      <c r="B2296" s="376"/>
      <c r="C2296" s="376"/>
      <c r="D2296" s="389" t="s">
        <v>263</v>
      </c>
      <c r="E2296" s="376" t="s">
        <v>2843</v>
      </c>
      <c r="F2296" s="356" t="s">
        <v>2716</v>
      </c>
      <c r="G2296" s="376" t="s">
        <v>2844</v>
      </c>
      <c r="H2296" s="118" t="s">
        <v>280</v>
      </c>
      <c r="I2296" s="376"/>
      <c r="J2296" s="376" t="s">
        <v>2720</v>
      </c>
      <c r="K2296" s="122" t="s">
        <v>2714</v>
      </c>
      <c r="L2296" s="159"/>
      <c r="M2296" s="159"/>
      <c r="N2296" s="159"/>
      <c r="O2296" s="159"/>
      <c r="P2296" s="159"/>
      <c r="Q2296" s="159"/>
      <c r="R2296" s="159"/>
      <c r="S2296" s="159"/>
    </row>
    <row r="2297" spans="1:19" ht="25">
      <c r="A2297" s="356" t="s">
        <v>2717</v>
      </c>
      <c r="B2297" s="376"/>
      <c r="C2297" s="376"/>
      <c r="D2297" s="389" t="s">
        <v>263</v>
      </c>
      <c r="E2297" s="376" t="s">
        <v>2845</v>
      </c>
      <c r="F2297" s="356" t="s">
        <v>2716</v>
      </c>
      <c r="G2297" s="376" t="s">
        <v>2846</v>
      </c>
      <c r="H2297" s="118" t="s">
        <v>280</v>
      </c>
      <c r="I2297" s="376"/>
      <c r="J2297" s="376" t="s">
        <v>2720</v>
      </c>
      <c r="K2297" s="122" t="s">
        <v>2714</v>
      </c>
      <c r="L2297" s="159"/>
      <c r="M2297" s="159"/>
      <c r="N2297" s="159"/>
      <c r="O2297" s="159"/>
      <c r="P2297" s="159"/>
      <c r="Q2297" s="159"/>
      <c r="R2297" s="159"/>
      <c r="S2297" s="159"/>
    </row>
    <row r="2298" spans="1:19" ht="25">
      <c r="A2298" s="356" t="s">
        <v>2717</v>
      </c>
      <c r="B2298" s="376"/>
      <c r="C2298" s="376"/>
      <c r="D2298" s="389" t="s">
        <v>263</v>
      </c>
      <c r="E2298" s="376" t="s">
        <v>2847</v>
      </c>
      <c r="F2298" s="356" t="s">
        <v>2716</v>
      </c>
      <c r="G2298" s="376" t="s">
        <v>2848</v>
      </c>
      <c r="H2298" s="118" t="s">
        <v>280</v>
      </c>
      <c r="I2298" s="376"/>
      <c r="J2298" s="376" t="s">
        <v>2720</v>
      </c>
      <c r="K2298" s="122" t="s">
        <v>2714</v>
      </c>
      <c r="L2298" s="159"/>
      <c r="M2298" s="159"/>
      <c r="N2298" s="159"/>
      <c r="O2298" s="159"/>
      <c r="P2298" s="159"/>
      <c r="Q2298" s="159"/>
      <c r="R2298" s="159"/>
      <c r="S2298" s="159"/>
    </row>
    <row r="2299" spans="1:19" ht="25">
      <c r="A2299" s="356" t="s">
        <v>2717</v>
      </c>
      <c r="B2299" s="376"/>
      <c r="C2299" s="376"/>
      <c r="D2299" s="389" t="s">
        <v>263</v>
      </c>
      <c r="E2299" s="376" t="s">
        <v>2849</v>
      </c>
      <c r="F2299" s="356" t="s">
        <v>2716</v>
      </c>
      <c r="G2299" s="376" t="s">
        <v>2850</v>
      </c>
      <c r="H2299" s="118" t="s">
        <v>280</v>
      </c>
      <c r="I2299" s="376"/>
      <c r="J2299" s="376" t="s">
        <v>2720</v>
      </c>
      <c r="K2299" s="122" t="s">
        <v>2714</v>
      </c>
      <c r="L2299" s="159"/>
      <c r="M2299" s="159"/>
      <c r="N2299" s="159"/>
      <c r="O2299" s="159"/>
      <c r="P2299" s="159"/>
      <c r="Q2299" s="159"/>
      <c r="R2299" s="159"/>
      <c r="S2299" s="159"/>
    </row>
    <row r="2300" spans="1:19" ht="25">
      <c r="A2300" s="356" t="s">
        <v>2717</v>
      </c>
      <c r="B2300" s="376"/>
      <c r="C2300" s="376"/>
      <c r="D2300" s="389" t="s">
        <v>263</v>
      </c>
      <c r="E2300" s="376" t="s">
        <v>2851</v>
      </c>
      <c r="F2300" s="356" t="s">
        <v>2716</v>
      </c>
      <c r="G2300" s="376" t="s">
        <v>2852</v>
      </c>
      <c r="H2300" s="118" t="s">
        <v>280</v>
      </c>
      <c r="I2300" s="376"/>
      <c r="J2300" s="376" t="s">
        <v>2720</v>
      </c>
      <c r="K2300" s="122" t="s">
        <v>2714</v>
      </c>
      <c r="L2300" s="159"/>
      <c r="M2300" s="159"/>
      <c r="N2300" s="159"/>
      <c r="O2300" s="159"/>
      <c r="P2300" s="159"/>
      <c r="Q2300" s="159"/>
      <c r="R2300" s="159"/>
      <c r="S2300" s="159"/>
    </row>
    <row r="2301" spans="1:19" ht="25">
      <c r="A2301" s="356" t="s">
        <v>2717</v>
      </c>
      <c r="B2301" s="376"/>
      <c r="C2301" s="376"/>
      <c r="D2301" s="389" t="s">
        <v>263</v>
      </c>
      <c r="E2301" s="376" t="s">
        <v>2853</v>
      </c>
      <c r="F2301" s="356" t="s">
        <v>2716</v>
      </c>
      <c r="G2301" s="376" t="s">
        <v>2854</v>
      </c>
      <c r="H2301" s="118" t="s">
        <v>280</v>
      </c>
      <c r="I2301" s="376"/>
      <c r="J2301" s="376" t="s">
        <v>2720</v>
      </c>
      <c r="K2301" s="122" t="s">
        <v>2714</v>
      </c>
      <c r="L2301" s="159"/>
      <c r="M2301" s="159"/>
      <c r="N2301" s="159"/>
      <c r="O2301" s="159"/>
      <c r="P2301" s="159"/>
      <c r="Q2301" s="159"/>
      <c r="R2301" s="159"/>
      <c r="S2301" s="159"/>
    </row>
    <row r="2302" spans="1:19" ht="25">
      <c r="A2302" s="356" t="s">
        <v>2717</v>
      </c>
      <c r="B2302" s="376"/>
      <c r="C2302" s="376"/>
      <c r="D2302" s="389" t="s">
        <v>263</v>
      </c>
      <c r="E2302" s="376" t="s">
        <v>2855</v>
      </c>
      <c r="F2302" s="356" t="s">
        <v>2716</v>
      </c>
      <c r="G2302" s="376" t="s">
        <v>2856</v>
      </c>
      <c r="H2302" s="118" t="s">
        <v>280</v>
      </c>
      <c r="I2302" s="376"/>
      <c r="J2302" s="376" t="s">
        <v>2720</v>
      </c>
      <c r="K2302" s="122" t="s">
        <v>2714</v>
      </c>
      <c r="L2302" s="159"/>
      <c r="M2302" s="159"/>
      <c r="N2302" s="159"/>
      <c r="O2302" s="159"/>
      <c r="P2302" s="159"/>
      <c r="Q2302" s="159"/>
      <c r="R2302" s="159"/>
      <c r="S2302" s="159"/>
    </row>
    <row r="2303" spans="1:19" ht="25">
      <c r="A2303" s="356" t="s">
        <v>2717</v>
      </c>
      <c r="B2303" s="376"/>
      <c r="C2303" s="376"/>
      <c r="D2303" s="389" t="s">
        <v>263</v>
      </c>
      <c r="E2303" s="376" t="s">
        <v>2857</v>
      </c>
      <c r="F2303" s="356" t="s">
        <v>2716</v>
      </c>
      <c r="G2303" s="376" t="s">
        <v>2858</v>
      </c>
      <c r="H2303" s="118" t="s">
        <v>280</v>
      </c>
      <c r="I2303" s="376"/>
      <c r="J2303" s="376" t="s">
        <v>2720</v>
      </c>
      <c r="K2303" s="122" t="s">
        <v>2714</v>
      </c>
      <c r="L2303" s="159"/>
      <c r="M2303" s="159"/>
      <c r="N2303" s="159"/>
      <c r="O2303" s="159"/>
      <c r="P2303" s="159"/>
      <c r="Q2303" s="159"/>
      <c r="R2303" s="159"/>
      <c r="S2303" s="159"/>
    </row>
    <row r="2304" spans="1:19" ht="25">
      <c r="A2304" s="356" t="s">
        <v>2717</v>
      </c>
      <c r="B2304" s="376"/>
      <c r="C2304" s="376"/>
      <c r="D2304" s="389" t="s">
        <v>263</v>
      </c>
      <c r="E2304" s="376" t="s">
        <v>2859</v>
      </c>
      <c r="F2304" s="356" t="s">
        <v>2716</v>
      </c>
      <c r="G2304" s="376" t="s">
        <v>2860</v>
      </c>
      <c r="H2304" s="118" t="s">
        <v>280</v>
      </c>
      <c r="I2304" s="376"/>
      <c r="J2304" s="376" t="s">
        <v>2720</v>
      </c>
      <c r="K2304" s="122" t="s">
        <v>2714</v>
      </c>
      <c r="L2304" s="159"/>
      <c r="M2304" s="159"/>
      <c r="N2304" s="159"/>
      <c r="O2304" s="159"/>
      <c r="P2304" s="159"/>
      <c r="Q2304" s="159"/>
      <c r="R2304" s="159"/>
      <c r="S2304" s="159"/>
    </row>
    <row r="2305" spans="1:19" ht="25">
      <c r="A2305" s="356" t="s">
        <v>2717</v>
      </c>
      <c r="B2305" s="376"/>
      <c r="C2305" s="376"/>
      <c r="D2305" s="389" t="s">
        <v>263</v>
      </c>
      <c r="E2305" s="376" t="s">
        <v>2861</v>
      </c>
      <c r="F2305" s="356" t="s">
        <v>2716</v>
      </c>
      <c r="G2305" s="376" t="s">
        <v>2862</v>
      </c>
      <c r="H2305" s="118" t="s">
        <v>280</v>
      </c>
      <c r="I2305" s="376"/>
      <c r="J2305" s="376" t="s">
        <v>2720</v>
      </c>
      <c r="K2305" s="122" t="s">
        <v>2714</v>
      </c>
      <c r="L2305" s="159"/>
      <c r="M2305" s="159"/>
      <c r="N2305" s="159"/>
      <c r="O2305" s="159"/>
      <c r="P2305" s="159"/>
      <c r="Q2305" s="159"/>
      <c r="R2305" s="159"/>
      <c r="S2305" s="159"/>
    </row>
    <row r="2306" spans="1:19" ht="25">
      <c r="A2306" s="356" t="s">
        <v>2717</v>
      </c>
      <c r="B2306" s="376"/>
      <c r="C2306" s="376"/>
      <c r="D2306" s="389" t="s">
        <v>263</v>
      </c>
      <c r="E2306" s="376" t="s">
        <v>2863</v>
      </c>
      <c r="F2306" s="356" t="s">
        <v>2716</v>
      </c>
      <c r="G2306" s="376" t="s">
        <v>2864</v>
      </c>
      <c r="H2306" s="118" t="s">
        <v>280</v>
      </c>
      <c r="I2306" s="376"/>
      <c r="J2306" s="376" t="s">
        <v>2720</v>
      </c>
      <c r="K2306" s="122" t="s">
        <v>2714</v>
      </c>
      <c r="L2306" s="159"/>
      <c r="M2306" s="159"/>
      <c r="N2306" s="159"/>
      <c r="O2306" s="159"/>
      <c r="P2306" s="159"/>
      <c r="Q2306" s="159"/>
      <c r="R2306" s="159"/>
      <c r="S2306" s="159"/>
    </row>
    <row r="2307" spans="1:19" ht="25">
      <c r="A2307" s="356" t="s">
        <v>2717</v>
      </c>
      <c r="B2307" s="376"/>
      <c r="C2307" s="376"/>
      <c r="D2307" s="389" t="s">
        <v>263</v>
      </c>
      <c r="E2307" s="376" t="s">
        <v>2865</v>
      </c>
      <c r="F2307" s="356" t="s">
        <v>2716</v>
      </c>
      <c r="G2307" s="376" t="s">
        <v>2866</v>
      </c>
      <c r="H2307" s="118" t="s">
        <v>280</v>
      </c>
      <c r="I2307" s="376"/>
      <c r="J2307" s="376" t="s">
        <v>2720</v>
      </c>
      <c r="K2307" s="122" t="s">
        <v>2714</v>
      </c>
      <c r="L2307" s="159"/>
      <c r="M2307" s="159"/>
      <c r="N2307" s="159"/>
      <c r="O2307" s="159"/>
      <c r="P2307" s="159"/>
      <c r="Q2307" s="159"/>
      <c r="R2307" s="159"/>
      <c r="S2307" s="159"/>
    </row>
    <row r="2308" spans="1:19" ht="25">
      <c r="A2308" s="356" t="s">
        <v>2717</v>
      </c>
      <c r="B2308" s="376"/>
      <c r="C2308" s="376"/>
      <c r="D2308" s="389" t="s">
        <v>263</v>
      </c>
      <c r="E2308" s="376" t="s">
        <v>2867</v>
      </c>
      <c r="F2308" s="356" t="s">
        <v>2716</v>
      </c>
      <c r="G2308" s="376" t="s">
        <v>2868</v>
      </c>
      <c r="H2308" s="118" t="s">
        <v>280</v>
      </c>
      <c r="I2308" s="376"/>
      <c r="J2308" s="376" t="s">
        <v>2720</v>
      </c>
      <c r="K2308" s="122" t="s">
        <v>2714</v>
      </c>
      <c r="L2308" s="159"/>
      <c r="M2308" s="159"/>
      <c r="N2308" s="159"/>
      <c r="O2308" s="159"/>
      <c r="P2308" s="159"/>
      <c r="Q2308" s="159"/>
      <c r="R2308" s="159"/>
      <c r="S2308" s="159"/>
    </row>
    <row r="2309" spans="1:19" ht="25">
      <c r="A2309" s="356" t="s">
        <v>2717</v>
      </c>
      <c r="B2309" s="376"/>
      <c r="C2309" s="376"/>
      <c r="D2309" s="389" t="s">
        <v>263</v>
      </c>
      <c r="E2309" s="376" t="s">
        <v>2869</v>
      </c>
      <c r="F2309" s="356" t="s">
        <v>2716</v>
      </c>
      <c r="G2309" s="376" t="s">
        <v>2870</v>
      </c>
      <c r="H2309" s="118" t="s">
        <v>280</v>
      </c>
      <c r="I2309" s="376"/>
      <c r="J2309" s="376" t="s">
        <v>2720</v>
      </c>
      <c r="K2309" s="122" t="s">
        <v>2714</v>
      </c>
      <c r="L2309" s="159"/>
      <c r="M2309" s="159"/>
      <c r="N2309" s="159"/>
      <c r="O2309" s="159"/>
      <c r="P2309" s="159"/>
      <c r="Q2309" s="159"/>
      <c r="R2309" s="159"/>
      <c r="S2309" s="159"/>
    </row>
    <row r="2310" spans="1:19" ht="25">
      <c r="A2310" s="356" t="s">
        <v>2717</v>
      </c>
      <c r="B2310" s="376"/>
      <c r="C2310" s="376"/>
      <c r="D2310" s="389" t="s">
        <v>263</v>
      </c>
      <c r="E2310" s="376" t="s">
        <v>2871</v>
      </c>
      <c r="F2310" s="356" t="s">
        <v>2716</v>
      </c>
      <c r="G2310" s="376" t="s">
        <v>2872</v>
      </c>
      <c r="H2310" s="118" t="s">
        <v>280</v>
      </c>
      <c r="I2310" s="376"/>
      <c r="J2310" s="376" t="s">
        <v>2720</v>
      </c>
      <c r="K2310" s="122" t="s">
        <v>2714</v>
      </c>
      <c r="L2310" s="159"/>
      <c r="M2310" s="159"/>
      <c r="N2310" s="159"/>
      <c r="O2310" s="159"/>
      <c r="P2310" s="159"/>
      <c r="Q2310" s="159"/>
      <c r="R2310" s="159"/>
      <c r="S2310" s="159"/>
    </row>
    <row r="2311" spans="1:19" ht="25">
      <c r="A2311" s="356" t="s">
        <v>2717</v>
      </c>
      <c r="B2311" s="376"/>
      <c r="C2311" s="376"/>
      <c r="D2311" s="389" t="s">
        <v>263</v>
      </c>
      <c r="E2311" s="376" t="s">
        <v>2873</v>
      </c>
      <c r="F2311" s="356" t="s">
        <v>2716</v>
      </c>
      <c r="G2311" s="376" t="s">
        <v>2874</v>
      </c>
      <c r="H2311" s="118" t="s">
        <v>280</v>
      </c>
      <c r="I2311" s="376"/>
      <c r="J2311" s="376" t="s">
        <v>2720</v>
      </c>
      <c r="K2311" s="122" t="s">
        <v>2714</v>
      </c>
      <c r="L2311" s="159"/>
      <c r="M2311" s="159"/>
      <c r="N2311" s="159"/>
      <c r="O2311" s="159"/>
      <c r="P2311" s="159"/>
      <c r="Q2311" s="159"/>
      <c r="R2311" s="159"/>
      <c r="S2311" s="159"/>
    </row>
    <row r="2312" spans="1:19" ht="25">
      <c r="A2312" s="356" t="s">
        <v>2717</v>
      </c>
      <c r="B2312" s="376"/>
      <c r="C2312" s="376"/>
      <c r="D2312" s="389" t="s">
        <v>263</v>
      </c>
      <c r="E2312" s="376" t="s">
        <v>2875</v>
      </c>
      <c r="F2312" s="356" t="s">
        <v>2716</v>
      </c>
      <c r="G2312" s="376" t="s">
        <v>2876</v>
      </c>
      <c r="H2312" s="118" t="s">
        <v>280</v>
      </c>
      <c r="I2312" s="376"/>
      <c r="J2312" s="376" t="s">
        <v>2720</v>
      </c>
      <c r="K2312" s="122" t="s">
        <v>2714</v>
      </c>
      <c r="L2312" s="159"/>
      <c r="M2312" s="159"/>
      <c r="N2312" s="159"/>
      <c r="O2312" s="159"/>
      <c r="P2312" s="159"/>
      <c r="Q2312" s="159"/>
      <c r="R2312" s="159"/>
      <c r="S2312" s="159"/>
    </row>
    <row r="2313" spans="1:19" ht="25">
      <c r="A2313" s="356" t="s">
        <v>2717</v>
      </c>
      <c r="B2313" s="376"/>
      <c r="C2313" s="376"/>
      <c r="D2313" s="389" t="s">
        <v>263</v>
      </c>
      <c r="E2313" s="376" t="s">
        <v>2877</v>
      </c>
      <c r="F2313" s="356" t="s">
        <v>2716</v>
      </c>
      <c r="G2313" s="376" t="s">
        <v>2878</v>
      </c>
      <c r="H2313" s="118" t="s">
        <v>280</v>
      </c>
      <c r="I2313" s="376"/>
      <c r="J2313" s="376" t="s">
        <v>2720</v>
      </c>
      <c r="K2313" s="122" t="s">
        <v>2714</v>
      </c>
      <c r="L2313" s="159"/>
      <c r="M2313" s="159"/>
      <c r="N2313" s="159"/>
      <c r="O2313" s="159"/>
      <c r="P2313" s="159"/>
      <c r="Q2313" s="159"/>
      <c r="R2313" s="159"/>
      <c r="S2313" s="159"/>
    </row>
    <row r="2314" spans="1:19" ht="25">
      <c r="A2314" s="356" t="s">
        <v>2717</v>
      </c>
      <c r="B2314" s="376"/>
      <c r="C2314" s="376"/>
      <c r="D2314" s="389" t="s">
        <v>263</v>
      </c>
      <c r="E2314" s="376" t="s">
        <v>2879</v>
      </c>
      <c r="F2314" s="356" t="s">
        <v>2716</v>
      </c>
      <c r="G2314" s="376" t="s">
        <v>2880</v>
      </c>
      <c r="H2314" s="118" t="s">
        <v>280</v>
      </c>
      <c r="I2314" s="376"/>
      <c r="J2314" s="376" t="s">
        <v>2720</v>
      </c>
      <c r="K2314" s="122" t="s">
        <v>2714</v>
      </c>
      <c r="L2314" s="159"/>
      <c r="M2314" s="159"/>
      <c r="N2314" s="159"/>
      <c r="O2314" s="159"/>
      <c r="P2314" s="159"/>
      <c r="Q2314" s="159"/>
      <c r="R2314" s="159"/>
      <c r="S2314" s="159"/>
    </row>
    <row r="2315" spans="1:19" ht="25">
      <c r="A2315" s="356" t="s">
        <v>2717</v>
      </c>
      <c r="B2315" s="376"/>
      <c r="C2315" s="376"/>
      <c r="D2315" s="389" t="s">
        <v>263</v>
      </c>
      <c r="E2315" s="376" t="s">
        <v>2881</v>
      </c>
      <c r="F2315" s="356" t="s">
        <v>2716</v>
      </c>
      <c r="G2315" s="376" t="s">
        <v>2882</v>
      </c>
      <c r="H2315" s="118" t="s">
        <v>280</v>
      </c>
      <c r="I2315" s="376"/>
      <c r="J2315" s="376" t="s">
        <v>2720</v>
      </c>
      <c r="K2315" s="122" t="s">
        <v>2714</v>
      </c>
      <c r="L2315" s="159"/>
      <c r="M2315" s="159"/>
      <c r="N2315" s="159"/>
      <c r="O2315" s="159"/>
      <c r="P2315" s="159"/>
      <c r="Q2315" s="159"/>
      <c r="R2315" s="159"/>
      <c r="S2315" s="159"/>
    </row>
    <row r="2316" spans="1:19" ht="25">
      <c r="A2316" s="356" t="s">
        <v>2717</v>
      </c>
      <c r="B2316" s="376"/>
      <c r="C2316" s="376"/>
      <c r="D2316" s="389" t="s">
        <v>263</v>
      </c>
      <c r="E2316" s="376" t="s">
        <v>2883</v>
      </c>
      <c r="F2316" s="356" t="s">
        <v>2716</v>
      </c>
      <c r="G2316" s="376" t="s">
        <v>2884</v>
      </c>
      <c r="H2316" s="118" t="s">
        <v>280</v>
      </c>
      <c r="I2316" s="376"/>
      <c r="J2316" s="376" t="s">
        <v>2720</v>
      </c>
      <c r="K2316" s="122" t="s">
        <v>2714</v>
      </c>
      <c r="L2316" s="159"/>
      <c r="M2316" s="159"/>
      <c r="N2316" s="159"/>
      <c r="O2316" s="159"/>
      <c r="P2316" s="159"/>
      <c r="Q2316" s="159"/>
      <c r="R2316" s="159"/>
      <c r="S2316" s="159"/>
    </row>
    <row r="2317" spans="1:19" ht="25">
      <c r="A2317" s="356" t="s">
        <v>2717</v>
      </c>
      <c r="B2317" s="376"/>
      <c r="C2317" s="376"/>
      <c r="D2317" s="389" t="s">
        <v>263</v>
      </c>
      <c r="E2317" s="376" t="s">
        <v>2885</v>
      </c>
      <c r="F2317" s="356" t="s">
        <v>2716</v>
      </c>
      <c r="G2317" s="376" t="s">
        <v>2886</v>
      </c>
      <c r="H2317" s="118" t="s">
        <v>280</v>
      </c>
      <c r="I2317" s="376"/>
      <c r="J2317" s="376" t="s">
        <v>2720</v>
      </c>
      <c r="K2317" s="122" t="s">
        <v>2714</v>
      </c>
      <c r="L2317" s="159"/>
      <c r="M2317" s="159"/>
      <c r="N2317" s="159"/>
      <c r="O2317" s="159"/>
      <c r="P2317" s="159"/>
      <c r="Q2317" s="159"/>
      <c r="R2317" s="159"/>
      <c r="S2317" s="159"/>
    </row>
    <row r="2318" spans="1:19" ht="25">
      <c r="A2318" s="356" t="s">
        <v>2717</v>
      </c>
      <c r="B2318" s="376"/>
      <c r="C2318" s="376"/>
      <c r="D2318" s="389" t="s">
        <v>263</v>
      </c>
      <c r="E2318" s="376" t="s">
        <v>2887</v>
      </c>
      <c r="F2318" s="356" t="s">
        <v>2716</v>
      </c>
      <c r="G2318" s="376" t="s">
        <v>2888</v>
      </c>
      <c r="H2318" s="118" t="s">
        <v>280</v>
      </c>
      <c r="I2318" s="376"/>
      <c r="J2318" s="376" t="s">
        <v>2720</v>
      </c>
      <c r="K2318" s="122" t="s">
        <v>2714</v>
      </c>
      <c r="L2318" s="159"/>
      <c r="M2318" s="159"/>
      <c r="N2318" s="159"/>
      <c r="O2318" s="159"/>
      <c r="P2318" s="159"/>
      <c r="Q2318" s="159"/>
      <c r="R2318" s="159"/>
      <c r="S2318" s="159"/>
    </row>
    <row r="2319" spans="1:19" ht="25">
      <c r="A2319" s="356" t="s">
        <v>2717</v>
      </c>
      <c r="B2319" s="376"/>
      <c r="C2319" s="376"/>
      <c r="D2319" s="389" t="s">
        <v>263</v>
      </c>
      <c r="E2319" s="376" t="s">
        <v>2889</v>
      </c>
      <c r="F2319" s="356" t="s">
        <v>2716</v>
      </c>
      <c r="G2319" s="376" t="s">
        <v>2890</v>
      </c>
      <c r="H2319" s="118" t="s">
        <v>280</v>
      </c>
      <c r="I2319" s="376"/>
      <c r="J2319" s="376" t="s">
        <v>2720</v>
      </c>
      <c r="K2319" s="122" t="s">
        <v>2714</v>
      </c>
      <c r="L2319" s="159"/>
      <c r="M2319" s="159"/>
      <c r="N2319" s="159"/>
      <c r="O2319" s="159"/>
      <c r="P2319" s="159"/>
      <c r="Q2319" s="159"/>
      <c r="R2319" s="159"/>
      <c r="S2319" s="159"/>
    </row>
    <row r="2320" spans="1:19" ht="25">
      <c r="A2320" s="356" t="s">
        <v>2717</v>
      </c>
      <c r="B2320" s="376"/>
      <c r="C2320" s="376"/>
      <c r="D2320" s="389" t="s">
        <v>263</v>
      </c>
      <c r="E2320" s="376" t="s">
        <v>2891</v>
      </c>
      <c r="F2320" s="356" t="s">
        <v>2716</v>
      </c>
      <c r="G2320" s="376" t="s">
        <v>2892</v>
      </c>
      <c r="H2320" s="118" t="s">
        <v>280</v>
      </c>
      <c r="I2320" s="376"/>
      <c r="J2320" s="376" t="s">
        <v>2720</v>
      </c>
      <c r="K2320" s="122" t="s">
        <v>2714</v>
      </c>
      <c r="L2320" s="159"/>
      <c r="M2320" s="159"/>
      <c r="N2320" s="159"/>
      <c r="O2320" s="159"/>
      <c r="P2320" s="159"/>
      <c r="Q2320" s="159"/>
      <c r="R2320" s="159"/>
      <c r="S2320" s="159"/>
    </row>
    <row r="2321" spans="1:19" ht="25">
      <c r="A2321" s="356" t="s">
        <v>2717</v>
      </c>
      <c r="B2321" s="376"/>
      <c r="C2321" s="376"/>
      <c r="D2321" s="389" t="s">
        <v>263</v>
      </c>
      <c r="E2321" s="376" t="s">
        <v>2893</v>
      </c>
      <c r="F2321" s="356" t="s">
        <v>2716</v>
      </c>
      <c r="G2321" s="376" t="s">
        <v>2894</v>
      </c>
      <c r="H2321" s="118" t="s">
        <v>280</v>
      </c>
      <c r="I2321" s="376"/>
      <c r="J2321" s="376" t="s">
        <v>2720</v>
      </c>
      <c r="K2321" s="122" t="s">
        <v>2714</v>
      </c>
      <c r="L2321" s="159"/>
      <c r="M2321" s="159"/>
      <c r="N2321" s="159"/>
      <c r="O2321" s="159"/>
      <c r="P2321" s="159"/>
      <c r="Q2321" s="159"/>
      <c r="R2321" s="159"/>
      <c r="S2321" s="159"/>
    </row>
    <row r="2322" spans="1:19" ht="25">
      <c r="A2322" s="356" t="s">
        <v>2717</v>
      </c>
      <c r="B2322" s="376"/>
      <c r="C2322" s="376"/>
      <c r="D2322" s="389" t="s">
        <v>263</v>
      </c>
      <c r="E2322" s="376" t="s">
        <v>2895</v>
      </c>
      <c r="F2322" s="356" t="s">
        <v>2716</v>
      </c>
      <c r="G2322" s="376" t="s">
        <v>2896</v>
      </c>
      <c r="H2322" s="118" t="s">
        <v>280</v>
      </c>
      <c r="I2322" s="376"/>
      <c r="J2322" s="376" t="s">
        <v>2720</v>
      </c>
      <c r="K2322" s="122" t="s">
        <v>2714</v>
      </c>
      <c r="L2322" s="159"/>
      <c r="M2322" s="159"/>
      <c r="N2322" s="159"/>
      <c r="O2322" s="159"/>
      <c r="P2322" s="159"/>
      <c r="Q2322" s="159"/>
      <c r="R2322" s="159"/>
      <c r="S2322" s="159"/>
    </row>
    <row r="2323" spans="1:19" ht="25">
      <c r="A2323" s="356" t="s">
        <v>2717</v>
      </c>
      <c r="B2323" s="376"/>
      <c r="C2323" s="376"/>
      <c r="D2323" s="389" t="s">
        <v>263</v>
      </c>
      <c r="E2323" s="376" t="s">
        <v>2897</v>
      </c>
      <c r="F2323" s="356" t="s">
        <v>2716</v>
      </c>
      <c r="G2323" s="376" t="s">
        <v>2898</v>
      </c>
      <c r="H2323" s="118" t="s">
        <v>280</v>
      </c>
      <c r="I2323" s="376"/>
      <c r="J2323" s="376" t="s">
        <v>2720</v>
      </c>
      <c r="K2323" s="122" t="s">
        <v>2714</v>
      </c>
      <c r="L2323" s="159"/>
      <c r="M2323" s="159"/>
      <c r="N2323" s="159"/>
      <c r="O2323" s="159"/>
      <c r="P2323" s="159"/>
      <c r="Q2323" s="159"/>
      <c r="R2323" s="159"/>
      <c r="S2323" s="159"/>
    </row>
    <row r="2324" spans="1:19" ht="25">
      <c r="A2324" s="356" t="s">
        <v>2717</v>
      </c>
      <c r="B2324" s="376"/>
      <c r="C2324" s="376"/>
      <c r="D2324" s="389" t="s">
        <v>263</v>
      </c>
      <c r="E2324" s="376" t="s">
        <v>2899</v>
      </c>
      <c r="F2324" s="356" t="s">
        <v>2716</v>
      </c>
      <c r="G2324" s="376" t="s">
        <v>2900</v>
      </c>
      <c r="H2324" s="118" t="s">
        <v>280</v>
      </c>
      <c r="I2324" s="376"/>
      <c r="J2324" s="376" t="s">
        <v>2720</v>
      </c>
      <c r="K2324" s="122" t="s">
        <v>2714</v>
      </c>
      <c r="L2324" s="159"/>
      <c r="M2324" s="159"/>
      <c r="N2324" s="159"/>
      <c r="O2324" s="159"/>
      <c r="P2324" s="159"/>
      <c r="Q2324" s="159"/>
      <c r="R2324" s="159"/>
      <c r="S2324" s="159"/>
    </row>
    <row r="2325" spans="1:19" ht="25">
      <c r="A2325" s="356" t="s">
        <v>2717</v>
      </c>
      <c r="B2325" s="376"/>
      <c r="C2325" s="376"/>
      <c r="D2325" s="389" t="s">
        <v>263</v>
      </c>
      <c r="E2325" s="376" t="s">
        <v>2901</v>
      </c>
      <c r="F2325" s="356" t="s">
        <v>2716</v>
      </c>
      <c r="G2325" s="376" t="s">
        <v>2902</v>
      </c>
      <c r="H2325" s="118" t="s">
        <v>280</v>
      </c>
      <c r="I2325" s="376"/>
      <c r="J2325" s="376" t="s">
        <v>2720</v>
      </c>
      <c r="K2325" s="122" t="s">
        <v>2714</v>
      </c>
      <c r="L2325" s="159"/>
      <c r="M2325" s="159"/>
      <c r="N2325" s="159"/>
      <c r="O2325" s="159"/>
      <c r="P2325" s="159"/>
      <c r="Q2325" s="159"/>
      <c r="R2325" s="159"/>
      <c r="S2325" s="159"/>
    </row>
    <row r="2326" spans="1:19" ht="25">
      <c r="A2326" s="356" t="s">
        <v>2717</v>
      </c>
      <c r="B2326" s="376"/>
      <c r="C2326" s="376"/>
      <c r="D2326" s="389" t="s">
        <v>263</v>
      </c>
      <c r="E2326" s="376" t="s">
        <v>2903</v>
      </c>
      <c r="F2326" s="356" t="s">
        <v>2716</v>
      </c>
      <c r="G2326" s="376" t="s">
        <v>2904</v>
      </c>
      <c r="H2326" s="118" t="s">
        <v>280</v>
      </c>
      <c r="I2326" s="376"/>
      <c r="J2326" s="376" t="s">
        <v>2720</v>
      </c>
      <c r="K2326" s="122" t="s">
        <v>2714</v>
      </c>
      <c r="L2326" s="159"/>
      <c r="M2326" s="159"/>
      <c r="N2326" s="159"/>
      <c r="O2326" s="159"/>
      <c r="P2326" s="159"/>
      <c r="Q2326" s="159"/>
      <c r="R2326" s="159"/>
      <c r="S2326" s="159"/>
    </row>
    <row r="2327" spans="1:19" ht="25">
      <c r="A2327" s="356" t="s">
        <v>2717</v>
      </c>
      <c r="B2327" s="376"/>
      <c r="C2327" s="376"/>
      <c r="D2327" s="389" t="s">
        <v>263</v>
      </c>
      <c r="E2327" s="376" t="s">
        <v>2905</v>
      </c>
      <c r="F2327" s="356" t="s">
        <v>2716</v>
      </c>
      <c r="G2327" s="376" t="s">
        <v>2906</v>
      </c>
      <c r="H2327" s="118" t="s">
        <v>280</v>
      </c>
      <c r="I2327" s="376"/>
      <c r="J2327" s="376" t="s">
        <v>2720</v>
      </c>
      <c r="K2327" s="122" t="s">
        <v>2714</v>
      </c>
      <c r="L2327" s="159"/>
      <c r="M2327" s="159"/>
      <c r="N2327" s="159"/>
      <c r="O2327" s="159"/>
      <c r="P2327" s="159"/>
      <c r="Q2327" s="159"/>
      <c r="R2327" s="159"/>
      <c r="S2327" s="159"/>
    </row>
    <row r="2328" spans="1:19" ht="25">
      <c r="A2328" s="356" t="s">
        <v>2717</v>
      </c>
      <c r="B2328" s="376"/>
      <c r="C2328" s="376"/>
      <c r="D2328" s="389" t="s">
        <v>263</v>
      </c>
      <c r="E2328" s="376" t="s">
        <v>2907</v>
      </c>
      <c r="F2328" s="356" t="s">
        <v>2716</v>
      </c>
      <c r="G2328" s="376" t="s">
        <v>2908</v>
      </c>
      <c r="H2328" s="118" t="s">
        <v>280</v>
      </c>
      <c r="I2328" s="376"/>
      <c r="J2328" s="376" t="s">
        <v>2720</v>
      </c>
      <c r="K2328" s="122" t="s">
        <v>2714</v>
      </c>
      <c r="L2328" s="159"/>
      <c r="M2328" s="159"/>
      <c r="N2328" s="159"/>
      <c r="O2328" s="159"/>
      <c r="P2328" s="159"/>
      <c r="Q2328" s="159"/>
      <c r="R2328" s="159"/>
      <c r="S2328" s="159"/>
    </row>
    <row r="2329" spans="1:19" ht="25">
      <c r="A2329" s="356" t="s">
        <v>2717</v>
      </c>
      <c r="B2329" s="376"/>
      <c r="C2329" s="376"/>
      <c r="D2329" s="389" t="s">
        <v>263</v>
      </c>
      <c r="E2329" s="376" t="s">
        <v>2909</v>
      </c>
      <c r="F2329" s="356" t="s">
        <v>2716</v>
      </c>
      <c r="G2329" s="376" t="s">
        <v>2910</v>
      </c>
      <c r="H2329" s="118" t="s">
        <v>280</v>
      </c>
      <c r="I2329" s="376"/>
      <c r="J2329" s="376" t="s">
        <v>2720</v>
      </c>
      <c r="K2329" s="122" t="s">
        <v>2714</v>
      </c>
      <c r="L2329" s="159"/>
      <c r="M2329" s="159"/>
      <c r="N2329" s="159"/>
      <c r="O2329" s="159"/>
      <c r="P2329" s="159"/>
      <c r="Q2329" s="159"/>
      <c r="R2329" s="159"/>
      <c r="S2329" s="159"/>
    </row>
    <row r="2330" spans="1:19" ht="25">
      <c r="A2330" s="356" t="s">
        <v>2717</v>
      </c>
      <c r="B2330" s="376"/>
      <c r="C2330" s="376"/>
      <c r="D2330" s="389" t="s">
        <v>263</v>
      </c>
      <c r="E2330" s="376" t="s">
        <v>2911</v>
      </c>
      <c r="F2330" s="356" t="s">
        <v>2716</v>
      </c>
      <c r="G2330" s="376" t="s">
        <v>2912</v>
      </c>
      <c r="H2330" s="118" t="s">
        <v>280</v>
      </c>
      <c r="I2330" s="376"/>
      <c r="J2330" s="376" t="s">
        <v>2720</v>
      </c>
      <c r="K2330" s="122" t="s">
        <v>2714</v>
      </c>
      <c r="L2330" s="159"/>
      <c r="M2330" s="159"/>
      <c r="N2330" s="159"/>
      <c r="O2330" s="159"/>
      <c r="P2330" s="159"/>
      <c r="Q2330" s="159"/>
      <c r="R2330" s="159"/>
      <c r="S2330" s="159"/>
    </row>
    <row r="2331" spans="1:19" ht="25">
      <c r="A2331" s="356" t="s">
        <v>2717</v>
      </c>
      <c r="B2331" s="376"/>
      <c r="C2331" s="376"/>
      <c r="D2331" s="389" t="s">
        <v>263</v>
      </c>
      <c r="E2331" s="376" t="s">
        <v>2913</v>
      </c>
      <c r="F2331" s="356" t="s">
        <v>2716</v>
      </c>
      <c r="G2331" s="376" t="s">
        <v>2914</v>
      </c>
      <c r="H2331" s="118" t="s">
        <v>280</v>
      </c>
      <c r="I2331" s="376"/>
      <c r="J2331" s="376" t="s">
        <v>2720</v>
      </c>
      <c r="K2331" s="122" t="s">
        <v>2714</v>
      </c>
      <c r="L2331" s="159"/>
      <c r="M2331" s="159"/>
      <c r="N2331" s="159"/>
      <c r="O2331" s="159"/>
      <c r="P2331" s="159"/>
      <c r="Q2331" s="159"/>
      <c r="R2331" s="159"/>
      <c r="S2331" s="159"/>
    </row>
    <row r="2332" spans="1:19" ht="25">
      <c r="A2332" s="356" t="s">
        <v>2717</v>
      </c>
      <c r="B2332" s="376"/>
      <c r="C2332" s="376"/>
      <c r="D2332" s="389" t="s">
        <v>263</v>
      </c>
      <c r="E2332" s="376" t="s">
        <v>2915</v>
      </c>
      <c r="F2332" s="356" t="s">
        <v>2716</v>
      </c>
      <c r="G2332" s="376" t="s">
        <v>2916</v>
      </c>
      <c r="H2332" s="118" t="s">
        <v>280</v>
      </c>
      <c r="I2332" s="376"/>
      <c r="J2332" s="376" t="s">
        <v>2720</v>
      </c>
      <c r="K2332" s="122" t="s">
        <v>2714</v>
      </c>
      <c r="L2332" s="159"/>
      <c r="M2332" s="159"/>
      <c r="N2332" s="159"/>
      <c r="O2332" s="159"/>
      <c r="P2332" s="159"/>
      <c r="Q2332" s="159"/>
      <c r="R2332" s="159"/>
      <c r="S2332" s="159"/>
    </row>
    <row r="2333" spans="1:19" ht="25">
      <c r="A2333" s="356" t="s">
        <v>2717</v>
      </c>
      <c r="B2333" s="376"/>
      <c r="C2333" s="376"/>
      <c r="D2333" s="389" t="s">
        <v>263</v>
      </c>
      <c r="E2333" s="376" t="s">
        <v>2917</v>
      </c>
      <c r="F2333" s="356" t="s">
        <v>2716</v>
      </c>
      <c r="G2333" s="376" t="s">
        <v>2918</v>
      </c>
      <c r="H2333" s="118" t="s">
        <v>280</v>
      </c>
      <c r="I2333" s="376"/>
      <c r="J2333" s="376" t="s">
        <v>2720</v>
      </c>
      <c r="K2333" s="122" t="s">
        <v>2714</v>
      </c>
      <c r="L2333" s="159"/>
      <c r="M2333" s="159"/>
      <c r="N2333" s="159"/>
      <c r="O2333" s="159"/>
      <c r="P2333" s="159"/>
      <c r="Q2333" s="159"/>
      <c r="R2333" s="159"/>
      <c r="S2333" s="159"/>
    </row>
    <row r="2334" spans="1:19" ht="25">
      <c r="A2334" s="356" t="s">
        <v>2717</v>
      </c>
      <c r="B2334" s="376"/>
      <c r="C2334" s="376"/>
      <c r="D2334" s="389" t="s">
        <v>263</v>
      </c>
      <c r="E2334" s="376" t="s">
        <v>2919</v>
      </c>
      <c r="F2334" s="356" t="s">
        <v>2716</v>
      </c>
      <c r="G2334" s="376" t="s">
        <v>2920</v>
      </c>
      <c r="H2334" s="118" t="s">
        <v>280</v>
      </c>
      <c r="I2334" s="376"/>
      <c r="J2334" s="376" t="s">
        <v>2720</v>
      </c>
      <c r="K2334" s="122" t="s">
        <v>2714</v>
      </c>
      <c r="L2334" s="159"/>
      <c r="M2334" s="159"/>
      <c r="N2334" s="159"/>
      <c r="O2334" s="159"/>
      <c r="P2334" s="159"/>
      <c r="Q2334" s="159"/>
      <c r="R2334" s="159"/>
      <c r="S2334" s="159"/>
    </row>
    <row r="2335" spans="1:19" ht="25">
      <c r="A2335" s="356" t="s">
        <v>2717</v>
      </c>
      <c r="B2335" s="376"/>
      <c r="C2335" s="376"/>
      <c r="D2335" s="389" t="s">
        <v>263</v>
      </c>
      <c r="E2335" s="376" t="s">
        <v>2921</v>
      </c>
      <c r="F2335" s="356" t="s">
        <v>2716</v>
      </c>
      <c r="G2335" s="376" t="s">
        <v>2922</v>
      </c>
      <c r="H2335" s="118" t="s">
        <v>280</v>
      </c>
      <c r="I2335" s="376"/>
      <c r="J2335" s="376" t="s">
        <v>2720</v>
      </c>
      <c r="K2335" s="122" t="s">
        <v>2714</v>
      </c>
      <c r="L2335" s="159"/>
      <c r="M2335" s="159"/>
      <c r="N2335" s="159"/>
      <c r="O2335" s="159"/>
      <c r="P2335" s="159"/>
      <c r="Q2335" s="159"/>
      <c r="R2335" s="159"/>
      <c r="S2335" s="159"/>
    </row>
    <row r="2336" spans="1:19" ht="25">
      <c r="A2336" s="356" t="s">
        <v>2717</v>
      </c>
      <c r="B2336" s="376"/>
      <c r="C2336" s="376"/>
      <c r="D2336" s="389" t="s">
        <v>263</v>
      </c>
      <c r="E2336" s="376" t="s">
        <v>2923</v>
      </c>
      <c r="F2336" s="356" t="s">
        <v>2716</v>
      </c>
      <c r="G2336" s="376" t="s">
        <v>2924</v>
      </c>
      <c r="H2336" s="118" t="s">
        <v>280</v>
      </c>
      <c r="I2336" s="376"/>
      <c r="J2336" s="376" t="s">
        <v>2720</v>
      </c>
      <c r="K2336" s="122" t="s">
        <v>2714</v>
      </c>
      <c r="L2336" s="159"/>
      <c r="M2336" s="159"/>
      <c r="N2336" s="159"/>
      <c r="O2336" s="159"/>
      <c r="P2336" s="159"/>
      <c r="Q2336" s="159"/>
      <c r="R2336" s="159"/>
      <c r="S2336" s="159"/>
    </row>
    <row r="2337" spans="1:19" ht="25">
      <c r="A2337" s="356" t="s">
        <v>2717</v>
      </c>
      <c r="B2337" s="376"/>
      <c r="C2337" s="376"/>
      <c r="D2337" s="389" t="s">
        <v>263</v>
      </c>
      <c r="E2337" s="376" t="s">
        <v>2925</v>
      </c>
      <c r="F2337" s="356" t="s">
        <v>2716</v>
      </c>
      <c r="G2337" s="376" t="s">
        <v>2926</v>
      </c>
      <c r="H2337" s="118" t="s">
        <v>280</v>
      </c>
      <c r="I2337" s="376"/>
      <c r="J2337" s="376" t="s">
        <v>2720</v>
      </c>
      <c r="K2337" s="122" t="s">
        <v>2714</v>
      </c>
      <c r="L2337" s="159"/>
      <c r="M2337" s="159"/>
      <c r="N2337" s="159"/>
      <c r="O2337" s="159"/>
      <c r="P2337" s="159"/>
      <c r="Q2337" s="159"/>
      <c r="R2337" s="159"/>
      <c r="S2337" s="159"/>
    </row>
    <row r="2338" spans="1:19" ht="25">
      <c r="A2338" s="356" t="s">
        <v>2717</v>
      </c>
      <c r="B2338" s="376"/>
      <c r="C2338" s="376"/>
      <c r="D2338" s="389" t="s">
        <v>263</v>
      </c>
      <c r="E2338" s="376" t="s">
        <v>2927</v>
      </c>
      <c r="F2338" s="356" t="s">
        <v>2716</v>
      </c>
      <c r="G2338" s="376" t="s">
        <v>2928</v>
      </c>
      <c r="H2338" s="118" t="s">
        <v>280</v>
      </c>
      <c r="I2338" s="376"/>
      <c r="J2338" s="376" t="s">
        <v>2720</v>
      </c>
      <c r="K2338" s="122" t="s">
        <v>2714</v>
      </c>
      <c r="L2338" s="159"/>
      <c r="M2338" s="159"/>
      <c r="N2338" s="159"/>
      <c r="O2338" s="159"/>
      <c r="P2338" s="159"/>
      <c r="Q2338" s="159"/>
      <c r="R2338" s="159"/>
      <c r="S2338" s="159"/>
    </row>
    <row r="2339" spans="1:19" ht="25">
      <c r="A2339" s="356" t="s">
        <v>2717</v>
      </c>
      <c r="B2339" s="376"/>
      <c r="C2339" s="376"/>
      <c r="D2339" s="389" t="s">
        <v>263</v>
      </c>
      <c r="E2339" s="376" t="s">
        <v>2929</v>
      </c>
      <c r="F2339" s="356" t="s">
        <v>2716</v>
      </c>
      <c r="G2339" s="376" t="s">
        <v>2930</v>
      </c>
      <c r="H2339" s="118" t="s">
        <v>280</v>
      </c>
      <c r="I2339" s="376"/>
      <c r="J2339" s="376" t="s">
        <v>2720</v>
      </c>
      <c r="K2339" s="122" t="s">
        <v>2714</v>
      </c>
      <c r="L2339" s="159"/>
      <c r="M2339" s="159"/>
      <c r="N2339" s="159"/>
      <c r="O2339" s="159"/>
      <c r="P2339" s="159"/>
      <c r="Q2339" s="159"/>
      <c r="R2339" s="159"/>
      <c r="S2339" s="159"/>
    </row>
    <row r="2340" spans="1:19" ht="25">
      <c r="A2340" s="356" t="s">
        <v>2717</v>
      </c>
      <c r="B2340" s="376"/>
      <c r="C2340" s="376"/>
      <c r="D2340" s="389" t="s">
        <v>263</v>
      </c>
      <c r="E2340" s="376" t="s">
        <v>2931</v>
      </c>
      <c r="F2340" s="356" t="s">
        <v>2716</v>
      </c>
      <c r="G2340" s="376" t="s">
        <v>2932</v>
      </c>
      <c r="H2340" s="118" t="s">
        <v>280</v>
      </c>
      <c r="I2340" s="376"/>
      <c r="J2340" s="376" t="s">
        <v>2720</v>
      </c>
      <c r="K2340" s="122" t="s">
        <v>2714</v>
      </c>
      <c r="L2340" s="159"/>
      <c r="M2340" s="159"/>
      <c r="N2340" s="159"/>
      <c r="O2340" s="159"/>
      <c r="P2340" s="159"/>
      <c r="Q2340" s="159"/>
      <c r="R2340" s="159"/>
      <c r="S2340" s="159"/>
    </row>
    <row r="2341" spans="1:19" ht="25">
      <c r="A2341" s="356" t="s">
        <v>2717</v>
      </c>
      <c r="B2341" s="376"/>
      <c r="C2341" s="376"/>
      <c r="D2341" s="389" t="s">
        <v>263</v>
      </c>
      <c r="E2341" s="376" t="s">
        <v>2933</v>
      </c>
      <c r="F2341" s="356" t="s">
        <v>2716</v>
      </c>
      <c r="G2341" s="376" t="s">
        <v>2934</v>
      </c>
      <c r="H2341" s="118" t="s">
        <v>280</v>
      </c>
      <c r="I2341" s="376"/>
      <c r="J2341" s="376" t="s">
        <v>2720</v>
      </c>
      <c r="K2341" s="122" t="s">
        <v>2714</v>
      </c>
      <c r="L2341" s="159"/>
      <c r="M2341" s="159"/>
      <c r="N2341" s="159"/>
      <c r="O2341" s="159"/>
      <c r="P2341" s="159"/>
      <c r="Q2341" s="159"/>
      <c r="R2341" s="159"/>
      <c r="S2341" s="159"/>
    </row>
    <row r="2342" spans="1:19" ht="25">
      <c r="A2342" s="356" t="s">
        <v>2717</v>
      </c>
      <c r="B2342" s="376"/>
      <c r="C2342" s="376"/>
      <c r="D2342" s="389" t="s">
        <v>263</v>
      </c>
      <c r="E2342" s="376" t="s">
        <v>2935</v>
      </c>
      <c r="F2342" s="356" t="s">
        <v>2716</v>
      </c>
      <c r="G2342" s="376" t="s">
        <v>2936</v>
      </c>
      <c r="H2342" s="118" t="s">
        <v>280</v>
      </c>
      <c r="I2342" s="376"/>
      <c r="J2342" s="376" t="s">
        <v>2720</v>
      </c>
      <c r="K2342" s="122" t="s">
        <v>2714</v>
      </c>
      <c r="L2342" s="159"/>
      <c r="M2342" s="159"/>
      <c r="N2342" s="159"/>
      <c r="O2342" s="159"/>
      <c r="P2342" s="159"/>
      <c r="Q2342" s="159"/>
      <c r="R2342" s="159"/>
      <c r="S2342" s="159"/>
    </row>
    <row r="2343" spans="1:19" ht="25">
      <c r="A2343" s="356" t="s">
        <v>2717</v>
      </c>
      <c r="B2343" s="376"/>
      <c r="C2343" s="376"/>
      <c r="D2343" s="389" t="s">
        <v>263</v>
      </c>
      <c r="E2343" s="376" t="s">
        <v>2937</v>
      </c>
      <c r="F2343" s="356" t="s">
        <v>2716</v>
      </c>
      <c r="G2343" s="376" t="s">
        <v>2938</v>
      </c>
      <c r="H2343" s="118" t="s">
        <v>280</v>
      </c>
      <c r="I2343" s="376"/>
      <c r="J2343" s="376" t="s">
        <v>2720</v>
      </c>
      <c r="K2343" s="122" t="s">
        <v>2714</v>
      </c>
      <c r="L2343" s="159"/>
      <c r="M2343" s="159"/>
      <c r="N2343" s="159"/>
      <c r="O2343" s="159"/>
      <c r="P2343" s="159"/>
      <c r="Q2343" s="159"/>
      <c r="R2343" s="159"/>
      <c r="S2343" s="159"/>
    </row>
    <row r="2344" spans="1:19" ht="25">
      <c r="A2344" s="356" t="s">
        <v>2717</v>
      </c>
      <c r="B2344" s="376"/>
      <c r="C2344" s="376"/>
      <c r="D2344" s="389" t="s">
        <v>263</v>
      </c>
      <c r="E2344" s="376" t="s">
        <v>2939</v>
      </c>
      <c r="F2344" s="356" t="s">
        <v>2716</v>
      </c>
      <c r="G2344" s="376" t="s">
        <v>2940</v>
      </c>
      <c r="H2344" s="118" t="s">
        <v>280</v>
      </c>
      <c r="I2344" s="376"/>
      <c r="J2344" s="376" t="s">
        <v>2720</v>
      </c>
      <c r="K2344" s="122" t="s">
        <v>2714</v>
      </c>
      <c r="L2344" s="159"/>
      <c r="M2344" s="159"/>
      <c r="N2344" s="159"/>
      <c r="O2344" s="159"/>
      <c r="P2344" s="159"/>
      <c r="Q2344" s="159"/>
      <c r="R2344" s="159"/>
      <c r="S2344" s="159"/>
    </row>
    <row r="2345" spans="1:19" ht="25">
      <c r="A2345" s="356" t="s">
        <v>2717</v>
      </c>
      <c r="B2345" s="376"/>
      <c r="C2345" s="376"/>
      <c r="D2345" s="389" t="s">
        <v>263</v>
      </c>
      <c r="E2345" s="376" t="s">
        <v>2941</v>
      </c>
      <c r="F2345" s="356" t="s">
        <v>2716</v>
      </c>
      <c r="G2345" s="376" t="s">
        <v>2942</v>
      </c>
      <c r="H2345" s="118" t="s">
        <v>280</v>
      </c>
      <c r="I2345" s="376"/>
      <c r="J2345" s="376" t="s">
        <v>2720</v>
      </c>
      <c r="K2345" s="122" t="s">
        <v>2714</v>
      </c>
      <c r="L2345" s="159"/>
      <c r="M2345" s="159"/>
      <c r="N2345" s="159"/>
      <c r="O2345" s="159"/>
      <c r="P2345" s="159"/>
      <c r="Q2345" s="159"/>
      <c r="R2345" s="159"/>
      <c r="S2345" s="159"/>
    </row>
    <row r="2346" spans="1:19" ht="25">
      <c r="A2346" s="356" t="s">
        <v>2717</v>
      </c>
      <c r="B2346" s="376"/>
      <c r="C2346" s="376"/>
      <c r="D2346" s="389" t="s">
        <v>263</v>
      </c>
      <c r="E2346" s="376" t="s">
        <v>2943</v>
      </c>
      <c r="F2346" s="356" t="s">
        <v>2716</v>
      </c>
      <c r="G2346" s="376" t="s">
        <v>2944</v>
      </c>
      <c r="H2346" s="118" t="s">
        <v>280</v>
      </c>
      <c r="I2346" s="376"/>
      <c r="J2346" s="376" t="s">
        <v>2720</v>
      </c>
      <c r="K2346" s="122" t="s">
        <v>2714</v>
      </c>
      <c r="L2346" s="159"/>
      <c r="M2346" s="159"/>
      <c r="N2346" s="159"/>
      <c r="O2346" s="159"/>
      <c r="P2346" s="159"/>
      <c r="Q2346" s="159"/>
      <c r="R2346" s="159"/>
      <c r="S2346" s="159"/>
    </row>
    <row r="2347" spans="1:19" ht="25">
      <c r="A2347" s="356" t="s">
        <v>2717</v>
      </c>
      <c r="B2347" s="376"/>
      <c r="C2347" s="376"/>
      <c r="D2347" s="389" t="s">
        <v>263</v>
      </c>
      <c r="E2347" s="376" t="s">
        <v>2945</v>
      </c>
      <c r="F2347" s="356" t="s">
        <v>2716</v>
      </c>
      <c r="G2347" s="376" t="s">
        <v>2946</v>
      </c>
      <c r="H2347" s="118" t="s">
        <v>280</v>
      </c>
      <c r="I2347" s="376"/>
      <c r="J2347" s="376" t="s">
        <v>2720</v>
      </c>
      <c r="K2347" s="122" t="s">
        <v>2714</v>
      </c>
      <c r="L2347" s="159"/>
      <c r="M2347" s="159"/>
      <c r="N2347" s="159"/>
      <c r="O2347" s="159"/>
      <c r="P2347" s="159"/>
      <c r="Q2347" s="159"/>
      <c r="R2347" s="159"/>
      <c r="S2347" s="159"/>
    </row>
    <row r="2348" spans="1:19" ht="25">
      <c r="A2348" s="356" t="s">
        <v>2717</v>
      </c>
      <c r="B2348" s="376"/>
      <c r="C2348" s="376"/>
      <c r="D2348" s="389" t="s">
        <v>263</v>
      </c>
      <c r="E2348" s="376" t="s">
        <v>2947</v>
      </c>
      <c r="F2348" s="356" t="s">
        <v>2716</v>
      </c>
      <c r="G2348" s="376" t="s">
        <v>2948</v>
      </c>
      <c r="H2348" s="118" t="s">
        <v>280</v>
      </c>
      <c r="I2348" s="376"/>
      <c r="J2348" s="376" t="s">
        <v>2720</v>
      </c>
      <c r="K2348" s="122" t="s">
        <v>2714</v>
      </c>
      <c r="L2348" s="159"/>
      <c r="M2348" s="159"/>
      <c r="N2348" s="159"/>
      <c r="O2348" s="159"/>
      <c r="P2348" s="159"/>
      <c r="Q2348" s="159"/>
      <c r="R2348" s="159"/>
      <c r="S2348" s="159"/>
    </row>
    <row r="2349" spans="1:19" ht="25">
      <c r="A2349" s="356" t="s">
        <v>2717</v>
      </c>
      <c r="B2349" s="376"/>
      <c r="C2349" s="376"/>
      <c r="D2349" s="389" t="s">
        <v>263</v>
      </c>
      <c r="E2349" s="376" t="s">
        <v>2949</v>
      </c>
      <c r="F2349" s="356" t="s">
        <v>2716</v>
      </c>
      <c r="G2349" s="376" t="s">
        <v>2950</v>
      </c>
      <c r="H2349" s="118" t="s">
        <v>280</v>
      </c>
      <c r="I2349" s="376"/>
      <c r="J2349" s="376" t="s">
        <v>2720</v>
      </c>
      <c r="K2349" s="122" t="s">
        <v>2714</v>
      </c>
      <c r="L2349" s="159"/>
      <c r="M2349" s="159"/>
      <c r="N2349" s="159"/>
      <c r="O2349" s="159"/>
      <c r="P2349" s="159"/>
      <c r="Q2349" s="159"/>
      <c r="R2349" s="159"/>
      <c r="S2349" s="159"/>
    </row>
    <row r="2350" spans="1:19" ht="25">
      <c r="A2350" s="356" t="s">
        <v>2717</v>
      </c>
      <c r="B2350" s="376"/>
      <c r="C2350" s="376"/>
      <c r="D2350" s="389" t="s">
        <v>263</v>
      </c>
      <c r="E2350" s="376" t="s">
        <v>2951</v>
      </c>
      <c r="F2350" s="356" t="s">
        <v>2716</v>
      </c>
      <c r="G2350" s="376" t="s">
        <v>2952</v>
      </c>
      <c r="H2350" s="118" t="s">
        <v>280</v>
      </c>
      <c r="I2350" s="376"/>
      <c r="J2350" s="376" t="s">
        <v>2720</v>
      </c>
      <c r="K2350" s="122" t="s">
        <v>2714</v>
      </c>
      <c r="L2350" s="159"/>
      <c r="M2350" s="159"/>
      <c r="N2350" s="159"/>
      <c r="O2350" s="159"/>
      <c r="P2350" s="159"/>
      <c r="Q2350" s="159"/>
      <c r="R2350" s="159"/>
      <c r="S2350" s="159"/>
    </row>
    <row r="2351" spans="1:19" ht="25">
      <c r="A2351" s="356" t="s">
        <v>2717</v>
      </c>
      <c r="B2351" s="376"/>
      <c r="C2351" s="376"/>
      <c r="D2351" s="389" t="s">
        <v>263</v>
      </c>
      <c r="E2351" s="376" t="s">
        <v>2953</v>
      </c>
      <c r="F2351" s="356" t="s">
        <v>2716</v>
      </c>
      <c r="G2351" s="376" t="s">
        <v>2954</v>
      </c>
      <c r="H2351" s="118" t="s">
        <v>280</v>
      </c>
      <c r="I2351" s="376"/>
      <c r="J2351" s="376" t="s">
        <v>2720</v>
      </c>
      <c r="K2351" s="122" t="s">
        <v>2714</v>
      </c>
      <c r="L2351" s="159"/>
      <c r="M2351" s="159"/>
      <c r="N2351" s="159"/>
      <c r="O2351" s="159"/>
      <c r="P2351" s="159"/>
      <c r="Q2351" s="159"/>
      <c r="R2351" s="159"/>
      <c r="S2351" s="159"/>
    </row>
    <row r="2352" spans="1:19" ht="25">
      <c r="A2352" s="356" t="s">
        <v>2717</v>
      </c>
      <c r="B2352" s="376"/>
      <c r="C2352" s="376"/>
      <c r="D2352" s="389" t="s">
        <v>263</v>
      </c>
      <c r="E2352" s="376" t="s">
        <v>2955</v>
      </c>
      <c r="F2352" s="356" t="s">
        <v>2716</v>
      </c>
      <c r="G2352" s="376" t="s">
        <v>2956</v>
      </c>
      <c r="H2352" s="118" t="s">
        <v>280</v>
      </c>
      <c r="I2352" s="376"/>
      <c r="J2352" s="376" t="s">
        <v>2720</v>
      </c>
      <c r="K2352" s="122" t="s">
        <v>2714</v>
      </c>
      <c r="L2352" s="159"/>
      <c r="M2352" s="159"/>
      <c r="N2352" s="159"/>
      <c r="O2352" s="159"/>
      <c r="P2352" s="159"/>
      <c r="Q2352" s="159"/>
      <c r="R2352" s="159"/>
      <c r="S2352" s="159"/>
    </row>
    <row r="2353" spans="1:19" ht="25">
      <c r="A2353" s="356" t="s">
        <v>2717</v>
      </c>
      <c r="B2353" s="376"/>
      <c r="C2353" s="376"/>
      <c r="D2353" s="389" t="s">
        <v>263</v>
      </c>
      <c r="E2353" s="376" t="s">
        <v>2957</v>
      </c>
      <c r="F2353" s="356" t="s">
        <v>2716</v>
      </c>
      <c r="G2353" s="376" t="s">
        <v>2958</v>
      </c>
      <c r="H2353" s="118" t="s">
        <v>280</v>
      </c>
      <c r="I2353" s="376"/>
      <c r="J2353" s="376" t="s">
        <v>2720</v>
      </c>
      <c r="K2353" s="122" t="s">
        <v>2714</v>
      </c>
      <c r="L2353" s="159"/>
      <c r="M2353" s="159"/>
      <c r="N2353" s="159"/>
      <c r="O2353" s="159"/>
      <c r="P2353" s="159"/>
      <c r="Q2353" s="159"/>
      <c r="R2353" s="159"/>
      <c r="S2353" s="159"/>
    </row>
    <row r="2354" spans="1:19" ht="25">
      <c r="A2354" s="356" t="s">
        <v>2717</v>
      </c>
      <c r="B2354" s="376"/>
      <c r="C2354" s="376"/>
      <c r="D2354" s="389" t="s">
        <v>263</v>
      </c>
      <c r="E2354" s="376" t="s">
        <v>2959</v>
      </c>
      <c r="F2354" s="356" t="s">
        <v>2716</v>
      </c>
      <c r="G2354" s="376" t="s">
        <v>2960</v>
      </c>
      <c r="H2354" s="118" t="s">
        <v>280</v>
      </c>
      <c r="I2354" s="376"/>
      <c r="J2354" s="376" t="s">
        <v>2720</v>
      </c>
      <c r="K2354" s="122" t="s">
        <v>2714</v>
      </c>
      <c r="L2354" s="159"/>
      <c r="M2354" s="159"/>
      <c r="N2354" s="159"/>
      <c r="O2354" s="159"/>
      <c r="P2354" s="159"/>
      <c r="Q2354" s="159"/>
      <c r="R2354" s="159"/>
      <c r="S2354" s="159"/>
    </row>
    <row r="2355" spans="1:19" ht="25">
      <c r="A2355" s="356" t="s">
        <v>2717</v>
      </c>
      <c r="B2355" s="376"/>
      <c r="C2355" s="376"/>
      <c r="D2355" s="389" t="s">
        <v>263</v>
      </c>
      <c r="E2355" s="376" t="s">
        <v>2961</v>
      </c>
      <c r="F2355" s="356" t="s">
        <v>2716</v>
      </c>
      <c r="G2355" s="376" t="s">
        <v>2962</v>
      </c>
      <c r="H2355" s="118" t="s">
        <v>280</v>
      </c>
      <c r="I2355" s="376"/>
      <c r="J2355" s="376" t="s">
        <v>2720</v>
      </c>
      <c r="K2355" s="122" t="s">
        <v>2714</v>
      </c>
      <c r="L2355" s="159"/>
      <c r="M2355" s="159"/>
      <c r="N2355" s="159"/>
      <c r="O2355" s="159"/>
      <c r="P2355" s="159"/>
      <c r="Q2355" s="159"/>
      <c r="R2355" s="159"/>
      <c r="S2355" s="159"/>
    </row>
    <row r="2356" spans="1:19" ht="50">
      <c r="A2356" s="356" t="s">
        <v>2963</v>
      </c>
      <c r="B2356" s="356" t="s">
        <v>2964</v>
      </c>
      <c r="C2356" s="395"/>
      <c r="D2356" s="356" t="s">
        <v>686</v>
      </c>
      <c r="E2356" s="395"/>
      <c r="F2356" s="356" t="s">
        <v>2716</v>
      </c>
      <c r="G2356" s="356" t="s">
        <v>2965</v>
      </c>
      <c r="H2356" s="376" t="s">
        <v>274</v>
      </c>
      <c r="I2356" s="376"/>
      <c r="J2356" s="376" t="s">
        <v>2966</v>
      </c>
      <c r="K2356" s="122" t="s">
        <v>2714</v>
      </c>
      <c r="L2356" s="159"/>
      <c r="M2356" s="159"/>
      <c r="N2356" s="159"/>
      <c r="O2356" s="159"/>
      <c r="P2356" s="159"/>
      <c r="Q2356" s="159"/>
      <c r="R2356" s="159"/>
      <c r="S2356" s="159"/>
    </row>
    <row r="2357" spans="1:19" ht="25">
      <c r="A2357" s="356" t="s">
        <v>2717</v>
      </c>
      <c r="B2357" s="376"/>
      <c r="C2357" s="389"/>
      <c r="D2357" s="389" t="s">
        <v>263</v>
      </c>
      <c r="E2357" s="376" t="s">
        <v>2967</v>
      </c>
      <c r="F2357" s="356" t="s">
        <v>2716</v>
      </c>
      <c r="G2357" s="356" t="s">
        <v>2968</v>
      </c>
      <c r="H2357" s="376" t="s">
        <v>274</v>
      </c>
      <c r="I2357" s="376"/>
      <c r="J2357" s="376" t="s">
        <v>2969</v>
      </c>
      <c r="K2357" s="122" t="s">
        <v>2714</v>
      </c>
      <c r="L2357" s="159"/>
      <c r="M2357" s="159"/>
      <c r="N2357" s="159"/>
      <c r="O2357" s="159"/>
      <c r="P2357" s="159"/>
      <c r="Q2357" s="159"/>
      <c r="R2357" s="159"/>
      <c r="S2357" s="159"/>
    </row>
    <row r="2358" spans="1:19" ht="25">
      <c r="A2358" s="356" t="s">
        <v>2717</v>
      </c>
      <c r="B2358" s="376"/>
      <c r="C2358" s="389"/>
      <c r="D2358" s="389" t="s">
        <v>263</v>
      </c>
      <c r="E2358" s="376" t="s">
        <v>2970</v>
      </c>
      <c r="F2358" s="356" t="s">
        <v>2716</v>
      </c>
      <c r="G2358" s="356" t="s">
        <v>2971</v>
      </c>
      <c r="H2358" s="376" t="s">
        <v>280</v>
      </c>
      <c r="I2358" s="376"/>
      <c r="J2358" s="376" t="s">
        <v>2969</v>
      </c>
      <c r="K2358" s="122" t="s">
        <v>2714</v>
      </c>
      <c r="L2358" s="159"/>
      <c r="M2358" s="159"/>
      <c r="N2358" s="159"/>
      <c r="O2358" s="159"/>
      <c r="P2358" s="159"/>
      <c r="Q2358" s="159"/>
      <c r="R2358" s="159"/>
      <c r="S2358" s="159"/>
    </row>
    <row r="2359" spans="1:19" ht="25">
      <c r="A2359" s="356" t="s">
        <v>2717</v>
      </c>
      <c r="B2359" s="376"/>
      <c r="C2359" s="389"/>
      <c r="D2359" s="389" t="s">
        <v>263</v>
      </c>
      <c r="E2359" s="376" t="s">
        <v>2972</v>
      </c>
      <c r="F2359" s="356" t="s">
        <v>2716</v>
      </c>
      <c r="G2359" s="356" t="s">
        <v>2973</v>
      </c>
      <c r="H2359" s="376" t="s">
        <v>280</v>
      </c>
      <c r="I2359" s="376"/>
      <c r="J2359" s="376" t="s">
        <v>2969</v>
      </c>
      <c r="K2359" s="122" t="s">
        <v>2714</v>
      </c>
      <c r="L2359" s="159"/>
      <c r="M2359" s="159"/>
      <c r="N2359" s="159"/>
      <c r="O2359" s="159"/>
      <c r="P2359" s="159"/>
      <c r="Q2359" s="159"/>
      <c r="R2359" s="159"/>
      <c r="S2359" s="159"/>
    </row>
    <row r="2360" spans="1:19" ht="25">
      <c r="A2360" s="356" t="s">
        <v>2717</v>
      </c>
      <c r="B2360" s="376"/>
      <c r="C2360" s="389"/>
      <c r="D2360" s="389" t="s">
        <v>263</v>
      </c>
      <c r="E2360" s="376" t="s">
        <v>2974</v>
      </c>
      <c r="F2360" s="356" t="s">
        <v>2716</v>
      </c>
      <c r="G2360" s="356" t="s">
        <v>2975</v>
      </c>
      <c r="H2360" s="376" t="s">
        <v>280</v>
      </c>
      <c r="I2360" s="376"/>
      <c r="J2360" s="376" t="s">
        <v>2969</v>
      </c>
      <c r="K2360" s="122" t="s">
        <v>2714</v>
      </c>
      <c r="L2360" s="159"/>
      <c r="M2360" s="159"/>
      <c r="N2360" s="159"/>
      <c r="O2360" s="159"/>
      <c r="P2360" s="159"/>
      <c r="Q2360" s="159"/>
      <c r="R2360" s="159"/>
      <c r="S2360" s="159"/>
    </row>
    <row r="2361" spans="1:19" ht="25">
      <c r="A2361" s="356" t="s">
        <v>2717</v>
      </c>
      <c r="B2361" s="376"/>
      <c r="C2361" s="389"/>
      <c r="D2361" s="389" t="s">
        <v>263</v>
      </c>
      <c r="E2361" s="376" t="s">
        <v>2976</v>
      </c>
      <c r="F2361" s="356" t="s">
        <v>2716</v>
      </c>
      <c r="G2361" s="356" t="s">
        <v>2977</v>
      </c>
      <c r="H2361" s="376" t="s">
        <v>280</v>
      </c>
      <c r="I2361" s="376"/>
      <c r="J2361" s="376" t="s">
        <v>2969</v>
      </c>
      <c r="K2361" s="122" t="s">
        <v>2714</v>
      </c>
      <c r="L2361" s="159"/>
      <c r="M2361" s="159"/>
      <c r="N2361" s="159"/>
      <c r="O2361" s="159"/>
      <c r="P2361" s="159"/>
      <c r="Q2361" s="159"/>
      <c r="R2361" s="159"/>
      <c r="S2361" s="159"/>
    </row>
  </sheetData>
  <mergeCells count="1553">
    <mergeCell ref="A1636:D1636"/>
    <mergeCell ref="A1:J1"/>
    <mergeCell ref="A89:J89"/>
    <mergeCell ref="A67:J67"/>
    <mergeCell ref="A79:J79"/>
    <mergeCell ref="A55:J55"/>
    <mergeCell ref="A57:C57"/>
    <mergeCell ref="A82:C82"/>
    <mergeCell ref="A81:C81"/>
    <mergeCell ref="A83:C83"/>
    <mergeCell ref="A427:J427"/>
    <mergeCell ref="A299:J299"/>
    <mergeCell ref="A176:J176"/>
    <mergeCell ref="A178:C180"/>
    <mergeCell ref="A301:C303"/>
    <mergeCell ref="A304:C304"/>
    <mergeCell ref="A1382:C1382"/>
    <mergeCell ref="A1388:C1388"/>
    <mergeCell ref="A69:C69"/>
    <mergeCell ref="A544:J544"/>
    <mergeCell ref="A545:J545"/>
    <mergeCell ref="A547:H550"/>
    <mergeCell ref="A696:J696"/>
    <mergeCell ref="A308:C308"/>
    <mergeCell ref="A1234:H1237"/>
    <mergeCell ref="A1231:J1231"/>
    <mergeCell ref="I1234:J1237"/>
    <mergeCell ref="A92:C92"/>
    <mergeCell ref="A698:C701"/>
    <mergeCell ref="A1078:C1078"/>
    <mergeCell ref="A830:J830"/>
    <mergeCell ref="A963:J963"/>
    <mergeCell ref="A1076:J1076"/>
    <mergeCell ref="A832:C832"/>
    <mergeCell ref="A966:C966"/>
    <mergeCell ref="A305:C305"/>
    <mergeCell ref="A306:C306"/>
    <mergeCell ref="A182:C182"/>
    <mergeCell ref="A181:C181"/>
    <mergeCell ref="A307:C307"/>
    <mergeCell ref="A1590:K1590"/>
    <mergeCell ref="L1590:V1590"/>
    <mergeCell ref="W1590:AG1590"/>
    <mergeCell ref="AH1590:AR1590"/>
    <mergeCell ref="AS1590:BC1590"/>
    <mergeCell ref="BD1590:BN1590"/>
    <mergeCell ref="BO1590:BY1590"/>
    <mergeCell ref="BZ1590:CJ1590"/>
    <mergeCell ref="CK1590:CU1590"/>
    <mergeCell ref="D1078:F1078"/>
    <mergeCell ref="CV1590:DF1590"/>
    <mergeCell ref="DG1590:DQ1590"/>
    <mergeCell ref="DR1590:EB1590"/>
    <mergeCell ref="EC1590:EM1590"/>
    <mergeCell ref="EN1590:EX1590"/>
    <mergeCell ref="EY1590:FI1590"/>
    <mergeCell ref="FJ1590:FT1590"/>
    <mergeCell ref="FU1590:GE1590"/>
    <mergeCell ref="GF1590:GP1590"/>
    <mergeCell ref="GQ1590:HA1590"/>
    <mergeCell ref="HB1590:HL1590"/>
    <mergeCell ref="HM1590:HW1590"/>
    <mergeCell ref="HX1590:IH1590"/>
    <mergeCell ref="II1590:IS1590"/>
    <mergeCell ref="IT1590:JD1590"/>
    <mergeCell ref="JE1590:JO1590"/>
    <mergeCell ref="JP1590:JZ1590"/>
    <mergeCell ref="KA1590:KK1590"/>
    <mergeCell ref="KL1590:KV1590"/>
    <mergeCell ref="KW1590:LG1590"/>
    <mergeCell ref="LH1590:LR1590"/>
    <mergeCell ref="LS1590:MC1590"/>
    <mergeCell ref="MD1590:MN1590"/>
    <mergeCell ref="MO1590:MY1590"/>
    <mergeCell ref="MZ1590:NJ1590"/>
    <mergeCell ref="NK1590:NU1590"/>
    <mergeCell ref="NV1590:OF1590"/>
    <mergeCell ref="OG1590:OQ1590"/>
    <mergeCell ref="OR1590:PB1590"/>
    <mergeCell ref="PC1590:PM1590"/>
    <mergeCell ref="PN1590:PX1590"/>
    <mergeCell ref="PY1590:QI1590"/>
    <mergeCell ref="QJ1590:QT1590"/>
    <mergeCell ref="QU1590:RE1590"/>
    <mergeCell ref="RF1590:RP1590"/>
    <mergeCell ref="RQ1590:SA1590"/>
    <mergeCell ref="SB1590:SL1590"/>
    <mergeCell ref="SM1590:SW1590"/>
    <mergeCell ref="SX1590:TH1590"/>
    <mergeCell ref="TI1590:TS1590"/>
    <mergeCell ref="TT1590:UD1590"/>
    <mergeCell ref="UE1590:UO1590"/>
    <mergeCell ref="UP1590:UZ1590"/>
    <mergeCell ref="VA1590:VK1590"/>
    <mergeCell ref="VL1590:VV1590"/>
    <mergeCell ref="VW1590:WG1590"/>
    <mergeCell ref="WH1590:WR1590"/>
    <mergeCell ref="WS1590:XC1590"/>
    <mergeCell ref="XD1590:XN1590"/>
    <mergeCell ref="XO1590:XY1590"/>
    <mergeCell ref="XZ1590:YJ1590"/>
    <mergeCell ref="YK1590:YU1590"/>
    <mergeCell ref="YV1590:ZF1590"/>
    <mergeCell ref="ZG1590:ZQ1590"/>
    <mergeCell ref="ZR1590:AAB1590"/>
    <mergeCell ref="AAC1590:AAM1590"/>
    <mergeCell ref="AAN1590:AAX1590"/>
    <mergeCell ref="AAY1590:ABI1590"/>
    <mergeCell ref="ABJ1590:ABT1590"/>
    <mergeCell ref="ABU1590:ACE1590"/>
    <mergeCell ref="ACF1590:ACP1590"/>
    <mergeCell ref="ACQ1590:ADA1590"/>
    <mergeCell ref="ADB1590:ADL1590"/>
    <mergeCell ref="ADM1590:ADW1590"/>
    <mergeCell ref="ADX1590:AEH1590"/>
    <mergeCell ref="AEI1590:AES1590"/>
    <mergeCell ref="AET1590:AFD1590"/>
    <mergeCell ref="AFE1590:AFO1590"/>
    <mergeCell ref="AFP1590:AFZ1590"/>
    <mergeCell ref="AGA1590:AGK1590"/>
    <mergeCell ref="AGL1590:AGV1590"/>
    <mergeCell ref="AGW1590:AHG1590"/>
    <mergeCell ref="AHH1590:AHR1590"/>
    <mergeCell ref="AHS1590:AIC1590"/>
    <mergeCell ref="AID1590:AIN1590"/>
    <mergeCell ref="AIO1590:AIY1590"/>
    <mergeCell ref="AIZ1590:AJJ1590"/>
    <mergeCell ref="AJK1590:AJU1590"/>
    <mergeCell ref="AJV1590:AKF1590"/>
    <mergeCell ref="AKG1590:AKQ1590"/>
    <mergeCell ref="AKR1590:ALB1590"/>
    <mergeCell ref="ALC1590:ALM1590"/>
    <mergeCell ref="ALN1590:ALX1590"/>
    <mergeCell ref="ALY1590:AMI1590"/>
    <mergeCell ref="AMJ1590:AMT1590"/>
    <mergeCell ref="AMU1590:ANE1590"/>
    <mergeCell ref="ANF1590:ANP1590"/>
    <mergeCell ref="ANQ1590:AOA1590"/>
    <mergeCell ref="AOB1590:AOL1590"/>
    <mergeCell ref="AOM1590:AOW1590"/>
    <mergeCell ref="AOX1590:APH1590"/>
    <mergeCell ref="API1590:APS1590"/>
    <mergeCell ref="APT1590:AQD1590"/>
    <mergeCell ref="AQE1590:AQO1590"/>
    <mergeCell ref="AQP1590:AQZ1590"/>
    <mergeCell ref="ARA1590:ARK1590"/>
    <mergeCell ref="ARL1590:ARV1590"/>
    <mergeCell ref="ARW1590:ASG1590"/>
    <mergeCell ref="ASH1590:ASR1590"/>
    <mergeCell ref="ASS1590:ATC1590"/>
    <mergeCell ref="ATD1590:ATN1590"/>
    <mergeCell ref="ATO1590:ATY1590"/>
    <mergeCell ref="ATZ1590:AUJ1590"/>
    <mergeCell ref="AUK1590:AUU1590"/>
    <mergeCell ref="AUV1590:AVF1590"/>
    <mergeCell ref="AVG1590:AVQ1590"/>
    <mergeCell ref="AVR1590:AWB1590"/>
    <mergeCell ref="AWC1590:AWM1590"/>
    <mergeCell ref="AWN1590:AWX1590"/>
    <mergeCell ref="AWY1590:AXI1590"/>
    <mergeCell ref="AXJ1590:AXT1590"/>
    <mergeCell ref="AXU1590:AYE1590"/>
    <mergeCell ref="AYF1590:AYP1590"/>
    <mergeCell ref="AYQ1590:AZA1590"/>
    <mergeCell ref="AZB1590:AZL1590"/>
    <mergeCell ref="AZM1590:AZW1590"/>
    <mergeCell ref="AZX1590:BAH1590"/>
    <mergeCell ref="BAI1590:BAS1590"/>
    <mergeCell ref="BAT1590:BBD1590"/>
    <mergeCell ref="BBE1590:BBO1590"/>
    <mergeCell ref="BBP1590:BBZ1590"/>
    <mergeCell ref="BCA1590:BCK1590"/>
    <mergeCell ref="BCL1590:BCV1590"/>
    <mergeCell ref="BCW1590:BDG1590"/>
    <mergeCell ref="BDH1590:BDR1590"/>
    <mergeCell ref="BDS1590:BEC1590"/>
    <mergeCell ref="BED1590:BEN1590"/>
    <mergeCell ref="BEO1590:BEY1590"/>
    <mergeCell ref="BEZ1590:BFJ1590"/>
    <mergeCell ref="BFK1590:BFU1590"/>
    <mergeCell ref="BFV1590:BGF1590"/>
    <mergeCell ref="BGG1590:BGQ1590"/>
    <mergeCell ref="BGR1590:BHB1590"/>
    <mergeCell ref="BHC1590:BHM1590"/>
    <mergeCell ref="BHN1590:BHX1590"/>
    <mergeCell ref="BHY1590:BII1590"/>
    <mergeCell ref="BIJ1590:BIT1590"/>
    <mergeCell ref="BIU1590:BJE1590"/>
    <mergeCell ref="BJF1590:BJP1590"/>
    <mergeCell ref="BJQ1590:BKA1590"/>
    <mergeCell ref="BKB1590:BKL1590"/>
    <mergeCell ref="BKM1590:BKW1590"/>
    <mergeCell ref="BKX1590:BLH1590"/>
    <mergeCell ref="BLI1590:BLS1590"/>
    <mergeCell ref="BLT1590:BMD1590"/>
    <mergeCell ref="BME1590:BMO1590"/>
    <mergeCell ref="BMP1590:BMZ1590"/>
    <mergeCell ref="BNA1590:BNK1590"/>
    <mergeCell ref="BNL1590:BNV1590"/>
    <mergeCell ref="BNW1590:BOG1590"/>
    <mergeCell ref="BOH1590:BOR1590"/>
    <mergeCell ref="BOS1590:BPC1590"/>
    <mergeCell ref="BPD1590:BPN1590"/>
    <mergeCell ref="BPO1590:BPY1590"/>
    <mergeCell ref="BPZ1590:BQJ1590"/>
    <mergeCell ref="BQK1590:BQU1590"/>
    <mergeCell ref="BQV1590:BRF1590"/>
    <mergeCell ref="BRG1590:BRQ1590"/>
    <mergeCell ref="BRR1590:BSB1590"/>
    <mergeCell ref="BSC1590:BSM1590"/>
    <mergeCell ref="BSN1590:BSX1590"/>
    <mergeCell ref="BSY1590:BTI1590"/>
    <mergeCell ref="BTJ1590:BTT1590"/>
    <mergeCell ref="BTU1590:BUE1590"/>
    <mergeCell ref="BUF1590:BUP1590"/>
    <mergeCell ref="BUQ1590:BVA1590"/>
    <mergeCell ref="BVB1590:BVL1590"/>
    <mergeCell ref="BVM1590:BVW1590"/>
    <mergeCell ref="BVX1590:BWH1590"/>
    <mergeCell ref="BWI1590:BWS1590"/>
    <mergeCell ref="BWT1590:BXD1590"/>
    <mergeCell ref="BXE1590:BXO1590"/>
    <mergeCell ref="BXP1590:BXZ1590"/>
    <mergeCell ref="BYA1590:BYK1590"/>
    <mergeCell ref="BYL1590:BYV1590"/>
    <mergeCell ref="BYW1590:BZG1590"/>
    <mergeCell ref="BZH1590:BZR1590"/>
    <mergeCell ref="BZS1590:CAC1590"/>
    <mergeCell ref="CAD1590:CAN1590"/>
    <mergeCell ref="CAO1590:CAY1590"/>
    <mergeCell ref="CAZ1590:CBJ1590"/>
    <mergeCell ref="CBK1590:CBU1590"/>
    <mergeCell ref="CBV1590:CCF1590"/>
    <mergeCell ref="CCG1590:CCQ1590"/>
    <mergeCell ref="CCR1590:CDB1590"/>
    <mergeCell ref="CDC1590:CDM1590"/>
    <mergeCell ref="CDN1590:CDX1590"/>
    <mergeCell ref="CDY1590:CEI1590"/>
    <mergeCell ref="CEJ1590:CET1590"/>
    <mergeCell ref="CEU1590:CFE1590"/>
    <mergeCell ref="CFF1590:CFP1590"/>
    <mergeCell ref="CFQ1590:CGA1590"/>
    <mergeCell ref="CGB1590:CGL1590"/>
    <mergeCell ref="CGM1590:CGW1590"/>
    <mergeCell ref="CGX1590:CHH1590"/>
    <mergeCell ref="CHI1590:CHS1590"/>
    <mergeCell ref="CHT1590:CID1590"/>
    <mergeCell ref="CIE1590:CIO1590"/>
    <mergeCell ref="CIP1590:CIZ1590"/>
    <mergeCell ref="CJA1590:CJK1590"/>
    <mergeCell ref="CJL1590:CJV1590"/>
    <mergeCell ref="CJW1590:CKG1590"/>
    <mergeCell ref="CKH1590:CKR1590"/>
    <mergeCell ref="CKS1590:CLC1590"/>
    <mergeCell ref="CLD1590:CLN1590"/>
    <mergeCell ref="CLO1590:CLY1590"/>
    <mergeCell ref="CLZ1590:CMJ1590"/>
    <mergeCell ref="CMK1590:CMU1590"/>
    <mergeCell ref="CMV1590:CNF1590"/>
    <mergeCell ref="CNG1590:CNQ1590"/>
    <mergeCell ref="CNR1590:COB1590"/>
    <mergeCell ref="COC1590:COM1590"/>
    <mergeCell ref="CON1590:COX1590"/>
    <mergeCell ref="COY1590:CPI1590"/>
    <mergeCell ref="CPJ1590:CPT1590"/>
    <mergeCell ref="CPU1590:CQE1590"/>
    <mergeCell ref="CQF1590:CQP1590"/>
    <mergeCell ref="CQQ1590:CRA1590"/>
    <mergeCell ref="CRB1590:CRL1590"/>
    <mergeCell ref="CRM1590:CRW1590"/>
    <mergeCell ref="CRX1590:CSH1590"/>
    <mergeCell ref="CSI1590:CSS1590"/>
    <mergeCell ref="CST1590:CTD1590"/>
    <mergeCell ref="CTE1590:CTO1590"/>
    <mergeCell ref="CTP1590:CTZ1590"/>
    <mergeCell ref="CUA1590:CUK1590"/>
    <mergeCell ref="CUL1590:CUV1590"/>
    <mergeCell ref="CUW1590:CVG1590"/>
    <mergeCell ref="CVH1590:CVR1590"/>
    <mergeCell ref="CVS1590:CWC1590"/>
    <mergeCell ref="CWD1590:CWN1590"/>
    <mergeCell ref="CWO1590:CWY1590"/>
    <mergeCell ref="CWZ1590:CXJ1590"/>
    <mergeCell ref="CXK1590:CXU1590"/>
    <mergeCell ref="CXV1590:CYF1590"/>
    <mergeCell ref="CYG1590:CYQ1590"/>
    <mergeCell ref="CYR1590:CZB1590"/>
    <mergeCell ref="CZC1590:CZM1590"/>
    <mergeCell ref="CZN1590:CZX1590"/>
    <mergeCell ref="CZY1590:DAI1590"/>
    <mergeCell ref="DAJ1590:DAT1590"/>
    <mergeCell ref="DAU1590:DBE1590"/>
    <mergeCell ref="DBF1590:DBP1590"/>
    <mergeCell ref="DBQ1590:DCA1590"/>
    <mergeCell ref="DCB1590:DCL1590"/>
    <mergeCell ref="DCM1590:DCW1590"/>
    <mergeCell ref="DCX1590:DDH1590"/>
    <mergeCell ref="DDI1590:DDS1590"/>
    <mergeCell ref="DDT1590:DED1590"/>
    <mergeCell ref="DEE1590:DEO1590"/>
    <mergeCell ref="DEP1590:DEZ1590"/>
    <mergeCell ref="DFA1590:DFK1590"/>
    <mergeCell ref="DFL1590:DFV1590"/>
    <mergeCell ref="DFW1590:DGG1590"/>
    <mergeCell ref="DGH1590:DGR1590"/>
    <mergeCell ref="DGS1590:DHC1590"/>
    <mergeCell ref="DHD1590:DHN1590"/>
    <mergeCell ref="DHO1590:DHY1590"/>
    <mergeCell ref="DHZ1590:DIJ1590"/>
    <mergeCell ref="DIK1590:DIU1590"/>
    <mergeCell ref="DIV1590:DJF1590"/>
    <mergeCell ref="DJG1590:DJQ1590"/>
    <mergeCell ref="DJR1590:DKB1590"/>
    <mergeCell ref="DKC1590:DKM1590"/>
    <mergeCell ref="DKN1590:DKX1590"/>
    <mergeCell ref="DKY1590:DLI1590"/>
    <mergeCell ref="DLJ1590:DLT1590"/>
    <mergeCell ref="DLU1590:DME1590"/>
    <mergeCell ref="DMF1590:DMP1590"/>
    <mergeCell ref="DMQ1590:DNA1590"/>
    <mergeCell ref="DNB1590:DNL1590"/>
    <mergeCell ref="DNM1590:DNW1590"/>
    <mergeCell ref="DNX1590:DOH1590"/>
    <mergeCell ref="DOI1590:DOS1590"/>
    <mergeCell ref="DOT1590:DPD1590"/>
    <mergeCell ref="DPE1590:DPO1590"/>
    <mergeCell ref="DPP1590:DPZ1590"/>
    <mergeCell ref="DQA1590:DQK1590"/>
    <mergeCell ref="DQL1590:DQV1590"/>
    <mergeCell ref="DQW1590:DRG1590"/>
    <mergeCell ref="DRH1590:DRR1590"/>
    <mergeCell ref="DRS1590:DSC1590"/>
    <mergeCell ref="DSD1590:DSN1590"/>
    <mergeCell ref="DSO1590:DSY1590"/>
    <mergeCell ref="DSZ1590:DTJ1590"/>
    <mergeCell ref="DTK1590:DTU1590"/>
    <mergeCell ref="DTV1590:DUF1590"/>
    <mergeCell ref="DUG1590:DUQ1590"/>
    <mergeCell ref="DUR1590:DVB1590"/>
    <mergeCell ref="DVC1590:DVM1590"/>
    <mergeCell ref="DVN1590:DVX1590"/>
    <mergeCell ref="DVY1590:DWI1590"/>
    <mergeCell ref="DWJ1590:DWT1590"/>
    <mergeCell ref="DWU1590:DXE1590"/>
    <mergeCell ref="DXF1590:DXP1590"/>
    <mergeCell ref="DXQ1590:DYA1590"/>
    <mergeCell ref="DYB1590:DYL1590"/>
    <mergeCell ref="DYM1590:DYW1590"/>
    <mergeCell ref="DYX1590:DZH1590"/>
    <mergeCell ref="DZI1590:DZS1590"/>
    <mergeCell ref="DZT1590:EAD1590"/>
    <mergeCell ref="EAE1590:EAO1590"/>
    <mergeCell ref="EAP1590:EAZ1590"/>
    <mergeCell ref="EBA1590:EBK1590"/>
    <mergeCell ref="EBL1590:EBV1590"/>
    <mergeCell ref="EBW1590:ECG1590"/>
    <mergeCell ref="ECH1590:ECR1590"/>
    <mergeCell ref="ECS1590:EDC1590"/>
    <mergeCell ref="EDD1590:EDN1590"/>
    <mergeCell ref="EDO1590:EDY1590"/>
    <mergeCell ref="EDZ1590:EEJ1590"/>
    <mergeCell ref="EEK1590:EEU1590"/>
    <mergeCell ref="EEV1590:EFF1590"/>
    <mergeCell ref="EFG1590:EFQ1590"/>
    <mergeCell ref="EFR1590:EGB1590"/>
    <mergeCell ref="EGC1590:EGM1590"/>
    <mergeCell ref="EGN1590:EGX1590"/>
    <mergeCell ref="EGY1590:EHI1590"/>
    <mergeCell ref="EHJ1590:EHT1590"/>
    <mergeCell ref="EHU1590:EIE1590"/>
    <mergeCell ref="EIF1590:EIP1590"/>
    <mergeCell ref="EIQ1590:EJA1590"/>
    <mergeCell ref="EJB1590:EJL1590"/>
    <mergeCell ref="EJM1590:EJW1590"/>
    <mergeCell ref="EJX1590:EKH1590"/>
    <mergeCell ref="EKI1590:EKS1590"/>
    <mergeCell ref="EKT1590:ELD1590"/>
    <mergeCell ref="ELE1590:ELO1590"/>
    <mergeCell ref="ELP1590:ELZ1590"/>
    <mergeCell ref="EMA1590:EMK1590"/>
    <mergeCell ref="EML1590:EMV1590"/>
    <mergeCell ref="EMW1590:ENG1590"/>
    <mergeCell ref="ENH1590:ENR1590"/>
    <mergeCell ref="ENS1590:EOC1590"/>
    <mergeCell ref="EOD1590:EON1590"/>
    <mergeCell ref="EOO1590:EOY1590"/>
    <mergeCell ref="EOZ1590:EPJ1590"/>
    <mergeCell ref="EPK1590:EPU1590"/>
    <mergeCell ref="EPV1590:EQF1590"/>
    <mergeCell ref="EQG1590:EQQ1590"/>
    <mergeCell ref="EQR1590:ERB1590"/>
    <mergeCell ref="ERC1590:ERM1590"/>
    <mergeCell ref="ERN1590:ERX1590"/>
    <mergeCell ref="ERY1590:ESI1590"/>
    <mergeCell ref="ESJ1590:EST1590"/>
    <mergeCell ref="ESU1590:ETE1590"/>
    <mergeCell ref="ETF1590:ETP1590"/>
    <mergeCell ref="ETQ1590:EUA1590"/>
    <mergeCell ref="EUB1590:EUL1590"/>
    <mergeCell ref="EUM1590:EUW1590"/>
    <mergeCell ref="EUX1590:EVH1590"/>
    <mergeCell ref="EVI1590:EVS1590"/>
    <mergeCell ref="EVT1590:EWD1590"/>
    <mergeCell ref="EWE1590:EWO1590"/>
    <mergeCell ref="EWP1590:EWZ1590"/>
    <mergeCell ref="EXA1590:EXK1590"/>
    <mergeCell ref="EXL1590:EXV1590"/>
    <mergeCell ref="EXW1590:EYG1590"/>
    <mergeCell ref="EYH1590:EYR1590"/>
    <mergeCell ref="EYS1590:EZC1590"/>
    <mergeCell ref="EZD1590:EZN1590"/>
    <mergeCell ref="EZO1590:EZY1590"/>
    <mergeCell ref="EZZ1590:FAJ1590"/>
    <mergeCell ref="FAK1590:FAU1590"/>
    <mergeCell ref="FAV1590:FBF1590"/>
    <mergeCell ref="FBG1590:FBQ1590"/>
    <mergeCell ref="FBR1590:FCB1590"/>
    <mergeCell ref="FCC1590:FCM1590"/>
    <mergeCell ref="FCN1590:FCX1590"/>
    <mergeCell ref="FCY1590:FDI1590"/>
    <mergeCell ref="FDJ1590:FDT1590"/>
    <mergeCell ref="FDU1590:FEE1590"/>
    <mergeCell ref="FEF1590:FEP1590"/>
    <mergeCell ref="FEQ1590:FFA1590"/>
    <mergeCell ref="FFB1590:FFL1590"/>
    <mergeCell ref="FFM1590:FFW1590"/>
    <mergeCell ref="FFX1590:FGH1590"/>
    <mergeCell ref="FGI1590:FGS1590"/>
    <mergeCell ref="FGT1590:FHD1590"/>
    <mergeCell ref="FHE1590:FHO1590"/>
    <mergeCell ref="FHP1590:FHZ1590"/>
    <mergeCell ref="FIA1590:FIK1590"/>
    <mergeCell ref="FIL1590:FIV1590"/>
    <mergeCell ref="FIW1590:FJG1590"/>
    <mergeCell ref="FJH1590:FJR1590"/>
    <mergeCell ref="FJS1590:FKC1590"/>
    <mergeCell ref="FKD1590:FKN1590"/>
    <mergeCell ref="FKO1590:FKY1590"/>
    <mergeCell ref="FKZ1590:FLJ1590"/>
    <mergeCell ref="FLK1590:FLU1590"/>
    <mergeCell ref="FLV1590:FMF1590"/>
    <mergeCell ref="FMG1590:FMQ1590"/>
    <mergeCell ref="FMR1590:FNB1590"/>
    <mergeCell ref="FNC1590:FNM1590"/>
    <mergeCell ref="FNN1590:FNX1590"/>
    <mergeCell ref="FNY1590:FOI1590"/>
    <mergeCell ref="FOJ1590:FOT1590"/>
    <mergeCell ref="FOU1590:FPE1590"/>
    <mergeCell ref="FPF1590:FPP1590"/>
    <mergeCell ref="FPQ1590:FQA1590"/>
    <mergeCell ref="FQB1590:FQL1590"/>
    <mergeCell ref="FQM1590:FQW1590"/>
    <mergeCell ref="FQX1590:FRH1590"/>
    <mergeCell ref="FRI1590:FRS1590"/>
    <mergeCell ref="FRT1590:FSD1590"/>
    <mergeCell ref="FSE1590:FSO1590"/>
    <mergeCell ref="FSP1590:FSZ1590"/>
    <mergeCell ref="FTA1590:FTK1590"/>
    <mergeCell ref="FTL1590:FTV1590"/>
    <mergeCell ref="FTW1590:FUG1590"/>
    <mergeCell ref="FUH1590:FUR1590"/>
    <mergeCell ref="FUS1590:FVC1590"/>
    <mergeCell ref="FVD1590:FVN1590"/>
    <mergeCell ref="FVO1590:FVY1590"/>
    <mergeCell ref="FVZ1590:FWJ1590"/>
    <mergeCell ref="FWK1590:FWU1590"/>
    <mergeCell ref="FWV1590:FXF1590"/>
    <mergeCell ref="FXG1590:FXQ1590"/>
    <mergeCell ref="FXR1590:FYB1590"/>
    <mergeCell ref="FYC1590:FYM1590"/>
    <mergeCell ref="FYN1590:FYX1590"/>
    <mergeCell ref="FYY1590:FZI1590"/>
    <mergeCell ref="FZJ1590:FZT1590"/>
    <mergeCell ref="FZU1590:GAE1590"/>
    <mergeCell ref="GAF1590:GAP1590"/>
    <mergeCell ref="GAQ1590:GBA1590"/>
    <mergeCell ref="GBB1590:GBL1590"/>
    <mergeCell ref="GBM1590:GBW1590"/>
    <mergeCell ref="GBX1590:GCH1590"/>
    <mergeCell ref="GCI1590:GCS1590"/>
    <mergeCell ref="GCT1590:GDD1590"/>
    <mergeCell ref="GDE1590:GDO1590"/>
    <mergeCell ref="GDP1590:GDZ1590"/>
    <mergeCell ref="GEA1590:GEK1590"/>
    <mergeCell ref="GEL1590:GEV1590"/>
    <mergeCell ref="GEW1590:GFG1590"/>
    <mergeCell ref="GFH1590:GFR1590"/>
    <mergeCell ref="GFS1590:GGC1590"/>
    <mergeCell ref="GGD1590:GGN1590"/>
    <mergeCell ref="GGO1590:GGY1590"/>
    <mergeCell ref="GGZ1590:GHJ1590"/>
    <mergeCell ref="GHK1590:GHU1590"/>
    <mergeCell ref="GHV1590:GIF1590"/>
    <mergeCell ref="GIG1590:GIQ1590"/>
    <mergeCell ref="GIR1590:GJB1590"/>
    <mergeCell ref="GJC1590:GJM1590"/>
    <mergeCell ref="GJN1590:GJX1590"/>
    <mergeCell ref="GJY1590:GKI1590"/>
    <mergeCell ref="GKJ1590:GKT1590"/>
    <mergeCell ref="GKU1590:GLE1590"/>
    <mergeCell ref="GLF1590:GLP1590"/>
    <mergeCell ref="GLQ1590:GMA1590"/>
    <mergeCell ref="GMB1590:GML1590"/>
    <mergeCell ref="GMM1590:GMW1590"/>
    <mergeCell ref="GMX1590:GNH1590"/>
    <mergeCell ref="GNI1590:GNS1590"/>
    <mergeCell ref="GNT1590:GOD1590"/>
    <mergeCell ref="GOE1590:GOO1590"/>
    <mergeCell ref="GOP1590:GOZ1590"/>
    <mergeCell ref="GPA1590:GPK1590"/>
    <mergeCell ref="GPL1590:GPV1590"/>
    <mergeCell ref="GPW1590:GQG1590"/>
    <mergeCell ref="GQH1590:GQR1590"/>
    <mergeCell ref="GQS1590:GRC1590"/>
    <mergeCell ref="GRD1590:GRN1590"/>
    <mergeCell ref="GRO1590:GRY1590"/>
    <mergeCell ref="GRZ1590:GSJ1590"/>
    <mergeCell ref="GSK1590:GSU1590"/>
    <mergeCell ref="GSV1590:GTF1590"/>
    <mergeCell ref="GTG1590:GTQ1590"/>
    <mergeCell ref="GTR1590:GUB1590"/>
    <mergeCell ref="GUC1590:GUM1590"/>
    <mergeCell ref="GUN1590:GUX1590"/>
    <mergeCell ref="GUY1590:GVI1590"/>
    <mergeCell ref="GVJ1590:GVT1590"/>
    <mergeCell ref="GVU1590:GWE1590"/>
    <mergeCell ref="GWF1590:GWP1590"/>
    <mergeCell ref="GWQ1590:GXA1590"/>
    <mergeCell ref="GXB1590:GXL1590"/>
    <mergeCell ref="GXM1590:GXW1590"/>
    <mergeCell ref="GXX1590:GYH1590"/>
    <mergeCell ref="GYI1590:GYS1590"/>
    <mergeCell ref="GYT1590:GZD1590"/>
    <mergeCell ref="GZE1590:GZO1590"/>
    <mergeCell ref="GZP1590:GZZ1590"/>
    <mergeCell ref="HAA1590:HAK1590"/>
    <mergeCell ref="HAL1590:HAV1590"/>
    <mergeCell ref="HAW1590:HBG1590"/>
    <mergeCell ref="HBH1590:HBR1590"/>
    <mergeCell ref="HBS1590:HCC1590"/>
    <mergeCell ref="HCD1590:HCN1590"/>
    <mergeCell ref="HCO1590:HCY1590"/>
    <mergeCell ref="HCZ1590:HDJ1590"/>
    <mergeCell ref="HDK1590:HDU1590"/>
    <mergeCell ref="HDV1590:HEF1590"/>
    <mergeCell ref="HEG1590:HEQ1590"/>
    <mergeCell ref="HER1590:HFB1590"/>
    <mergeCell ref="HFC1590:HFM1590"/>
    <mergeCell ref="HFN1590:HFX1590"/>
    <mergeCell ref="HFY1590:HGI1590"/>
    <mergeCell ref="HGJ1590:HGT1590"/>
    <mergeCell ref="HGU1590:HHE1590"/>
    <mergeCell ref="HHF1590:HHP1590"/>
    <mergeCell ref="HHQ1590:HIA1590"/>
    <mergeCell ref="HIB1590:HIL1590"/>
    <mergeCell ref="HIM1590:HIW1590"/>
    <mergeCell ref="HIX1590:HJH1590"/>
    <mergeCell ref="HJI1590:HJS1590"/>
    <mergeCell ref="HJT1590:HKD1590"/>
    <mergeCell ref="HKE1590:HKO1590"/>
    <mergeCell ref="HKP1590:HKZ1590"/>
    <mergeCell ref="HLA1590:HLK1590"/>
    <mergeCell ref="HLL1590:HLV1590"/>
    <mergeCell ref="HLW1590:HMG1590"/>
    <mergeCell ref="HMH1590:HMR1590"/>
    <mergeCell ref="HMS1590:HNC1590"/>
    <mergeCell ref="HND1590:HNN1590"/>
    <mergeCell ref="HNO1590:HNY1590"/>
    <mergeCell ref="HNZ1590:HOJ1590"/>
    <mergeCell ref="HOK1590:HOU1590"/>
    <mergeCell ref="HOV1590:HPF1590"/>
    <mergeCell ref="HPG1590:HPQ1590"/>
    <mergeCell ref="HPR1590:HQB1590"/>
    <mergeCell ref="HQC1590:HQM1590"/>
    <mergeCell ref="HQN1590:HQX1590"/>
    <mergeCell ref="HQY1590:HRI1590"/>
    <mergeCell ref="HRJ1590:HRT1590"/>
    <mergeCell ref="HRU1590:HSE1590"/>
    <mergeCell ref="HSF1590:HSP1590"/>
    <mergeCell ref="HSQ1590:HTA1590"/>
    <mergeCell ref="HTB1590:HTL1590"/>
    <mergeCell ref="HTM1590:HTW1590"/>
    <mergeCell ref="HTX1590:HUH1590"/>
    <mergeCell ref="HUI1590:HUS1590"/>
    <mergeCell ref="HUT1590:HVD1590"/>
    <mergeCell ref="HVE1590:HVO1590"/>
    <mergeCell ref="HVP1590:HVZ1590"/>
    <mergeCell ref="HWA1590:HWK1590"/>
    <mergeCell ref="HWL1590:HWV1590"/>
    <mergeCell ref="HWW1590:HXG1590"/>
    <mergeCell ref="HXH1590:HXR1590"/>
    <mergeCell ref="HXS1590:HYC1590"/>
    <mergeCell ref="HYD1590:HYN1590"/>
    <mergeCell ref="HYO1590:HYY1590"/>
    <mergeCell ref="HYZ1590:HZJ1590"/>
    <mergeCell ref="HZK1590:HZU1590"/>
    <mergeCell ref="HZV1590:IAF1590"/>
    <mergeCell ref="IAG1590:IAQ1590"/>
    <mergeCell ref="IAR1590:IBB1590"/>
    <mergeCell ref="IBC1590:IBM1590"/>
    <mergeCell ref="IBN1590:IBX1590"/>
    <mergeCell ref="IBY1590:ICI1590"/>
    <mergeCell ref="ICJ1590:ICT1590"/>
    <mergeCell ref="ICU1590:IDE1590"/>
    <mergeCell ref="IDF1590:IDP1590"/>
    <mergeCell ref="IDQ1590:IEA1590"/>
    <mergeCell ref="IEB1590:IEL1590"/>
    <mergeCell ref="IEM1590:IEW1590"/>
    <mergeCell ref="IEX1590:IFH1590"/>
    <mergeCell ref="IFI1590:IFS1590"/>
    <mergeCell ref="IFT1590:IGD1590"/>
    <mergeCell ref="IGE1590:IGO1590"/>
    <mergeCell ref="IGP1590:IGZ1590"/>
    <mergeCell ref="IHA1590:IHK1590"/>
    <mergeCell ref="IHL1590:IHV1590"/>
    <mergeCell ref="IHW1590:IIG1590"/>
    <mergeCell ref="IIH1590:IIR1590"/>
    <mergeCell ref="IIS1590:IJC1590"/>
    <mergeCell ref="IJD1590:IJN1590"/>
    <mergeCell ref="IJO1590:IJY1590"/>
    <mergeCell ref="IJZ1590:IKJ1590"/>
    <mergeCell ref="IKK1590:IKU1590"/>
    <mergeCell ref="IKV1590:ILF1590"/>
    <mergeCell ref="ILG1590:ILQ1590"/>
    <mergeCell ref="ILR1590:IMB1590"/>
    <mergeCell ref="IMC1590:IMM1590"/>
    <mergeCell ref="IMN1590:IMX1590"/>
    <mergeCell ref="IMY1590:INI1590"/>
    <mergeCell ref="INJ1590:INT1590"/>
    <mergeCell ref="INU1590:IOE1590"/>
    <mergeCell ref="IOF1590:IOP1590"/>
    <mergeCell ref="IOQ1590:IPA1590"/>
    <mergeCell ref="IPB1590:IPL1590"/>
    <mergeCell ref="IPM1590:IPW1590"/>
    <mergeCell ref="IPX1590:IQH1590"/>
    <mergeCell ref="IQI1590:IQS1590"/>
    <mergeCell ref="IQT1590:IRD1590"/>
    <mergeCell ref="IRE1590:IRO1590"/>
    <mergeCell ref="IRP1590:IRZ1590"/>
    <mergeCell ref="ISA1590:ISK1590"/>
    <mergeCell ref="ISL1590:ISV1590"/>
    <mergeCell ref="ISW1590:ITG1590"/>
    <mergeCell ref="ITH1590:ITR1590"/>
    <mergeCell ref="ITS1590:IUC1590"/>
    <mergeCell ref="IUD1590:IUN1590"/>
    <mergeCell ref="IUO1590:IUY1590"/>
    <mergeCell ref="IUZ1590:IVJ1590"/>
    <mergeCell ref="IVK1590:IVU1590"/>
    <mergeCell ref="IVV1590:IWF1590"/>
    <mergeCell ref="IWG1590:IWQ1590"/>
    <mergeCell ref="IWR1590:IXB1590"/>
    <mergeCell ref="IXC1590:IXM1590"/>
    <mergeCell ref="IXN1590:IXX1590"/>
    <mergeCell ref="IXY1590:IYI1590"/>
    <mergeCell ref="IYJ1590:IYT1590"/>
    <mergeCell ref="IYU1590:IZE1590"/>
    <mergeCell ref="IZF1590:IZP1590"/>
    <mergeCell ref="IZQ1590:JAA1590"/>
    <mergeCell ref="JAB1590:JAL1590"/>
    <mergeCell ref="JAM1590:JAW1590"/>
    <mergeCell ref="JAX1590:JBH1590"/>
    <mergeCell ref="JBI1590:JBS1590"/>
    <mergeCell ref="JBT1590:JCD1590"/>
    <mergeCell ref="JCE1590:JCO1590"/>
    <mergeCell ref="JCP1590:JCZ1590"/>
    <mergeCell ref="JDA1590:JDK1590"/>
    <mergeCell ref="JDL1590:JDV1590"/>
    <mergeCell ref="JDW1590:JEG1590"/>
    <mergeCell ref="JEH1590:JER1590"/>
    <mergeCell ref="JES1590:JFC1590"/>
    <mergeCell ref="JFD1590:JFN1590"/>
    <mergeCell ref="JFO1590:JFY1590"/>
    <mergeCell ref="JFZ1590:JGJ1590"/>
    <mergeCell ref="JGK1590:JGU1590"/>
    <mergeCell ref="JGV1590:JHF1590"/>
    <mergeCell ref="JHG1590:JHQ1590"/>
    <mergeCell ref="JHR1590:JIB1590"/>
    <mergeCell ref="JIC1590:JIM1590"/>
    <mergeCell ref="JIN1590:JIX1590"/>
    <mergeCell ref="JIY1590:JJI1590"/>
    <mergeCell ref="JJJ1590:JJT1590"/>
    <mergeCell ref="JJU1590:JKE1590"/>
    <mergeCell ref="JKF1590:JKP1590"/>
    <mergeCell ref="JKQ1590:JLA1590"/>
    <mergeCell ref="JLB1590:JLL1590"/>
    <mergeCell ref="JLM1590:JLW1590"/>
    <mergeCell ref="JLX1590:JMH1590"/>
    <mergeCell ref="JMI1590:JMS1590"/>
    <mergeCell ref="JMT1590:JND1590"/>
    <mergeCell ref="JNE1590:JNO1590"/>
    <mergeCell ref="JNP1590:JNZ1590"/>
    <mergeCell ref="JOA1590:JOK1590"/>
    <mergeCell ref="JOL1590:JOV1590"/>
    <mergeCell ref="JOW1590:JPG1590"/>
    <mergeCell ref="JPH1590:JPR1590"/>
    <mergeCell ref="JPS1590:JQC1590"/>
    <mergeCell ref="JQD1590:JQN1590"/>
    <mergeCell ref="JQO1590:JQY1590"/>
    <mergeCell ref="JQZ1590:JRJ1590"/>
    <mergeCell ref="JRK1590:JRU1590"/>
    <mergeCell ref="JRV1590:JSF1590"/>
    <mergeCell ref="JSG1590:JSQ1590"/>
    <mergeCell ref="JSR1590:JTB1590"/>
    <mergeCell ref="JTC1590:JTM1590"/>
    <mergeCell ref="JTN1590:JTX1590"/>
    <mergeCell ref="JTY1590:JUI1590"/>
    <mergeCell ref="JUJ1590:JUT1590"/>
    <mergeCell ref="JUU1590:JVE1590"/>
    <mergeCell ref="JVF1590:JVP1590"/>
    <mergeCell ref="JVQ1590:JWA1590"/>
    <mergeCell ref="JWB1590:JWL1590"/>
    <mergeCell ref="JWM1590:JWW1590"/>
    <mergeCell ref="JWX1590:JXH1590"/>
    <mergeCell ref="JXI1590:JXS1590"/>
    <mergeCell ref="JXT1590:JYD1590"/>
    <mergeCell ref="JYE1590:JYO1590"/>
    <mergeCell ref="JYP1590:JYZ1590"/>
    <mergeCell ref="JZA1590:JZK1590"/>
    <mergeCell ref="JZL1590:JZV1590"/>
    <mergeCell ref="JZW1590:KAG1590"/>
    <mergeCell ref="KAH1590:KAR1590"/>
    <mergeCell ref="KAS1590:KBC1590"/>
    <mergeCell ref="KBD1590:KBN1590"/>
    <mergeCell ref="KBO1590:KBY1590"/>
    <mergeCell ref="KBZ1590:KCJ1590"/>
    <mergeCell ref="KCK1590:KCU1590"/>
    <mergeCell ref="KCV1590:KDF1590"/>
    <mergeCell ref="KDG1590:KDQ1590"/>
    <mergeCell ref="KDR1590:KEB1590"/>
    <mergeCell ref="KEC1590:KEM1590"/>
    <mergeCell ref="KEN1590:KEX1590"/>
    <mergeCell ref="KEY1590:KFI1590"/>
    <mergeCell ref="KFJ1590:KFT1590"/>
    <mergeCell ref="KFU1590:KGE1590"/>
    <mergeCell ref="KGF1590:KGP1590"/>
    <mergeCell ref="KGQ1590:KHA1590"/>
    <mergeCell ref="KHB1590:KHL1590"/>
    <mergeCell ref="KHM1590:KHW1590"/>
    <mergeCell ref="KHX1590:KIH1590"/>
    <mergeCell ref="KII1590:KIS1590"/>
    <mergeCell ref="KIT1590:KJD1590"/>
    <mergeCell ref="KJE1590:KJO1590"/>
    <mergeCell ref="KJP1590:KJZ1590"/>
    <mergeCell ref="KKA1590:KKK1590"/>
    <mergeCell ref="KKL1590:KKV1590"/>
    <mergeCell ref="KKW1590:KLG1590"/>
    <mergeCell ref="KLH1590:KLR1590"/>
    <mergeCell ref="KLS1590:KMC1590"/>
    <mergeCell ref="KMD1590:KMN1590"/>
    <mergeCell ref="KMO1590:KMY1590"/>
    <mergeCell ref="KMZ1590:KNJ1590"/>
    <mergeCell ref="KNK1590:KNU1590"/>
    <mergeCell ref="KNV1590:KOF1590"/>
    <mergeCell ref="KOG1590:KOQ1590"/>
    <mergeCell ref="KOR1590:KPB1590"/>
    <mergeCell ref="KPC1590:KPM1590"/>
    <mergeCell ref="KPN1590:KPX1590"/>
    <mergeCell ref="KPY1590:KQI1590"/>
    <mergeCell ref="KQJ1590:KQT1590"/>
    <mergeCell ref="KQU1590:KRE1590"/>
    <mergeCell ref="KRF1590:KRP1590"/>
    <mergeCell ref="KRQ1590:KSA1590"/>
    <mergeCell ref="KSB1590:KSL1590"/>
    <mergeCell ref="KSM1590:KSW1590"/>
    <mergeCell ref="KSX1590:KTH1590"/>
    <mergeCell ref="KTI1590:KTS1590"/>
    <mergeCell ref="KTT1590:KUD1590"/>
    <mergeCell ref="KUE1590:KUO1590"/>
    <mergeCell ref="KUP1590:KUZ1590"/>
    <mergeCell ref="KVA1590:KVK1590"/>
    <mergeCell ref="KVL1590:KVV1590"/>
    <mergeCell ref="KVW1590:KWG1590"/>
    <mergeCell ref="KWH1590:KWR1590"/>
    <mergeCell ref="KWS1590:KXC1590"/>
    <mergeCell ref="KXD1590:KXN1590"/>
    <mergeCell ref="KXO1590:KXY1590"/>
    <mergeCell ref="KXZ1590:KYJ1590"/>
    <mergeCell ref="KYK1590:KYU1590"/>
    <mergeCell ref="KYV1590:KZF1590"/>
    <mergeCell ref="KZG1590:KZQ1590"/>
    <mergeCell ref="KZR1590:LAB1590"/>
    <mergeCell ref="LAC1590:LAM1590"/>
    <mergeCell ref="LAN1590:LAX1590"/>
    <mergeCell ref="LAY1590:LBI1590"/>
    <mergeCell ref="LBJ1590:LBT1590"/>
    <mergeCell ref="LBU1590:LCE1590"/>
    <mergeCell ref="LCF1590:LCP1590"/>
    <mergeCell ref="LCQ1590:LDA1590"/>
    <mergeCell ref="LDB1590:LDL1590"/>
    <mergeCell ref="LDM1590:LDW1590"/>
    <mergeCell ref="LDX1590:LEH1590"/>
    <mergeCell ref="LEI1590:LES1590"/>
    <mergeCell ref="LET1590:LFD1590"/>
    <mergeCell ref="LFE1590:LFO1590"/>
    <mergeCell ref="LFP1590:LFZ1590"/>
    <mergeCell ref="LGA1590:LGK1590"/>
    <mergeCell ref="LGL1590:LGV1590"/>
    <mergeCell ref="LGW1590:LHG1590"/>
    <mergeCell ref="LHH1590:LHR1590"/>
    <mergeCell ref="LHS1590:LIC1590"/>
    <mergeCell ref="LID1590:LIN1590"/>
    <mergeCell ref="LIO1590:LIY1590"/>
    <mergeCell ref="LIZ1590:LJJ1590"/>
    <mergeCell ref="LJK1590:LJU1590"/>
    <mergeCell ref="LJV1590:LKF1590"/>
    <mergeCell ref="LKG1590:LKQ1590"/>
    <mergeCell ref="LKR1590:LLB1590"/>
    <mergeCell ref="LLC1590:LLM1590"/>
    <mergeCell ref="LLN1590:LLX1590"/>
    <mergeCell ref="LLY1590:LMI1590"/>
    <mergeCell ref="LMJ1590:LMT1590"/>
    <mergeCell ref="LMU1590:LNE1590"/>
    <mergeCell ref="LNF1590:LNP1590"/>
    <mergeCell ref="LNQ1590:LOA1590"/>
    <mergeCell ref="LOB1590:LOL1590"/>
    <mergeCell ref="LOM1590:LOW1590"/>
    <mergeCell ref="LOX1590:LPH1590"/>
    <mergeCell ref="LPI1590:LPS1590"/>
    <mergeCell ref="LPT1590:LQD1590"/>
    <mergeCell ref="LQE1590:LQO1590"/>
    <mergeCell ref="LQP1590:LQZ1590"/>
    <mergeCell ref="LRA1590:LRK1590"/>
    <mergeCell ref="LRL1590:LRV1590"/>
    <mergeCell ref="LRW1590:LSG1590"/>
    <mergeCell ref="LSH1590:LSR1590"/>
    <mergeCell ref="LSS1590:LTC1590"/>
    <mergeCell ref="LTD1590:LTN1590"/>
    <mergeCell ref="LTO1590:LTY1590"/>
    <mergeCell ref="LTZ1590:LUJ1590"/>
    <mergeCell ref="LUK1590:LUU1590"/>
    <mergeCell ref="LUV1590:LVF1590"/>
    <mergeCell ref="LVG1590:LVQ1590"/>
    <mergeCell ref="LVR1590:LWB1590"/>
    <mergeCell ref="LWC1590:LWM1590"/>
    <mergeCell ref="LWN1590:LWX1590"/>
    <mergeCell ref="LWY1590:LXI1590"/>
    <mergeCell ref="LXJ1590:LXT1590"/>
    <mergeCell ref="LXU1590:LYE1590"/>
    <mergeCell ref="LYF1590:LYP1590"/>
    <mergeCell ref="LYQ1590:LZA1590"/>
    <mergeCell ref="LZB1590:LZL1590"/>
    <mergeCell ref="LZM1590:LZW1590"/>
    <mergeCell ref="LZX1590:MAH1590"/>
    <mergeCell ref="MAI1590:MAS1590"/>
    <mergeCell ref="MAT1590:MBD1590"/>
    <mergeCell ref="MBE1590:MBO1590"/>
    <mergeCell ref="MBP1590:MBZ1590"/>
    <mergeCell ref="MCA1590:MCK1590"/>
    <mergeCell ref="MCL1590:MCV1590"/>
    <mergeCell ref="MCW1590:MDG1590"/>
    <mergeCell ref="MDH1590:MDR1590"/>
    <mergeCell ref="MDS1590:MEC1590"/>
    <mergeCell ref="MED1590:MEN1590"/>
    <mergeCell ref="MEO1590:MEY1590"/>
    <mergeCell ref="MEZ1590:MFJ1590"/>
    <mergeCell ref="MFK1590:MFU1590"/>
    <mergeCell ref="MFV1590:MGF1590"/>
    <mergeCell ref="MGG1590:MGQ1590"/>
    <mergeCell ref="MGR1590:MHB1590"/>
    <mergeCell ref="MHC1590:MHM1590"/>
    <mergeCell ref="MHN1590:MHX1590"/>
    <mergeCell ref="MHY1590:MII1590"/>
    <mergeCell ref="MIJ1590:MIT1590"/>
    <mergeCell ref="MIU1590:MJE1590"/>
    <mergeCell ref="MJF1590:MJP1590"/>
    <mergeCell ref="MJQ1590:MKA1590"/>
    <mergeCell ref="MKB1590:MKL1590"/>
    <mergeCell ref="MKM1590:MKW1590"/>
    <mergeCell ref="MKX1590:MLH1590"/>
    <mergeCell ref="MLI1590:MLS1590"/>
    <mergeCell ref="MLT1590:MMD1590"/>
    <mergeCell ref="MME1590:MMO1590"/>
    <mergeCell ref="MMP1590:MMZ1590"/>
    <mergeCell ref="MNA1590:MNK1590"/>
    <mergeCell ref="MNL1590:MNV1590"/>
    <mergeCell ref="MNW1590:MOG1590"/>
    <mergeCell ref="MOH1590:MOR1590"/>
    <mergeCell ref="MOS1590:MPC1590"/>
    <mergeCell ref="MPD1590:MPN1590"/>
    <mergeCell ref="MPO1590:MPY1590"/>
    <mergeCell ref="MPZ1590:MQJ1590"/>
    <mergeCell ref="MQK1590:MQU1590"/>
    <mergeCell ref="MQV1590:MRF1590"/>
    <mergeCell ref="MRG1590:MRQ1590"/>
    <mergeCell ref="MRR1590:MSB1590"/>
    <mergeCell ref="MSC1590:MSM1590"/>
    <mergeCell ref="MSN1590:MSX1590"/>
    <mergeCell ref="MSY1590:MTI1590"/>
    <mergeCell ref="MTJ1590:MTT1590"/>
    <mergeCell ref="MTU1590:MUE1590"/>
    <mergeCell ref="MUF1590:MUP1590"/>
    <mergeCell ref="MUQ1590:MVA1590"/>
    <mergeCell ref="MVB1590:MVL1590"/>
    <mergeCell ref="MVM1590:MVW1590"/>
    <mergeCell ref="MVX1590:MWH1590"/>
    <mergeCell ref="MWI1590:MWS1590"/>
    <mergeCell ref="MWT1590:MXD1590"/>
    <mergeCell ref="MXE1590:MXO1590"/>
    <mergeCell ref="MXP1590:MXZ1590"/>
    <mergeCell ref="MYA1590:MYK1590"/>
    <mergeCell ref="MYL1590:MYV1590"/>
    <mergeCell ref="MYW1590:MZG1590"/>
    <mergeCell ref="MZH1590:MZR1590"/>
    <mergeCell ref="MZS1590:NAC1590"/>
    <mergeCell ref="NAD1590:NAN1590"/>
    <mergeCell ref="NAO1590:NAY1590"/>
    <mergeCell ref="NAZ1590:NBJ1590"/>
    <mergeCell ref="NBK1590:NBU1590"/>
    <mergeCell ref="NBV1590:NCF1590"/>
    <mergeCell ref="NCG1590:NCQ1590"/>
    <mergeCell ref="NCR1590:NDB1590"/>
    <mergeCell ref="NDC1590:NDM1590"/>
    <mergeCell ref="NDN1590:NDX1590"/>
    <mergeCell ref="NDY1590:NEI1590"/>
    <mergeCell ref="NEJ1590:NET1590"/>
    <mergeCell ref="NEU1590:NFE1590"/>
    <mergeCell ref="NFF1590:NFP1590"/>
    <mergeCell ref="NFQ1590:NGA1590"/>
    <mergeCell ref="NGB1590:NGL1590"/>
    <mergeCell ref="NGM1590:NGW1590"/>
    <mergeCell ref="NGX1590:NHH1590"/>
    <mergeCell ref="NHI1590:NHS1590"/>
    <mergeCell ref="NHT1590:NID1590"/>
    <mergeCell ref="NIE1590:NIO1590"/>
    <mergeCell ref="NIP1590:NIZ1590"/>
    <mergeCell ref="NJA1590:NJK1590"/>
    <mergeCell ref="NJL1590:NJV1590"/>
    <mergeCell ref="NJW1590:NKG1590"/>
    <mergeCell ref="NKH1590:NKR1590"/>
    <mergeCell ref="NKS1590:NLC1590"/>
    <mergeCell ref="NLD1590:NLN1590"/>
    <mergeCell ref="NLO1590:NLY1590"/>
    <mergeCell ref="NLZ1590:NMJ1590"/>
    <mergeCell ref="NMK1590:NMU1590"/>
    <mergeCell ref="NMV1590:NNF1590"/>
    <mergeCell ref="NNG1590:NNQ1590"/>
    <mergeCell ref="NNR1590:NOB1590"/>
    <mergeCell ref="NOC1590:NOM1590"/>
    <mergeCell ref="NON1590:NOX1590"/>
    <mergeCell ref="NOY1590:NPI1590"/>
    <mergeCell ref="NPJ1590:NPT1590"/>
    <mergeCell ref="NPU1590:NQE1590"/>
    <mergeCell ref="NQF1590:NQP1590"/>
    <mergeCell ref="NQQ1590:NRA1590"/>
    <mergeCell ref="NRB1590:NRL1590"/>
    <mergeCell ref="NRM1590:NRW1590"/>
    <mergeCell ref="NRX1590:NSH1590"/>
    <mergeCell ref="NSI1590:NSS1590"/>
    <mergeCell ref="NST1590:NTD1590"/>
    <mergeCell ref="NTE1590:NTO1590"/>
    <mergeCell ref="NTP1590:NTZ1590"/>
    <mergeCell ref="NUA1590:NUK1590"/>
    <mergeCell ref="NUL1590:NUV1590"/>
    <mergeCell ref="NUW1590:NVG1590"/>
    <mergeCell ref="NVH1590:NVR1590"/>
    <mergeCell ref="NVS1590:NWC1590"/>
    <mergeCell ref="NWD1590:NWN1590"/>
    <mergeCell ref="NWO1590:NWY1590"/>
    <mergeCell ref="NWZ1590:NXJ1590"/>
    <mergeCell ref="NXK1590:NXU1590"/>
    <mergeCell ref="NXV1590:NYF1590"/>
    <mergeCell ref="NYG1590:NYQ1590"/>
    <mergeCell ref="NYR1590:NZB1590"/>
    <mergeCell ref="NZC1590:NZM1590"/>
    <mergeCell ref="NZN1590:NZX1590"/>
    <mergeCell ref="NZY1590:OAI1590"/>
    <mergeCell ref="OAJ1590:OAT1590"/>
    <mergeCell ref="OAU1590:OBE1590"/>
    <mergeCell ref="OBF1590:OBP1590"/>
    <mergeCell ref="OBQ1590:OCA1590"/>
    <mergeCell ref="OCB1590:OCL1590"/>
    <mergeCell ref="OCM1590:OCW1590"/>
    <mergeCell ref="OCX1590:ODH1590"/>
    <mergeCell ref="ODI1590:ODS1590"/>
    <mergeCell ref="ODT1590:OED1590"/>
    <mergeCell ref="OEE1590:OEO1590"/>
    <mergeCell ref="OEP1590:OEZ1590"/>
    <mergeCell ref="OFA1590:OFK1590"/>
    <mergeCell ref="OFL1590:OFV1590"/>
    <mergeCell ref="OFW1590:OGG1590"/>
    <mergeCell ref="OGH1590:OGR1590"/>
    <mergeCell ref="OGS1590:OHC1590"/>
    <mergeCell ref="OHD1590:OHN1590"/>
    <mergeCell ref="OHO1590:OHY1590"/>
    <mergeCell ref="OHZ1590:OIJ1590"/>
    <mergeCell ref="OIK1590:OIU1590"/>
    <mergeCell ref="OIV1590:OJF1590"/>
    <mergeCell ref="OJG1590:OJQ1590"/>
    <mergeCell ref="OJR1590:OKB1590"/>
    <mergeCell ref="OKC1590:OKM1590"/>
    <mergeCell ref="OKN1590:OKX1590"/>
    <mergeCell ref="OKY1590:OLI1590"/>
    <mergeCell ref="OLJ1590:OLT1590"/>
    <mergeCell ref="OLU1590:OME1590"/>
    <mergeCell ref="OMF1590:OMP1590"/>
    <mergeCell ref="OMQ1590:ONA1590"/>
    <mergeCell ref="ONB1590:ONL1590"/>
    <mergeCell ref="ONM1590:ONW1590"/>
    <mergeCell ref="ONX1590:OOH1590"/>
    <mergeCell ref="OOI1590:OOS1590"/>
    <mergeCell ref="OOT1590:OPD1590"/>
    <mergeCell ref="OPE1590:OPO1590"/>
    <mergeCell ref="OPP1590:OPZ1590"/>
    <mergeCell ref="OQA1590:OQK1590"/>
    <mergeCell ref="OQL1590:OQV1590"/>
    <mergeCell ref="OQW1590:ORG1590"/>
    <mergeCell ref="ORH1590:ORR1590"/>
    <mergeCell ref="ORS1590:OSC1590"/>
    <mergeCell ref="OSD1590:OSN1590"/>
    <mergeCell ref="OSO1590:OSY1590"/>
    <mergeCell ref="OSZ1590:OTJ1590"/>
    <mergeCell ref="OTK1590:OTU1590"/>
    <mergeCell ref="OTV1590:OUF1590"/>
    <mergeCell ref="OUG1590:OUQ1590"/>
    <mergeCell ref="OUR1590:OVB1590"/>
    <mergeCell ref="OVC1590:OVM1590"/>
    <mergeCell ref="OVN1590:OVX1590"/>
    <mergeCell ref="OVY1590:OWI1590"/>
    <mergeCell ref="OWJ1590:OWT1590"/>
    <mergeCell ref="OWU1590:OXE1590"/>
    <mergeCell ref="OXF1590:OXP1590"/>
    <mergeCell ref="OXQ1590:OYA1590"/>
    <mergeCell ref="OYB1590:OYL1590"/>
    <mergeCell ref="OYM1590:OYW1590"/>
    <mergeCell ref="OYX1590:OZH1590"/>
    <mergeCell ref="OZI1590:OZS1590"/>
    <mergeCell ref="OZT1590:PAD1590"/>
    <mergeCell ref="PAE1590:PAO1590"/>
    <mergeCell ref="PAP1590:PAZ1590"/>
    <mergeCell ref="PBA1590:PBK1590"/>
    <mergeCell ref="PBL1590:PBV1590"/>
    <mergeCell ref="PBW1590:PCG1590"/>
    <mergeCell ref="PCH1590:PCR1590"/>
    <mergeCell ref="PCS1590:PDC1590"/>
    <mergeCell ref="PDD1590:PDN1590"/>
    <mergeCell ref="PDO1590:PDY1590"/>
    <mergeCell ref="PDZ1590:PEJ1590"/>
    <mergeCell ref="PEK1590:PEU1590"/>
    <mergeCell ref="PEV1590:PFF1590"/>
    <mergeCell ref="PFG1590:PFQ1590"/>
    <mergeCell ref="PFR1590:PGB1590"/>
    <mergeCell ref="PGC1590:PGM1590"/>
    <mergeCell ref="PGN1590:PGX1590"/>
    <mergeCell ref="PGY1590:PHI1590"/>
    <mergeCell ref="PHJ1590:PHT1590"/>
    <mergeCell ref="PHU1590:PIE1590"/>
    <mergeCell ref="PIF1590:PIP1590"/>
    <mergeCell ref="PIQ1590:PJA1590"/>
    <mergeCell ref="PJB1590:PJL1590"/>
    <mergeCell ref="PJM1590:PJW1590"/>
    <mergeCell ref="PJX1590:PKH1590"/>
    <mergeCell ref="PKI1590:PKS1590"/>
    <mergeCell ref="PKT1590:PLD1590"/>
    <mergeCell ref="PLE1590:PLO1590"/>
    <mergeCell ref="PLP1590:PLZ1590"/>
    <mergeCell ref="PMA1590:PMK1590"/>
    <mergeCell ref="PML1590:PMV1590"/>
    <mergeCell ref="PMW1590:PNG1590"/>
    <mergeCell ref="PNH1590:PNR1590"/>
    <mergeCell ref="PNS1590:POC1590"/>
    <mergeCell ref="POD1590:PON1590"/>
    <mergeCell ref="POO1590:POY1590"/>
    <mergeCell ref="POZ1590:PPJ1590"/>
    <mergeCell ref="PPK1590:PPU1590"/>
    <mergeCell ref="PPV1590:PQF1590"/>
    <mergeCell ref="PQG1590:PQQ1590"/>
    <mergeCell ref="PQR1590:PRB1590"/>
    <mergeCell ref="PRC1590:PRM1590"/>
    <mergeCell ref="PRN1590:PRX1590"/>
    <mergeCell ref="PRY1590:PSI1590"/>
    <mergeCell ref="PSJ1590:PST1590"/>
    <mergeCell ref="PSU1590:PTE1590"/>
    <mergeCell ref="PTF1590:PTP1590"/>
    <mergeCell ref="PTQ1590:PUA1590"/>
    <mergeCell ref="PUB1590:PUL1590"/>
    <mergeCell ref="PUM1590:PUW1590"/>
    <mergeCell ref="PUX1590:PVH1590"/>
    <mergeCell ref="PVI1590:PVS1590"/>
    <mergeCell ref="PVT1590:PWD1590"/>
    <mergeCell ref="PWE1590:PWO1590"/>
    <mergeCell ref="PWP1590:PWZ1590"/>
    <mergeCell ref="PXA1590:PXK1590"/>
    <mergeCell ref="PXL1590:PXV1590"/>
    <mergeCell ref="PXW1590:PYG1590"/>
    <mergeCell ref="PYH1590:PYR1590"/>
    <mergeCell ref="PYS1590:PZC1590"/>
    <mergeCell ref="PZD1590:PZN1590"/>
    <mergeCell ref="PZO1590:PZY1590"/>
    <mergeCell ref="PZZ1590:QAJ1590"/>
    <mergeCell ref="QAK1590:QAU1590"/>
    <mergeCell ref="QAV1590:QBF1590"/>
    <mergeCell ref="QBG1590:QBQ1590"/>
    <mergeCell ref="QBR1590:QCB1590"/>
    <mergeCell ref="QCC1590:QCM1590"/>
    <mergeCell ref="QCN1590:QCX1590"/>
    <mergeCell ref="QCY1590:QDI1590"/>
    <mergeCell ref="QDJ1590:QDT1590"/>
    <mergeCell ref="QDU1590:QEE1590"/>
    <mergeCell ref="QEF1590:QEP1590"/>
    <mergeCell ref="QEQ1590:QFA1590"/>
    <mergeCell ref="QFB1590:QFL1590"/>
    <mergeCell ref="QFM1590:QFW1590"/>
    <mergeCell ref="QFX1590:QGH1590"/>
    <mergeCell ref="QGI1590:QGS1590"/>
    <mergeCell ref="QGT1590:QHD1590"/>
    <mergeCell ref="QHE1590:QHO1590"/>
    <mergeCell ref="QHP1590:QHZ1590"/>
    <mergeCell ref="QIA1590:QIK1590"/>
    <mergeCell ref="QIL1590:QIV1590"/>
    <mergeCell ref="QIW1590:QJG1590"/>
    <mergeCell ref="QJH1590:QJR1590"/>
    <mergeCell ref="QJS1590:QKC1590"/>
    <mergeCell ref="QKD1590:QKN1590"/>
    <mergeCell ref="QKO1590:QKY1590"/>
    <mergeCell ref="QKZ1590:QLJ1590"/>
    <mergeCell ref="QLK1590:QLU1590"/>
    <mergeCell ref="QLV1590:QMF1590"/>
    <mergeCell ref="QMG1590:QMQ1590"/>
    <mergeCell ref="QMR1590:QNB1590"/>
    <mergeCell ref="QNC1590:QNM1590"/>
    <mergeCell ref="QNN1590:QNX1590"/>
    <mergeCell ref="QNY1590:QOI1590"/>
    <mergeCell ref="QOJ1590:QOT1590"/>
    <mergeCell ref="QOU1590:QPE1590"/>
    <mergeCell ref="QPF1590:QPP1590"/>
    <mergeCell ref="QPQ1590:QQA1590"/>
    <mergeCell ref="QQB1590:QQL1590"/>
    <mergeCell ref="QQM1590:QQW1590"/>
    <mergeCell ref="QQX1590:QRH1590"/>
    <mergeCell ref="QRI1590:QRS1590"/>
    <mergeCell ref="QRT1590:QSD1590"/>
    <mergeCell ref="QSE1590:QSO1590"/>
    <mergeCell ref="QSP1590:QSZ1590"/>
    <mergeCell ref="QTA1590:QTK1590"/>
    <mergeCell ref="QTL1590:QTV1590"/>
    <mergeCell ref="QTW1590:QUG1590"/>
    <mergeCell ref="QUH1590:QUR1590"/>
    <mergeCell ref="QUS1590:QVC1590"/>
    <mergeCell ref="QVD1590:QVN1590"/>
    <mergeCell ref="QVO1590:QVY1590"/>
    <mergeCell ref="QVZ1590:QWJ1590"/>
    <mergeCell ref="QWK1590:QWU1590"/>
    <mergeCell ref="QWV1590:QXF1590"/>
    <mergeCell ref="QXG1590:QXQ1590"/>
    <mergeCell ref="QXR1590:QYB1590"/>
    <mergeCell ref="QYC1590:QYM1590"/>
    <mergeCell ref="QYN1590:QYX1590"/>
    <mergeCell ref="QYY1590:QZI1590"/>
    <mergeCell ref="QZJ1590:QZT1590"/>
    <mergeCell ref="QZU1590:RAE1590"/>
    <mergeCell ref="RAF1590:RAP1590"/>
    <mergeCell ref="RAQ1590:RBA1590"/>
    <mergeCell ref="RBB1590:RBL1590"/>
    <mergeCell ref="RBM1590:RBW1590"/>
    <mergeCell ref="RBX1590:RCH1590"/>
    <mergeCell ref="RCI1590:RCS1590"/>
    <mergeCell ref="RCT1590:RDD1590"/>
    <mergeCell ref="RDE1590:RDO1590"/>
    <mergeCell ref="RDP1590:RDZ1590"/>
    <mergeCell ref="REA1590:REK1590"/>
    <mergeCell ref="REL1590:REV1590"/>
    <mergeCell ref="REW1590:RFG1590"/>
    <mergeCell ref="RFH1590:RFR1590"/>
    <mergeCell ref="RFS1590:RGC1590"/>
    <mergeCell ref="RGD1590:RGN1590"/>
    <mergeCell ref="RGO1590:RGY1590"/>
    <mergeCell ref="RGZ1590:RHJ1590"/>
    <mergeCell ref="RHK1590:RHU1590"/>
    <mergeCell ref="RHV1590:RIF1590"/>
    <mergeCell ref="RIG1590:RIQ1590"/>
    <mergeCell ref="RIR1590:RJB1590"/>
    <mergeCell ref="RJC1590:RJM1590"/>
    <mergeCell ref="RJN1590:RJX1590"/>
    <mergeCell ref="RJY1590:RKI1590"/>
    <mergeCell ref="RKJ1590:RKT1590"/>
    <mergeCell ref="RKU1590:RLE1590"/>
    <mergeCell ref="RLF1590:RLP1590"/>
    <mergeCell ref="RLQ1590:RMA1590"/>
    <mergeCell ref="RMB1590:RML1590"/>
    <mergeCell ref="RMM1590:RMW1590"/>
    <mergeCell ref="RMX1590:RNH1590"/>
    <mergeCell ref="RNI1590:RNS1590"/>
    <mergeCell ref="RNT1590:ROD1590"/>
    <mergeCell ref="ROE1590:ROO1590"/>
    <mergeCell ref="ROP1590:ROZ1590"/>
    <mergeCell ref="RPA1590:RPK1590"/>
    <mergeCell ref="RPL1590:RPV1590"/>
    <mergeCell ref="RPW1590:RQG1590"/>
    <mergeCell ref="RQH1590:RQR1590"/>
    <mergeCell ref="RQS1590:RRC1590"/>
    <mergeCell ref="RRD1590:RRN1590"/>
    <mergeCell ref="RRO1590:RRY1590"/>
    <mergeCell ref="RRZ1590:RSJ1590"/>
    <mergeCell ref="RSK1590:RSU1590"/>
    <mergeCell ref="RSV1590:RTF1590"/>
    <mergeCell ref="RTG1590:RTQ1590"/>
    <mergeCell ref="RTR1590:RUB1590"/>
    <mergeCell ref="RUC1590:RUM1590"/>
    <mergeCell ref="RUN1590:RUX1590"/>
    <mergeCell ref="RUY1590:RVI1590"/>
    <mergeCell ref="RVJ1590:RVT1590"/>
    <mergeCell ref="RVU1590:RWE1590"/>
    <mergeCell ref="RWF1590:RWP1590"/>
    <mergeCell ref="RWQ1590:RXA1590"/>
    <mergeCell ref="RXB1590:RXL1590"/>
    <mergeCell ref="RXM1590:RXW1590"/>
    <mergeCell ref="RXX1590:RYH1590"/>
    <mergeCell ref="RYI1590:RYS1590"/>
    <mergeCell ref="RYT1590:RZD1590"/>
    <mergeCell ref="RZE1590:RZO1590"/>
    <mergeCell ref="RZP1590:RZZ1590"/>
    <mergeCell ref="SAA1590:SAK1590"/>
    <mergeCell ref="SAL1590:SAV1590"/>
    <mergeCell ref="SAW1590:SBG1590"/>
    <mergeCell ref="SBH1590:SBR1590"/>
    <mergeCell ref="SBS1590:SCC1590"/>
    <mergeCell ref="SCD1590:SCN1590"/>
    <mergeCell ref="SCO1590:SCY1590"/>
    <mergeCell ref="SCZ1590:SDJ1590"/>
    <mergeCell ref="SDK1590:SDU1590"/>
    <mergeCell ref="SDV1590:SEF1590"/>
    <mergeCell ref="SEG1590:SEQ1590"/>
    <mergeCell ref="SER1590:SFB1590"/>
    <mergeCell ref="SFC1590:SFM1590"/>
    <mergeCell ref="SFN1590:SFX1590"/>
    <mergeCell ref="SFY1590:SGI1590"/>
    <mergeCell ref="SGJ1590:SGT1590"/>
    <mergeCell ref="SGU1590:SHE1590"/>
    <mergeCell ref="SHF1590:SHP1590"/>
    <mergeCell ref="SHQ1590:SIA1590"/>
    <mergeCell ref="SIB1590:SIL1590"/>
    <mergeCell ref="SIM1590:SIW1590"/>
    <mergeCell ref="SIX1590:SJH1590"/>
    <mergeCell ref="SJI1590:SJS1590"/>
    <mergeCell ref="SJT1590:SKD1590"/>
    <mergeCell ref="SKE1590:SKO1590"/>
    <mergeCell ref="SKP1590:SKZ1590"/>
    <mergeCell ref="SLA1590:SLK1590"/>
    <mergeCell ref="SLL1590:SLV1590"/>
    <mergeCell ref="SLW1590:SMG1590"/>
    <mergeCell ref="SMH1590:SMR1590"/>
    <mergeCell ref="SMS1590:SNC1590"/>
    <mergeCell ref="SND1590:SNN1590"/>
    <mergeCell ref="SNO1590:SNY1590"/>
    <mergeCell ref="SNZ1590:SOJ1590"/>
    <mergeCell ref="SOK1590:SOU1590"/>
    <mergeCell ref="SOV1590:SPF1590"/>
    <mergeCell ref="SPG1590:SPQ1590"/>
    <mergeCell ref="SPR1590:SQB1590"/>
    <mergeCell ref="SQC1590:SQM1590"/>
    <mergeCell ref="SQN1590:SQX1590"/>
    <mergeCell ref="SQY1590:SRI1590"/>
    <mergeCell ref="SRJ1590:SRT1590"/>
    <mergeCell ref="SRU1590:SSE1590"/>
    <mergeCell ref="SSF1590:SSP1590"/>
    <mergeCell ref="SSQ1590:STA1590"/>
    <mergeCell ref="STB1590:STL1590"/>
    <mergeCell ref="STM1590:STW1590"/>
    <mergeCell ref="STX1590:SUH1590"/>
    <mergeCell ref="SUI1590:SUS1590"/>
    <mergeCell ref="SUT1590:SVD1590"/>
    <mergeCell ref="SVE1590:SVO1590"/>
    <mergeCell ref="SVP1590:SVZ1590"/>
    <mergeCell ref="SWA1590:SWK1590"/>
    <mergeCell ref="SWL1590:SWV1590"/>
    <mergeCell ref="SWW1590:SXG1590"/>
    <mergeCell ref="SXH1590:SXR1590"/>
    <mergeCell ref="SXS1590:SYC1590"/>
    <mergeCell ref="SYD1590:SYN1590"/>
    <mergeCell ref="SYO1590:SYY1590"/>
    <mergeCell ref="SYZ1590:SZJ1590"/>
    <mergeCell ref="SZK1590:SZU1590"/>
    <mergeCell ref="SZV1590:TAF1590"/>
    <mergeCell ref="TAG1590:TAQ1590"/>
    <mergeCell ref="TAR1590:TBB1590"/>
    <mergeCell ref="TBC1590:TBM1590"/>
    <mergeCell ref="TBN1590:TBX1590"/>
    <mergeCell ref="TBY1590:TCI1590"/>
    <mergeCell ref="TCJ1590:TCT1590"/>
    <mergeCell ref="TCU1590:TDE1590"/>
    <mergeCell ref="TDF1590:TDP1590"/>
    <mergeCell ref="TDQ1590:TEA1590"/>
    <mergeCell ref="TEB1590:TEL1590"/>
    <mergeCell ref="TEM1590:TEW1590"/>
    <mergeCell ref="TEX1590:TFH1590"/>
    <mergeCell ref="TFI1590:TFS1590"/>
    <mergeCell ref="TFT1590:TGD1590"/>
    <mergeCell ref="TGE1590:TGO1590"/>
    <mergeCell ref="TGP1590:TGZ1590"/>
    <mergeCell ref="THA1590:THK1590"/>
    <mergeCell ref="THL1590:THV1590"/>
    <mergeCell ref="THW1590:TIG1590"/>
    <mergeCell ref="TIH1590:TIR1590"/>
    <mergeCell ref="TIS1590:TJC1590"/>
    <mergeCell ref="TJD1590:TJN1590"/>
    <mergeCell ref="TJO1590:TJY1590"/>
    <mergeCell ref="TJZ1590:TKJ1590"/>
    <mergeCell ref="TKK1590:TKU1590"/>
    <mergeCell ref="TKV1590:TLF1590"/>
    <mergeCell ref="TLG1590:TLQ1590"/>
    <mergeCell ref="TLR1590:TMB1590"/>
    <mergeCell ref="TMC1590:TMM1590"/>
    <mergeCell ref="TMN1590:TMX1590"/>
    <mergeCell ref="TMY1590:TNI1590"/>
    <mergeCell ref="TNJ1590:TNT1590"/>
    <mergeCell ref="TNU1590:TOE1590"/>
    <mergeCell ref="TOF1590:TOP1590"/>
    <mergeCell ref="TOQ1590:TPA1590"/>
    <mergeCell ref="TPB1590:TPL1590"/>
    <mergeCell ref="TPM1590:TPW1590"/>
    <mergeCell ref="TPX1590:TQH1590"/>
    <mergeCell ref="TQI1590:TQS1590"/>
    <mergeCell ref="TQT1590:TRD1590"/>
    <mergeCell ref="TRE1590:TRO1590"/>
    <mergeCell ref="TRP1590:TRZ1590"/>
    <mergeCell ref="TSA1590:TSK1590"/>
    <mergeCell ref="TSL1590:TSV1590"/>
    <mergeCell ref="TSW1590:TTG1590"/>
    <mergeCell ref="TTH1590:TTR1590"/>
    <mergeCell ref="TTS1590:TUC1590"/>
    <mergeCell ref="TUD1590:TUN1590"/>
    <mergeCell ref="TUO1590:TUY1590"/>
    <mergeCell ref="TUZ1590:TVJ1590"/>
    <mergeCell ref="TVK1590:TVU1590"/>
    <mergeCell ref="TVV1590:TWF1590"/>
    <mergeCell ref="TWG1590:TWQ1590"/>
    <mergeCell ref="TWR1590:TXB1590"/>
    <mergeCell ref="TXC1590:TXM1590"/>
    <mergeCell ref="TXN1590:TXX1590"/>
    <mergeCell ref="TXY1590:TYI1590"/>
    <mergeCell ref="TYJ1590:TYT1590"/>
    <mergeCell ref="TYU1590:TZE1590"/>
    <mergeCell ref="TZF1590:TZP1590"/>
    <mergeCell ref="TZQ1590:UAA1590"/>
    <mergeCell ref="UAB1590:UAL1590"/>
    <mergeCell ref="UAM1590:UAW1590"/>
    <mergeCell ref="UAX1590:UBH1590"/>
    <mergeCell ref="UBI1590:UBS1590"/>
    <mergeCell ref="UBT1590:UCD1590"/>
    <mergeCell ref="UCE1590:UCO1590"/>
    <mergeCell ref="UCP1590:UCZ1590"/>
    <mergeCell ref="UDA1590:UDK1590"/>
    <mergeCell ref="UDL1590:UDV1590"/>
    <mergeCell ref="UDW1590:UEG1590"/>
    <mergeCell ref="UEH1590:UER1590"/>
    <mergeCell ref="UES1590:UFC1590"/>
    <mergeCell ref="UFD1590:UFN1590"/>
    <mergeCell ref="UFO1590:UFY1590"/>
    <mergeCell ref="UFZ1590:UGJ1590"/>
    <mergeCell ref="UGK1590:UGU1590"/>
    <mergeCell ref="UGV1590:UHF1590"/>
    <mergeCell ref="UHG1590:UHQ1590"/>
    <mergeCell ref="UHR1590:UIB1590"/>
    <mergeCell ref="UIC1590:UIM1590"/>
    <mergeCell ref="UIN1590:UIX1590"/>
    <mergeCell ref="UIY1590:UJI1590"/>
    <mergeCell ref="UJJ1590:UJT1590"/>
    <mergeCell ref="UJU1590:UKE1590"/>
    <mergeCell ref="UKF1590:UKP1590"/>
    <mergeCell ref="UKQ1590:ULA1590"/>
    <mergeCell ref="ULB1590:ULL1590"/>
    <mergeCell ref="ULM1590:ULW1590"/>
    <mergeCell ref="ULX1590:UMH1590"/>
    <mergeCell ref="UMI1590:UMS1590"/>
    <mergeCell ref="UMT1590:UND1590"/>
    <mergeCell ref="UNE1590:UNO1590"/>
    <mergeCell ref="UNP1590:UNZ1590"/>
    <mergeCell ref="UOA1590:UOK1590"/>
    <mergeCell ref="UOL1590:UOV1590"/>
    <mergeCell ref="UOW1590:UPG1590"/>
    <mergeCell ref="UPH1590:UPR1590"/>
    <mergeCell ref="UPS1590:UQC1590"/>
    <mergeCell ref="UQD1590:UQN1590"/>
    <mergeCell ref="UQO1590:UQY1590"/>
    <mergeCell ref="UQZ1590:URJ1590"/>
    <mergeCell ref="URK1590:URU1590"/>
    <mergeCell ref="URV1590:USF1590"/>
    <mergeCell ref="USG1590:USQ1590"/>
    <mergeCell ref="USR1590:UTB1590"/>
    <mergeCell ref="UTC1590:UTM1590"/>
    <mergeCell ref="UTN1590:UTX1590"/>
    <mergeCell ref="UTY1590:UUI1590"/>
    <mergeCell ref="UUJ1590:UUT1590"/>
    <mergeCell ref="UUU1590:UVE1590"/>
    <mergeCell ref="UVF1590:UVP1590"/>
    <mergeCell ref="UVQ1590:UWA1590"/>
    <mergeCell ref="UWB1590:UWL1590"/>
    <mergeCell ref="UWM1590:UWW1590"/>
    <mergeCell ref="UWX1590:UXH1590"/>
    <mergeCell ref="UXI1590:UXS1590"/>
    <mergeCell ref="UXT1590:UYD1590"/>
    <mergeCell ref="UYE1590:UYO1590"/>
    <mergeCell ref="UYP1590:UYZ1590"/>
    <mergeCell ref="VHB1590:VHL1590"/>
    <mergeCell ref="VHM1590:VHW1590"/>
    <mergeCell ref="VHX1590:VIH1590"/>
    <mergeCell ref="VII1590:VIS1590"/>
    <mergeCell ref="VIT1590:VJD1590"/>
    <mergeCell ref="VJE1590:VJO1590"/>
    <mergeCell ref="VJP1590:VJZ1590"/>
    <mergeCell ref="VKA1590:VKK1590"/>
    <mergeCell ref="VKL1590:VKV1590"/>
    <mergeCell ref="VKW1590:VLG1590"/>
    <mergeCell ref="VLH1590:VLR1590"/>
    <mergeCell ref="VLS1590:VMC1590"/>
    <mergeCell ref="VMD1590:VMN1590"/>
    <mergeCell ref="VMO1590:VMY1590"/>
    <mergeCell ref="VMZ1590:VNJ1590"/>
    <mergeCell ref="UZA1590:UZK1590"/>
    <mergeCell ref="UZL1590:UZV1590"/>
    <mergeCell ref="UZW1590:VAG1590"/>
    <mergeCell ref="VAH1590:VAR1590"/>
    <mergeCell ref="VAS1590:VBC1590"/>
    <mergeCell ref="VBD1590:VBN1590"/>
    <mergeCell ref="VBO1590:VBY1590"/>
    <mergeCell ref="VBZ1590:VCJ1590"/>
    <mergeCell ref="VCK1590:VCU1590"/>
    <mergeCell ref="VCV1590:VDF1590"/>
    <mergeCell ref="VDG1590:VDQ1590"/>
    <mergeCell ref="VDR1590:VEB1590"/>
    <mergeCell ref="VEC1590:VEM1590"/>
    <mergeCell ref="VEN1590:VEX1590"/>
    <mergeCell ref="VEY1590:VFI1590"/>
    <mergeCell ref="VFJ1590:VFT1590"/>
    <mergeCell ref="VFU1590:VGE1590"/>
    <mergeCell ref="A1703:L1703"/>
    <mergeCell ref="A1635:L1635"/>
    <mergeCell ref="A1599:L1599"/>
    <mergeCell ref="A1427:L1427"/>
    <mergeCell ref="A1394:L1394"/>
    <mergeCell ref="WTO1590:WTY1590"/>
    <mergeCell ref="WTZ1590:WUJ1590"/>
    <mergeCell ref="WUK1590:WUU1590"/>
    <mergeCell ref="WUV1590:WVF1590"/>
    <mergeCell ref="WVG1590:WVQ1590"/>
    <mergeCell ref="WVR1590:WWB1590"/>
    <mergeCell ref="WWC1590:WWM1590"/>
    <mergeCell ref="WWN1590:WWX1590"/>
    <mergeCell ref="WWY1590:WXI1590"/>
    <mergeCell ref="WXJ1590:WXT1590"/>
    <mergeCell ref="WXU1590:WYE1590"/>
    <mergeCell ref="WYF1590:WYP1590"/>
    <mergeCell ref="WJK1590:WJU1590"/>
    <mergeCell ref="WJV1590:WKF1590"/>
    <mergeCell ref="WKG1590:WKQ1590"/>
    <mergeCell ref="WKR1590:WLB1590"/>
    <mergeCell ref="WLC1590:WLM1590"/>
    <mergeCell ref="VYV1590:VZF1590"/>
    <mergeCell ref="VZG1590:VZQ1590"/>
    <mergeCell ref="VZR1590:WAB1590"/>
    <mergeCell ref="VNK1590:VNU1590"/>
    <mergeCell ref="VNV1590:VOF1590"/>
    <mergeCell ref="VOG1590:VOQ1590"/>
    <mergeCell ref="VOR1590:VPB1590"/>
    <mergeCell ref="VPC1590:VPM1590"/>
    <mergeCell ref="VPN1590:VPX1590"/>
    <mergeCell ref="VPY1590:VQI1590"/>
    <mergeCell ref="WMJ1590:WMT1590"/>
    <mergeCell ref="WMU1590:WNE1590"/>
    <mergeCell ref="WNF1590:WNP1590"/>
    <mergeCell ref="WNQ1590:WOA1590"/>
    <mergeCell ref="WOB1590:WOL1590"/>
    <mergeCell ref="WOM1590:WOW1590"/>
    <mergeCell ref="WOX1590:WPH1590"/>
    <mergeCell ref="WPI1590:WPS1590"/>
    <mergeCell ref="WPT1590:WQD1590"/>
    <mergeCell ref="WQE1590:WQO1590"/>
    <mergeCell ref="WQP1590:WQZ1590"/>
    <mergeCell ref="WRA1590:WRK1590"/>
    <mergeCell ref="WRL1590:WRV1590"/>
    <mergeCell ref="VUP1590:VUZ1590"/>
    <mergeCell ref="XEO1590:XEY1590"/>
    <mergeCell ref="XEZ1590:XFD1590"/>
    <mergeCell ref="A1381:L1381"/>
    <mergeCell ref="A1387:L1387"/>
    <mergeCell ref="WYQ1590:WZA1590"/>
    <mergeCell ref="WZB1590:WZL1590"/>
    <mergeCell ref="VQJ1590:VQT1590"/>
    <mergeCell ref="VQU1590:VRE1590"/>
    <mergeCell ref="VRF1590:VRP1590"/>
    <mergeCell ref="VRQ1590:VSA1590"/>
    <mergeCell ref="VSB1590:VSL1590"/>
    <mergeCell ref="VSM1590:VSW1590"/>
    <mergeCell ref="VSX1590:VTH1590"/>
    <mergeCell ref="VTI1590:VTS1590"/>
    <mergeCell ref="VTT1590:VUD1590"/>
    <mergeCell ref="VUE1590:VUO1590"/>
    <mergeCell ref="VGF1590:VGP1590"/>
    <mergeCell ref="VGQ1590:VHA1590"/>
    <mergeCell ref="XED1590:XEN1590"/>
    <mergeCell ref="WSH1590:WSR1590"/>
    <mergeCell ref="WSS1590:WTC1590"/>
    <mergeCell ref="WTD1590:WTN1590"/>
    <mergeCell ref="VXD1590:VXN1590"/>
    <mergeCell ref="VXO1590:VXY1590"/>
    <mergeCell ref="VXZ1590:VYJ1590"/>
    <mergeCell ref="VYK1590:VYU1590"/>
    <mergeCell ref="XDH1590:XDR1590"/>
    <mergeCell ref="WCF1590:WCP1590"/>
    <mergeCell ref="WCQ1590:WDA1590"/>
    <mergeCell ref="WDB1590:WDL1590"/>
    <mergeCell ref="WDM1590:WDW1590"/>
    <mergeCell ref="WDX1590:WEH1590"/>
    <mergeCell ref="WEI1590:WES1590"/>
    <mergeCell ref="WET1590:WFD1590"/>
    <mergeCell ref="WFE1590:WFO1590"/>
    <mergeCell ref="WFP1590:WFZ1590"/>
    <mergeCell ref="WGA1590:WGK1590"/>
    <mergeCell ref="WGL1590:WGV1590"/>
    <mergeCell ref="WGW1590:WHG1590"/>
    <mergeCell ref="WHH1590:WHR1590"/>
    <mergeCell ref="WHS1590:WIC1590"/>
    <mergeCell ref="WID1590:WIN1590"/>
    <mergeCell ref="WAN1590:WAX1590"/>
    <mergeCell ref="WAY1590:WBI1590"/>
    <mergeCell ref="WBJ1590:WBT1590"/>
    <mergeCell ref="WBU1590:WCE1590"/>
    <mergeCell ref="WAC1590:WAM1590"/>
    <mergeCell ref="XDS1590:XEC1590"/>
    <mergeCell ref="WZX1590:XAH1590"/>
    <mergeCell ref="XAI1590:XAS1590"/>
    <mergeCell ref="A1737:XFD1737"/>
    <mergeCell ref="A1738:XFD1738"/>
    <mergeCell ref="A1911:J1911"/>
    <mergeCell ref="A1912:K1912"/>
    <mergeCell ref="A1736:I1736"/>
    <mergeCell ref="A2218:K2218"/>
    <mergeCell ref="A1733:J1733"/>
    <mergeCell ref="A1735:I1735"/>
    <mergeCell ref="A1831:J1831"/>
    <mergeCell ref="A1947:J1947"/>
    <mergeCell ref="A1971:K1971"/>
    <mergeCell ref="A1963:K1963"/>
    <mergeCell ref="A1980:K1980"/>
    <mergeCell ref="A1626:L1626"/>
    <mergeCell ref="A1379:L1379"/>
    <mergeCell ref="XAT1590:XBD1590"/>
    <mergeCell ref="XBE1590:XBO1590"/>
    <mergeCell ref="XBP1590:XBZ1590"/>
    <mergeCell ref="XCA1590:XCK1590"/>
    <mergeCell ref="XCL1590:XCV1590"/>
    <mergeCell ref="XCW1590:XDG1590"/>
    <mergeCell ref="WLN1590:WLX1590"/>
    <mergeCell ref="WLY1590:WMI1590"/>
    <mergeCell ref="WZM1590:WZW1590"/>
    <mergeCell ref="WRW1590:WSG1590"/>
    <mergeCell ref="WIO1590:WIY1590"/>
    <mergeCell ref="WIZ1590:WJJ1590"/>
    <mergeCell ref="VVA1590:VVK1590"/>
    <mergeCell ref="VVL1590:VVV1590"/>
    <mergeCell ref="VVW1590:VWG1590"/>
    <mergeCell ref="VWH1590:VWR1590"/>
    <mergeCell ref="VWS1590:VXC1590"/>
  </mergeCells>
  <conditionalFormatting sqref="B1917">
    <cfRule type="duplicateValues" dxfId="39" priority="3"/>
  </conditionalFormatting>
  <conditionalFormatting sqref="E2075">
    <cfRule type="duplicateValues" dxfId="38" priority="6"/>
    <cfRule type="duplicateValues" dxfId="37" priority="7"/>
  </conditionalFormatting>
  <conditionalFormatting sqref="E2268">
    <cfRule type="duplicateValues" dxfId="36" priority="4"/>
  </conditionalFormatting>
  <conditionalFormatting sqref="G1836:G1837 G1844">
    <cfRule type="duplicateValues" dxfId="35" priority="16"/>
  </conditionalFormatting>
  <conditionalFormatting sqref="G1859">
    <cfRule type="duplicateValues" dxfId="34" priority="12"/>
  </conditionalFormatting>
  <conditionalFormatting sqref="G1917">
    <cfRule type="duplicateValues" dxfId="33" priority="2"/>
  </conditionalFormatting>
  <conditionalFormatting sqref="G1938:G1941">
    <cfRule type="duplicateValues" dxfId="32" priority="1"/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62825-D294-417C-A329-07956D127AC9}">
  <dimension ref="A1:S97"/>
  <sheetViews>
    <sheetView topLeftCell="A93" workbookViewId="0">
      <selection activeCell="E97" sqref="E97"/>
    </sheetView>
  </sheetViews>
  <sheetFormatPr defaultColWidth="8.81640625" defaultRowHeight="10.5"/>
  <cols>
    <col min="1" max="1" width="31" style="33" bestFit="1" customWidth="1"/>
    <col min="2" max="2" width="20.1796875" style="33" bestFit="1" customWidth="1"/>
    <col min="3" max="3" width="16.54296875" style="33" bestFit="1" customWidth="1"/>
    <col min="4" max="4" width="13.54296875" style="33" bestFit="1" customWidth="1"/>
    <col min="5" max="5" width="40.81640625" style="33" bestFit="1" customWidth="1"/>
    <col min="6" max="6" width="19.54296875" style="33" bestFit="1" customWidth="1"/>
    <col min="7" max="7" width="19" style="33" bestFit="1" customWidth="1"/>
    <col min="8" max="8" width="16.453125" style="33" bestFit="1" customWidth="1"/>
    <col min="9" max="9" width="12.54296875" style="33" bestFit="1" customWidth="1"/>
    <col min="10" max="10" width="8.81640625" style="33" customWidth="1"/>
    <col min="11" max="16384" width="8.81640625" style="33"/>
  </cols>
  <sheetData>
    <row r="1" spans="1:19" s="31" customFormat="1">
      <c r="A1" s="559" t="s">
        <v>2978</v>
      </c>
      <c r="B1" s="559"/>
      <c r="C1" s="559"/>
      <c r="D1" s="559"/>
      <c r="E1" s="559"/>
      <c r="F1" s="559"/>
      <c r="G1" s="559"/>
      <c r="H1" s="559"/>
      <c r="I1" s="559"/>
      <c r="J1" s="559"/>
      <c r="K1" s="315"/>
      <c r="L1" s="315"/>
      <c r="M1" s="315"/>
      <c r="N1" s="315"/>
      <c r="O1" s="315"/>
      <c r="P1" s="315"/>
      <c r="Q1" s="315"/>
      <c r="R1" s="315"/>
      <c r="S1" s="315"/>
    </row>
    <row r="2" spans="1:19" s="31" customFormat="1">
      <c r="F2" s="315"/>
      <c r="G2" s="315"/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</row>
    <row r="3" spans="1:19" s="31" customFormat="1" ht="49.5" customHeight="1">
      <c r="A3" s="548" t="s">
        <v>2979</v>
      </c>
      <c r="B3" s="548"/>
      <c r="C3" s="548"/>
      <c r="D3" s="548"/>
      <c r="E3" s="548"/>
      <c r="F3" s="548"/>
      <c r="G3" s="548"/>
      <c r="H3" s="548"/>
      <c r="I3" s="548"/>
      <c r="J3" s="315"/>
      <c r="K3" s="315"/>
      <c r="L3" s="315"/>
      <c r="M3" s="315"/>
      <c r="N3" s="315"/>
      <c r="O3" s="315"/>
      <c r="P3" s="315"/>
      <c r="Q3" s="315"/>
      <c r="R3" s="315"/>
      <c r="S3" s="315"/>
    </row>
    <row r="4" spans="1:19" s="31" customFormat="1">
      <c r="F4" s="315"/>
      <c r="G4" s="315"/>
      <c r="H4" s="315"/>
      <c r="I4" s="315"/>
      <c r="J4" s="315"/>
      <c r="K4" s="315"/>
      <c r="L4" s="315"/>
      <c r="M4" s="315"/>
      <c r="N4" s="315"/>
      <c r="O4" s="315"/>
      <c r="P4" s="315"/>
      <c r="Q4" s="315"/>
      <c r="R4" s="315"/>
      <c r="S4" s="315"/>
    </row>
    <row r="5" spans="1:19" s="31" customFormat="1">
      <c r="A5" s="316" t="s">
        <v>73</v>
      </c>
      <c r="B5" s="316" t="s">
        <v>74</v>
      </c>
      <c r="C5" s="316" t="s">
        <v>75</v>
      </c>
      <c r="D5" s="316" t="s">
        <v>76</v>
      </c>
      <c r="E5" s="316" t="s">
        <v>77</v>
      </c>
      <c r="F5" s="316" t="s">
        <v>78</v>
      </c>
      <c r="G5" s="316" t="s">
        <v>79</v>
      </c>
      <c r="H5" s="316" t="s">
        <v>80</v>
      </c>
      <c r="I5" s="317" t="s">
        <v>260</v>
      </c>
      <c r="J5" s="317" t="s">
        <v>261</v>
      </c>
      <c r="K5" s="315"/>
      <c r="L5" s="315"/>
      <c r="M5" s="315"/>
      <c r="N5" s="315"/>
      <c r="O5" s="315"/>
      <c r="P5" s="315"/>
      <c r="Q5" s="315"/>
      <c r="R5" s="315"/>
      <c r="S5" s="315"/>
    </row>
    <row r="6" spans="1:19" s="320" customFormat="1">
      <c r="A6" s="23" t="s">
        <v>2212</v>
      </c>
      <c r="B6" s="23" t="s">
        <v>87</v>
      </c>
      <c r="C6" s="319" t="s">
        <v>379</v>
      </c>
      <c r="D6" s="15" t="s">
        <v>93</v>
      </c>
      <c r="E6" s="319"/>
      <c r="F6" s="23" t="s">
        <v>2036</v>
      </c>
      <c r="G6" s="23" t="s">
        <v>90</v>
      </c>
      <c r="H6" s="319" t="s">
        <v>265</v>
      </c>
      <c r="I6" s="319"/>
      <c r="J6" s="319" t="s">
        <v>2980</v>
      </c>
      <c r="K6" s="34"/>
      <c r="L6" s="34"/>
      <c r="M6" s="34"/>
      <c r="N6" s="34"/>
      <c r="O6" s="34"/>
      <c r="P6" s="34"/>
      <c r="Q6" s="34"/>
      <c r="R6" s="34"/>
      <c r="S6" s="34"/>
    </row>
    <row r="7" spans="1:19" s="31" customFormat="1" ht="31.5">
      <c r="A7" s="14" t="s">
        <v>2038</v>
      </c>
      <c r="B7" s="17" t="s">
        <v>92</v>
      </c>
      <c r="C7" s="21" t="s">
        <v>1292</v>
      </c>
      <c r="D7" s="14" t="s">
        <v>2039</v>
      </c>
      <c r="E7" s="14" t="s">
        <v>2040</v>
      </c>
      <c r="F7" s="17" t="s">
        <v>2036</v>
      </c>
      <c r="G7" s="17" t="s">
        <v>92</v>
      </c>
      <c r="H7" s="21" t="s">
        <v>1292</v>
      </c>
      <c r="I7" s="21"/>
      <c r="J7" s="21" t="s">
        <v>2980</v>
      </c>
      <c r="K7" s="315"/>
      <c r="L7" s="315"/>
      <c r="M7" s="315"/>
      <c r="N7" s="315"/>
      <c r="O7" s="315"/>
      <c r="P7" s="315"/>
      <c r="Q7" s="315"/>
      <c r="R7" s="315"/>
      <c r="S7" s="315"/>
    </row>
    <row r="8" spans="1:19" s="31" customFormat="1" ht="31.5">
      <c r="A8" s="14" t="s">
        <v>2038</v>
      </c>
      <c r="B8" s="17" t="s">
        <v>1167</v>
      </c>
      <c r="C8" s="21" t="s">
        <v>1292</v>
      </c>
      <c r="D8" s="14" t="s">
        <v>2039</v>
      </c>
      <c r="E8" s="14" t="s">
        <v>2040</v>
      </c>
      <c r="F8" s="17" t="s">
        <v>2036</v>
      </c>
      <c r="G8" s="17" t="s">
        <v>1167</v>
      </c>
      <c r="H8" s="21" t="s">
        <v>1292</v>
      </c>
      <c r="I8" s="21"/>
      <c r="J8" s="21" t="s">
        <v>2980</v>
      </c>
      <c r="K8" s="315"/>
      <c r="L8" s="315"/>
      <c r="M8" s="315"/>
      <c r="N8" s="315"/>
      <c r="O8" s="315"/>
      <c r="P8" s="315"/>
      <c r="Q8" s="315"/>
      <c r="R8" s="315"/>
      <c r="S8" s="315"/>
    </row>
    <row r="9" spans="1:19" s="31" customFormat="1" ht="31.5">
      <c r="A9" s="14" t="s">
        <v>2038</v>
      </c>
      <c r="B9" s="17" t="s">
        <v>95</v>
      </c>
      <c r="C9" s="21" t="s">
        <v>1292</v>
      </c>
      <c r="D9" s="14" t="s">
        <v>2039</v>
      </c>
      <c r="E9" s="14" t="s">
        <v>2040</v>
      </c>
      <c r="F9" s="17" t="s">
        <v>2036</v>
      </c>
      <c r="G9" s="17" t="s">
        <v>95</v>
      </c>
      <c r="H9" s="21" t="s">
        <v>1292</v>
      </c>
      <c r="I9" s="21"/>
      <c r="J9" s="21" t="s">
        <v>2980</v>
      </c>
      <c r="K9" s="315"/>
      <c r="L9" s="315"/>
      <c r="M9" s="315"/>
      <c r="N9" s="315"/>
      <c r="O9" s="315"/>
      <c r="P9" s="315"/>
      <c r="Q9" s="315"/>
      <c r="R9" s="315"/>
      <c r="S9" s="315"/>
    </row>
    <row r="10" spans="1:19" s="31" customFormat="1" ht="31.5">
      <c r="A10" s="14" t="s">
        <v>2038</v>
      </c>
      <c r="B10" s="17" t="s">
        <v>380</v>
      </c>
      <c r="C10" s="21" t="s">
        <v>1292</v>
      </c>
      <c r="D10" s="14" t="s">
        <v>2039</v>
      </c>
      <c r="E10" s="14" t="s">
        <v>2040</v>
      </c>
      <c r="F10" s="17" t="s">
        <v>2036</v>
      </c>
      <c r="G10" s="17" t="s">
        <v>380</v>
      </c>
      <c r="H10" s="21" t="s">
        <v>1292</v>
      </c>
      <c r="I10" s="21"/>
      <c r="J10" s="21" t="s">
        <v>2980</v>
      </c>
      <c r="K10" s="315"/>
      <c r="L10" s="315"/>
      <c r="M10" s="315"/>
      <c r="N10" s="315"/>
      <c r="O10" s="315"/>
      <c r="P10" s="315"/>
      <c r="Q10" s="315"/>
      <c r="R10" s="315"/>
      <c r="S10" s="315"/>
    </row>
    <row r="11" spans="1:19" s="31" customFormat="1" ht="31.5">
      <c r="A11" s="14" t="s">
        <v>2038</v>
      </c>
      <c r="B11" s="17" t="s">
        <v>426</v>
      </c>
      <c r="C11" s="21" t="s">
        <v>1292</v>
      </c>
      <c r="D11" s="14" t="s">
        <v>2039</v>
      </c>
      <c r="E11" s="14" t="s">
        <v>2040</v>
      </c>
      <c r="F11" s="17" t="s">
        <v>2036</v>
      </c>
      <c r="G11" s="17" t="s">
        <v>426</v>
      </c>
      <c r="H11" s="21" t="s">
        <v>1292</v>
      </c>
      <c r="I11" s="21"/>
      <c r="J11" s="21" t="s">
        <v>2980</v>
      </c>
      <c r="K11" s="315"/>
      <c r="L11" s="315"/>
      <c r="M11" s="315"/>
      <c r="N11" s="315"/>
      <c r="O11" s="315"/>
      <c r="P11" s="315"/>
      <c r="Q11" s="315"/>
      <c r="R11" s="315"/>
      <c r="S11" s="315"/>
    </row>
    <row r="12" spans="1:19" s="31" customFormat="1" ht="31.5">
      <c r="A12" s="14" t="s">
        <v>2038</v>
      </c>
      <c r="B12" s="17" t="s">
        <v>1133</v>
      </c>
      <c r="C12" s="21" t="s">
        <v>1292</v>
      </c>
      <c r="D12" s="14" t="s">
        <v>2039</v>
      </c>
      <c r="E12" s="14" t="s">
        <v>2040</v>
      </c>
      <c r="F12" s="17" t="s">
        <v>2036</v>
      </c>
      <c r="G12" s="17" t="s">
        <v>1133</v>
      </c>
      <c r="H12" s="21" t="s">
        <v>1292</v>
      </c>
      <c r="I12" s="21"/>
      <c r="J12" s="21" t="s">
        <v>2980</v>
      </c>
      <c r="K12" s="315"/>
      <c r="L12" s="315"/>
      <c r="M12" s="315"/>
      <c r="N12" s="315"/>
      <c r="O12" s="315"/>
      <c r="P12" s="315"/>
      <c r="Q12" s="315"/>
      <c r="R12" s="315"/>
      <c r="S12" s="315"/>
    </row>
    <row r="13" spans="1:19" s="31" customFormat="1" ht="31.5">
      <c r="A13" s="14" t="s">
        <v>2038</v>
      </c>
      <c r="B13" s="17" t="s">
        <v>709</v>
      </c>
      <c r="C13" s="21" t="s">
        <v>1292</v>
      </c>
      <c r="D13" s="14" t="s">
        <v>2039</v>
      </c>
      <c r="E13" s="14" t="s">
        <v>2040</v>
      </c>
      <c r="F13" s="17" t="s">
        <v>2036</v>
      </c>
      <c r="G13" s="17" t="s">
        <v>709</v>
      </c>
      <c r="H13" s="21" t="s">
        <v>1292</v>
      </c>
      <c r="I13" s="21"/>
      <c r="J13" s="21" t="s">
        <v>2980</v>
      </c>
      <c r="K13" s="315"/>
      <c r="L13" s="315"/>
      <c r="M13" s="315"/>
      <c r="N13" s="315"/>
      <c r="O13" s="315"/>
      <c r="P13" s="315"/>
      <c r="Q13" s="315"/>
      <c r="R13" s="315"/>
      <c r="S13" s="315"/>
    </row>
    <row r="14" spans="1:19" s="31" customFormat="1" ht="31.5">
      <c r="A14" s="14" t="s">
        <v>2038</v>
      </c>
      <c r="B14" s="17" t="s">
        <v>1122</v>
      </c>
      <c r="C14" s="21" t="s">
        <v>1292</v>
      </c>
      <c r="D14" s="14" t="s">
        <v>2039</v>
      </c>
      <c r="E14" s="14" t="s">
        <v>2040</v>
      </c>
      <c r="F14" s="17" t="s">
        <v>2036</v>
      </c>
      <c r="G14" s="17" t="s">
        <v>1122</v>
      </c>
      <c r="H14" s="21" t="s">
        <v>1292</v>
      </c>
      <c r="I14" s="21"/>
      <c r="J14" s="21" t="s">
        <v>2980</v>
      </c>
      <c r="K14" s="315"/>
      <c r="L14" s="315"/>
      <c r="M14" s="315"/>
      <c r="N14" s="315"/>
      <c r="O14" s="315"/>
      <c r="P14" s="315"/>
      <c r="Q14" s="315"/>
      <c r="R14" s="315"/>
      <c r="S14" s="315"/>
    </row>
    <row r="15" spans="1:19" s="31" customFormat="1" ht="31.5">
      <c r="A15" s="14" t="s">
        <v>2038</v>
      </c>
      <c r="B15" s="17" t="s">
        <v>1666</v>
      </c>
      <c r="C15" s="21" t="s">
        <v>1327</v>
      </c>
      <c r="D15" s="14" t="s">
        <v>2039</v>
      </c>
      <c r="E15" s="14" t="s">
        <v>2040</v>
      </c>
      <c r="F15" s="17" t="s">
        <v>2036</v>
      </c>
      <c r="G15" s="17" t="s">
        <v>1666</v>
      </c>
      <c r="H15" s="21" t="s">
        <v>1327</v>
      </c>
      <c r="I15" s="21"/>
      <c r="J15" s="21" t="s">
        <v>2980</v>
      </c>
      <c r="K15" s="315"/>
      <c r="L15" s="315"/>
      <c r="M15" s="315"/>
      <c r="N15" s="315"/>
      <c r="O15" s="315"/>
      <c r="P15" s="315"/>
      <c r="Q15" s="315"/>
      <c r="R15" s="315"/>
      <c r="S15" s="315"/>
    </row>
    <row r="16" spans="1:19" s="31" customFormat="1" ht="31.5">
      <c r="A16" s="14" t="s">
        <v>2038</v>
      </c>
      <c r="B16" s="17" t="s">
        <v>1673</v>
      </c>
      <c r="C16" s="21" t="s">
        <v>1327</v>
      </c>
      <c r="D16" s="14" t="s">
        <v>2039</v>
      </c>
      <c r="E16" s="14" t="s">
        <v>2040</v>
      </c>
      <c r="F16" s="17" t="s">
        <v>2036</v>
      </c>
      <c r="G16" s="17" t="s">
        <v>1673</v>
      </c>
      <c r="H16" s="21" t="s">
        <v>1327</v>
      </c>
      <c r="I16" s="21"/>
      <c r="J16" s="21" t="s">
        <v>2980</v>
      </c>
      <c r="K16" s="315"/>
      <c r="L16" s="315"/>
      <c r="M16" s="315"/>
      <c r="N16" s="315"/>
      <c r="O16" s="315"/>
      <c r="P16" s="315"/>
      <c r="Q16" s="315"/>
      <c r="R16" s="315"/>
      <c r="S16" s="315"/>
    </row>
    <row r="17" spans="1:19" s="31" customFormat="1" ht="31.5">
      <c r="A17" s="14" t="s">
        <v>2038</v>
      </c>
      <c r="B17" s="17" t="s">
        <v>464</v>
      </c>
      <c r="C17" s="21" t="s">
        <v>1327</v>
      </c>
      <c r="D17" s="14" t="s">
        <v>2039</v>
      </c>
      <c r="E17" s="14" t="s">
        <v>2040</v>
      </c>
      <c r="F17" s="17" t="s">
        <v>2036</v>
      </c>
      <c r="G17" s="17" t="s">
        <v>464</v>
      </c>
      <c r="H17" s="21" t="s">
        <v>1327</v>
      </c>
      <c r="I17" s="21"/>
      <c r="J17" s="21" t="s">
        <v>2980</v>
      </c>
      <c r="K17" s="315"/>
      <c r="L17" s="315"/>
      <c r="M17" s="315"/>
      <c r="N17" s="315"/>
      <c r="O17" s="315"/>
      <c r="P17" s="315"/>
      <c r="Q17" s="315"/>
      <c r="R17" s="315"/>
      <c r="S17" s="315"/>
    </row>
    <row r="18" spans="1:19" s="31" customFormat="1" ht="31.5">
      <c r="A18" s="14" t="s">
        <v>2038</v>
      </c>
      <c r="B18" s="17" t="s">
        <v>477</v>
      </c>
      <c r="C18" s="21" t="s">
        <v>1327</v>
      </c>
      <c r="D18" s="14" t="s">
        <v>2039</v>
      </c>
      <c r="E18" s="14" t="s">
        <v>2040</v>
      </c>
      <c r="F18" s="17" t="s">
        <v>2036</v>
      </c>
      <c r="G18" s="17" t="s">
        <v>477</v>
      </c>
      <c r="H18" s="21" t="s">
        <v>1327</v>
      </c>
      <c r="I18" s="21"/>
      <c r="J18" s="21" t="s">
        <v>2980</v>
      </c>
      <c r="K18" s="315"/>
      <c r="L18" s="315"/>
      <c r="M18" s="315"/>
      <c r="N18" s="315"/>
      <c r="O18" s="315"/>
      <c r="P18" s="315"/>
      <c r="Q18" s="315"/>
      <c r="R18" s="315"/>
      <c r="S18" s="315"/>
    </row>
    <row r="19" spans="1:19" s="31" customFormat="1" ht="31.5">
      <c r="A19" s="14" t="s">
        <v>2038</v>
      </c>
      <c r="B19" s="17" t="s">
        <v>2041</v>
      </c>
      <c r="C19" s="21" t="s">
        <v>1327</v>
      </c>
      <c r="D19" s="14" t="s">
        <v>2039</v>
      </c>
      <c r="E19" s="14" t="s">
        <v>2040</v>
      </c>
      <c r="F19" s="17" t="s">
        <v>2036</v>
      </c>
      <c r="G19" s="17" t="s">
        <v>2041</v>
      </c>
      <c r="H19" s="21" t="s">
        <v>1327</v>
      </c>
      <c r="I19" s="21"/>
      <c r="J19" s="21" t="s">
        <v>2980</v>
      </c>
      <c r="K19" s="315"/>
      <c r="L19" s="315"/>
      <c r="M19" s="315"/>
      <c r="N19" s="315"/>
      <c r="O19" s="315"/>
      <c r="P19" s="315"/>
      <c r="Q19" s="315"/>
      <c r="R19" s="315"/>
      <c r="S19" s="315"/>
    </row>
    <row r="20" spans="1:19" s="31" customFormat="1" ht="31.5">
      <c r="A20" s="14" t="s">
        <v>2038</v>
      </c>
      <c r="B20" s="17" t="s">
        <v>472</v>
      </c>
      <c r="C20" s="21" t="s">
        <v>1327</v>
      </c>
      <c r="D20" s="14" t="s">
        <v>2039</v>
      </c>
      <c r="E20" s="14" t="s">
        <v>2040</v>
      </c>
      <c r="F20" s="17" t="s">
        <v>2036</v>
      </c>
      <c r="G20" s="17" t="s">
        <v>472</v>
      </c>
      <c r="H20" s="21" t="s">
        <v>1327</v>
      </c>
      <c r="I20" s="21"/>
      <c r="J20" s="21" t="s">
        <v>2980</v>
      </c>
      <c r="K20" s="315"/>
      <c r="L20" s="315"/>
      <c r="M20" s="315"/>
      <c r="N20" s="315"/>
      <c r="O20" s="315"/>
      <c r="P20" s="315"/>
      <c r="Q20" s="315"/>
      <c r="R20" s="315"/>
      <c r="S20" s="315"/>
    </row>
    <row r="21" spans="1:19" s="31" customFormat="1" ht="31.5">
      <c r="A21" s="14" t="s">
        <v>2038</v>
      </c>
      <c r="B21" s="17" t="s">
        <v>2042</v>
      </c>
      <c r="C21" s="21" t="s">
        <v>1327</v>
      </c>
      <c r="D21" s="14" t="s">
        <v>2039</v>
      </c>
      <c r="E21" s="14" t="s">
        <v>2040</v>
      </c>
      <c r="F21" s="17" t="s">
        <v>2036</v>
      </c>
      <c r="G21" s="17" t="s">
        <v>2042</v>
      </c>
      <c r="H21" s="21" t="s">
        <v>1327</v>
      </c>
      <c r="I21" s="21"/>
      <c r="J21" s="21" t="s">
        <v>2980</v>
      </c>
      <c r="K21" s="315"/>
      <c r="L21" s="315"/>
      <c r="M21" s="315"/>
      <c r="N21" s="315"/>
      <c r="O21" s="315"/>
      <c r="P21" s="315"/>
      <c r="Q21" s="315"/>
      <c r="R21" s="315"/>
      <c r="S21" s="315"/>
    </row>
    <row r="22" spans="1:19" s="31" customFormat="1" ht="31.5">
      <c r="A22" s="14" t="s">
        <v>2038</v>
      </c>
      <c r="B22" s="17" t="s">
        <v>142</v>
      </c>
      <c r="C22" s="21" t="s">
        <v>1327</v>
      </c>
      <c r="D22" s="14" t="s">
        <v>2039</v>
      </c>
      <c r="E22" s="14" t="s">
        <v>2040</v>
      </c>
      <c r="F22" s="17" t="s">
        <v>2036</v>
      </c>
      <c r="G22" s="17" t="s">
        <v>142</v>
      </c>
      <c r="H22" s="21" t="s">
        <v>1327</v>
      </c>
      <c r="I22" s="21"/>
      <c r="J22" s="21" t="s">
        <v>2980</v>
      </c>
      <c r="K22" s="315"/>
      <c r="L22" s="315"/>
      <c r="M22" s="315"/>
      <c r="N22" s="315"/>
      <c r="O22" s="315"/>
      <c r="P22" s="315"/>
      <c r="Q22" s="315"/>
      <c r="R22" s="315"/>
      <c r="S22" s="315"/>
    </row>
    <row r="23" spans="1:19" s="31" customFormat="1" ht="31.5">
      <c r="A23" s="14" t="s">
        <v>2038</v>
      </c>
      <c r="B23" s="17" t="s">
        <v>2043</v>
      </c>
      <c r="C23" s="21" t="s">
        <v>1327</v>
      </c>
      <c r="D23" s="14" t="s">
        <v>2039</v>
      </c>
      <c r="E23" s="14" t="s">
        <v>2040</v>
      </c>
      <c r="F23" s="17" t="s">
        <v>2036</v>
      </c>
      <c r="G23" s="17" t="s">
        <v>2043</v>
      </c>
      <c r="H23" s="21" t="s">
        <v>1327</v>
      </c>
      <c r="I23" s="21"/>
      <c r="J23" s="21" t="s">
        <v>2980</v>
      </c>
      <c r="K23" s="315"/>
      <c r="L23" s="315"/>
      <c r="M23" s="315"/>
      <c r="N23" s="315"/>
      <c r="O23" s="315"/>
      <c r="P23" s="315"/>
      <c r="Q23" s="315"/>
      <c r="R23" s="315"/>
      <c r="S23" s="315"/>
    </row>
    <row r="24" spans="1:19" s="31" customFormat="1" ht="31.5">
      <c r="A24" s="14" t="s">
        <v>2038</v>
      </c>
      <c r="B24" s="17" t="s">
        <v>2044</v>
      </c>
      <c r="C24" s="21" t="s">
        <v>1327</v>
      </c>
      <c r="D24" s="14" t="s">
        <v>2039</v>
      </c>
      <c r="E24" s="14" t="s">
        <v>2040</v>
      </c>
      <c r="F24" s="17" t="s">
        <v>2036</v>
      </c>
      <c r="G24" s="17" t="s">
        <v>2044</v>
      </c>
      <c r="H24" s="21" t="s">
        <v>1327</v>
      </c>
      <c r="I24" s="21"/>
      <c r="J24" s="21" t="s">
        <v>2980</v>
      </c>
      <c r="K24" s="315"/>
      <c r="L24" s="315"/>
      <c r="M24" s="315"/>
      <c r="N24" s="315"/>
      <c r="O24" s="315"/>
      <c r="P24" s="315"/>
      <c r="Q24" s="315"/>
      <c r="R24" s="315"/>
      <c r="S24" s="315"/>
    </row>
    <row r="25" spans="1:19" s="31" customFormat="1" ht="31.5">
      <c r="A25" s="14" t="s">
        <v>2038</v>
      </c>
      <c r="B25" s="17" t="s">
        <v>2045</v>
      </c>
      <c r="C25" s="21" t="s">
        <v>1327</v>
      </c>
      <c r="D25" s="14" t="s">
        <v>2039</v>
      </c>
      <c r="E25" s="14" t="s">
        <v>2040</v>
      </c>
      <c r="F25" s="17" t="s">
        <v>2036</v>
      </c>
      <c r="G25" s="17" t="s">
        <v>2045</v>
      </c>
      <c r="H25" s="21" t="s">
        <v>1327</v>
      </c>
      <c r="I25" s="21"/>
      <c r="J25" s="21" t="s">
        <v>2980</v>
      </c>
      <c r="K25" s="315"/>
      <c r="L25" s="315"/>
      <c r="M25" s="315"/>
      <c r="N25" s="315"/>
      <c r="O25" s="315"/>
      <c r="P25" s="315"/>
      <c r="Q25" s="315"/>
      <c r="R25" s="315"/>
      <c r="S25" s="315"/>
    </row>
    <row r="26" spans="1:19" s="31" customFormat="1" ht="31.5">
      <c r="A26" s="14" t="s">
        <v>2038</v>
      </c>
      <c r="B26" s="17" t="s">
        <v>2046</v>
      </c>
      <c r="C26" s="21" t="s">
        <v>1327</v>
      </c>
      <c r="D26" s="14" t="s">
        <v>2039</v>
      </c>
      <c r="E26" s="14" t="s">
        <v>2040</v>
      </c>
      <c r="F26" s="17" t="s">
        <v>2036</v>
      </c>
      <c r="G26" s="17" t="s">
        <v>2046</v>
      </c>
      <c r="H26" s="21" t="s">
        <v>1327</v>
      </c>
      <c r="I26" s="21"/>
      <c r="J26" s="21" t="s">
        <v>2980</v>
      </c>
      <c r="K26" s="315"/>
      <c r="L26" s="315"/>
      <c r="M26" s="315"/>
      <c r="N26" s="315"/>
      <c r="O26" s="315"/>
      <c r="P26" s="315"/>
      <c r="Q26" s="315"/>
      <c r="R26" s="315"/>
      <c r="S26" s="315"/>
    </row>
    <row r="27" spans="1:19" s="31" customFormat="1" ht="31.5">
      <c r="A27" s="14" t="s">
        <v>2038</v>
      </c>
      <c r="B27" s="17" t="s">
        <v>2047</v>
      </c>
      <c r="C27" s="21" t="s">
        <v>1327</v>
      </c>
      <c r="D27" s="14" t="s">
        <v>2039</v>
      </c>
      <c r="E27" s="14" t="s">
        <v>2040</v>
      </c>
      <c r="F27" s="17" t="s">
        <v>2036</v>
      </c>
      <c r="G27" s="17" t="s">
        <v>2047</v>
      </c>
      <c r="H27" s="21" t="s">
        <v>1327</v>
      </c>
      <c r="I27" s="21"/>
      <c r="J27" s="21" t="s">
        <v>2980</v>
      </c>
      <c r="K27" s="315"/>
      <c r="L27" s="315"/>
      <c r="M27" s="315"/>
      <c r="N27" s="315"/>
      <c r="O27" s="315"/>
      <c r="P27" s="315"/>
      <c r="Q27" s="315"/>
      <c r="R27" s="315"/>
      <c r="S27" s="315"/>
    </row>
    <row r="28" spans="1:19" s="31" customFormat="1" ht="31.5">
      <c r="A28" s="14" t="s">
        <v>2038</v>
      </c>
      <c r="B28" s="17" t="s">
        <v>2048</v>
      </c>
      <c r="C28" s="21" t="s">
        <v>1327</v>
      </c>
      <c r="D28" s="14" t="s">
        <v>2039</v>
      </c>
      <c r="E28" s="14" t="s">
        <v>2040</v>
      </c>
      <c r="F28" s="17" t="s">
        <v>2036</v>
      </c>
      <c r="G28" s="17" t="s">
        <v>2048</v>
      </c>
      <c r="H28" s="21" t="s">
        <v>1327</v>
      </c>
      <c r="I28" s="21"/>
      <c r="J28" s="21" t="s">
        <v>2980</v>
      </c>
      <c r="K28" s="315"/>
      <c r="L28" s="315"/>
      <c r="M28" s="315"/>
      <c r="N28" s="315"/>
      <c r="O28" s="315"/>
      <c r="P28" s="315"/>
      <c r="Q28" s="315"/>
      <c r="R28" s="315"/>
      <c r="S28" s="315"/>
    </row>
    <row r="29" spans="1:19" s="31" customFormat="1" ht="31.5">
      <c r="A29" s="14" t="s">
        <v>2038</v>
      </c>
      <c r="B29" s="17" t="s">
        <v>2049</v>
      </c>
      <c r="C29" s="21" t="s">
        <v>1327</v>
      </c>
      <c r="D29" s="14" t="s">
        <v>2039</v>
      </c>
      <c r="E29" s="14" t="s">
        <v>2040</v>
      </c>
      <c r="F29" s="17" t="s">
        <v>2036</v>
      </c>
      <c r="G29" s="17" t="s">
        <v>2049</v>
      </c>
      <c r="H29" s="21" t="s">
        <v>1327</v>
      </c>
      <c r="I29" s="21"/>
      <c r="J29" s="21" t="s">
        <v>2980</v>
      </c>
      <c r="K29" s="315"/>
      <c r="L29" s="315"/>
      <c r="M29" s="315"/>
      <c r="N29" s="315"/>
      <c r="O29" s="315"/>
      <c r="P29" s="315"/>
      <c r="Q29" s="315"/>
      <c r="R29" s="315"/>
      <c r="S29" s="315"/>
    </row>
    <row r="30" spans="1:19" s="31" customFormat="1" ht="31.5">
      <c r="A30" s="14" t="s">
        <v>2038</v>
      </c>
      <c r="B30" s="17" t="s">
        <v>2050</v>
      </c>
      <c r="C30" s="21" t="s">
        <v>1327</v>
      </c>
      <c r="D30" s="14" t="s">
        <v>2039</v>
      </c>
      <c r="E30" s="14" t="s">
        <v>2040</v>
      </c>
      <c r="F30" s="17" t="s">
        <v>2036</v>
      </c>
      <c r="G30" s="17" t="s">
        <v>2050</v>
      </c>
      <c r="H30" s="21" t="s">
        <v>1327</v>
      </c>
      <c r="I30" s="21"/>
      <c r="J30" s="21" t="s">
        <v>2980</v>
      </c>
      <c r="K30" s="315"/>
      <c r="L30" s="315"/>
      <c r="M30" s="315"/>
      <c r="N30" s="315"/>
      <c r="O30" s="315"/>
      <c r="P30" s="315"/>
      <c r="Q30" s="315"/>
      <c r="R30" s="315"/>
      <c r="S30" s="315"/>
    </row>
    <row r="31" spans="1:19" s="31" customFormat="1" ht="31.5">
      <c r="A31" s="14" t="s">
        <v>2038</v>
      </c>
      <c r="B31" s="17" t="s">
        <v>2051</v>
      </c>
      <c r="C31" s="21" t="s">
        <v>1327</v>
      </c>
      <c r="D31" s="14" t="s">
        <v>2039</v>
      </c>
      <c r="E31" s="14" t="s">
        <v>2040</v>
      </c>
      <c r="F31" s="17" t="s">
        <v>2036</v>
      </c>
      <c r="G31" s="17" t="s">
        <v>2051</v>
      </c>
      <c r="H31" s="21" t="s">
        <v>1327</v>
      </c>
      <c r="I31" s="21"/>
      <c r="J31" s="21" t="s">
        <v>2980</v>
      </c>
      <c r="K31" s="315"/>
      <c r="L31" s="315"/>
      <c r="M31" s="315"/>
      <c r="N31" s="315"/>
      <c r="O31" s="315"/>
      <c r="P31" s="315"/>
      <c r="Q31" s="315"/>
      <c r="R31" s="315"/>
      <c r="S31" s="315"/>
    </row>
    <row r="32" spans="1:19" s="31" customFormat="1" ht="31.5">
      <c r="A32" s="14" t="s">
        <v>2038</v>
      </c>
      <c r="B32" s="17" t="s">
        <v>2052</v>
      </c>
      <c r="C32" s="21" t="s">
        <v>1327</v>
      </c>
      <c r="D32" s="14" t="s">
        <v>2039</v>
      </c>
      <c r="E32" s="14" t="s">
        <v>2040</v>
      </c>
      <c r="F32" s="17" t="s">
        <v>2036</v>
      </c>
      <c r="G32" s="17" t="s">
        <v>2052</v>
      </c>
      <c r="H32" s="21" t="s">
        <v>1327</v>
      </c>
      <c r="I32" s="21"/>
      <c r="J32" s="21" t="s">
        <v>2980</v>
      </c>
      <c r="K32" s="315"/>
      <c r="L32" s="315"/>
      <c r="M32" s="315"/>
      <c r="N32" s="315"/>
      <c r="O32" s="315"/>
      <c r="P32" s="315"/>
      <c r="Q32" s="315"/>
      <c r="R32" s="315"/>
      <c r="S32" s="315"/>
    </row>
    <row r="33" spans="1:19" s="31" customFormat="1" ht="31.5">
      <c r="A33" s="14" t="s">
        <v>2038</v>
      </c>
      <c r="B33" s="17" t="s">
        <v>2053</v>
      </c>
      <c r="C33" s="21" t="s">
        <v>1327</v>
      </c>
      <c r="D33" s="14" t="s">
        <v>2039</v>
      </c>
      <c r="E33" s="14" t="s">
        <v>2040</v>
      </c>
      <c r="F33" s="17" t="s">
        <v>2036</v>
      </c>
      <c r="G33" s="17" t="s">
        <v>2053</v>
      </c>
      <c r="H33" s="21" t="s">
        <v>1327</v>
      </c>
      <c r="I33" s="21"/>
      <c r="J33" s="21" t="s">
        <v>2980</v>
      </c>
      <c r="K33" s="315"/>
      <c r="L33" s="315"/>
      <c r="M33" s="315"/>
      <c r="N33" s="315"/>
      <c r="O33" s="315"/>
      <c r="P33" s="315"/>
      <c r="Q33" s="315"/>
      <c r="R33" s="315"/>
      <c r="S33" s="315"/>
    </row>
    <row r="34" spans="1:19" s="31" customFormat="1" ht="31.5">
      <c r="A34" s="14" t="s">
        <v>2038</v>
      </c>
      <c r="B34" s="17" t="s">
        <v>2054</v>
      </c>
      <c r="C34" s="21" t="s">
        <v>1327</v>
      </c>
      <c r="D34" s="14" t="s">
        <v>2039</v>
      </c>
      <c r="E34" s="14" t="s">
        <v>2040</v>
      </c>
      <c r="F34" s="17" t="s">
        <v>2036</v>
      </c>
      <c r="G34" s="17" t="s">
        <v>2054</v>
      </c>
      <c r="H34" s="21" t="s">
        <v>1327</v>
      </c>
      <c r="I34" s="21"/>
      <c r="J34" s="21" t="s">
        <v>2980</v>
      </c>
      <c r="K34" s="315"/>
      <c r="L34" s="315"/>
      <c r="M34" s="315"/>
      <c r="N34" s="315"/>
      <c r="O34" s="315"/>
      <c r="P34" s="315"/>
      <c r="Q34" s="315"/>
      <c r="R34" s="315"/>
      <c r="S34" s="315"/>
    </row>
    <row r="35" spans="1:19" s="31" customFormat="1" ht="31.5">
      <c r="A35" s="14" t="s">
        <v>2038</v>
      </c>
      <c r="B35" s="17" t="s">
        <v>2055</v>
      </c>
      <c r="C35" s="21" t="s">
        <v>1327</v>
      </c>
      <c r="D35" s="14" t="s">
        <v>2039</v>
      </c>
      <c r="E35" s="14" t="s">
        <v>2040</v>
      </c>
      <c r="F35" s="17" t="s">
        <v>2036</v>
      </c>
      <c r="G35" s="17" t="s">
        <v>2055</v>
      </c>
      <c r="H35" s="21" t="s">
        <v>1327</v>
      </c>
      <c r="I35" s="21"/>
      <c r="J35" s="21" t="s">
        <v>2980</v>
      </c>
      <c r="K35" s="315"/>
      <c r="L35" s="315"/>
      <c r="M35" s="315"/>
      <c r="N35" s="315"/>
      <c r="O35" s="315"/>
      <c r="P35" s="315"/>
      <c r="Q35" s="315"/>
      <c r="R35" s="315"/>
      <c r="S35" s="315"/>
    </row>
    <row r="36" spans="1:19" s="31" customFormat="1" ht="31.5">
      <c r="A36" s="14" t="s">
        <v>2038</v>
      </c>
      <c r="B36" s="17" t="s">
        <v>2056</v>
      </c>
      <c r="C36" s="21" t="s">
        <v>1327</v>
      </c>
      <c r="D36" s="14" t="s">
        <v>2039</v>
      </c>
      <c r="E36" s="14" t="s">
        <v>2040</v>
      </c>
      <c r="F36" s="17" t="s">
        <v>2036</v>
      </c>
      <c r="G36" s="17" t="s">
        <v>2056</v>
      </c>
      <c r="H36" s="21" t="s">
        <v>1327</v>
      </c>
      <c r="I36" s="21"/>
      <c r="J36" s="21" t="s">
        <v>2980</v>
      </c>
      <c r="K36" s="315"/>
      <c r="L36" s="315"/>
      <c r="M36" s="315"/>
      <c r="N36" s="315"/>
      <c r="O36" s="315"/>
      <c r="P36" s="315"/>
      <c r="Q36" s="315"/>
      <c r="R36" s="315"/>
      <c r="S36" s="315"/>
    </row>
    <row r="37" spans="1:19" s="31" customFormat="1" ht="31.5">
      <c r="A37" s="14" t="s">
        <v>2038</v>
      </c>
      <c r="B37" s="17" t="s">
        <v>2057</v>
      </c>
      <c r="C37" s="21" t="s">
        <v>1327</v>
      </c>
      <c r="D37" s="14" t="s">
        <v>2039</v>
      </c>
      <c r="E37" s="14" t="s">
        <v>2040</v>
      </c>
      <c r="F37" s="17" t="s">
        <v>2036</v>
      </c>
      <c r="G37" s="17" t="s">
        <v>2057</v>
      </c>
      <c r="H37" s="21" t="s">
        <v>1327</v>
      </c>
      <c r="I37" s="21"/>
      <c r="J37" s="21" t="s">
        <v>2980</v>
      </c>
      <c r="K37" s="315"/>
      <c r="L37" s="315"/>
      <c r="M37" s="315"/>
      <c r="N37" s="315"/>
      <c r="O37" s="315"/>
      <c r="P37" s="315"/>
      <c r="Q37" s="315"/>
      <c r="R37" s="315"/>
      <c r="S37" s="315"/>
    </row>
    <row r="38" spans="1:19" s="31" customFormat="1" ht="31.5">
      <c r="A38" s="14" t="s">
        <v>2038</v>
      </c>
      <c r="B38" s="17" t="s">
        <v>2058</v>
      </c>
      <c r="C38" s="21" t="s">
        <v>1327</v>
      </c>
      <c r="D38" s="14" t="s">
        <v>2039</v>
      </c>
      <c r="E38" s="14" t="s">
        <v>2040</v>
      </c>
      <c r="F38" s="17" t="s">
        <v>2036</v>
      </c>
      <c r="G38" s="17" t="s">
        <v>2058</v>
      </c>
      <c r="H38" s="21" t="s">
        <v>1327</v>
      </c>
      <c r="I38" s="21"/>
      <c r="J38" s="21" t="s">
        <v>2980</v>
      </c>
      <c r="K38" s="315"/>
      <c r="L38" s="315"/>
      <c r="M38" s="315"/>
      <c r="N38" s="315"/>
      <c r="O38" s="315"/>
      <c r="P38" s="315"/>
      <c r="Q38" s="315"/>
      <c r="R38" s="315"/>
      <c r="S38" s="315"/>
    </row>
    <row r="39" spans="1:19" s="31" customFormat="1" ht="31.5">
      <c r="A39" s="14" t="s">
        <v>2038</v>
      </c>
      <c r="B39" s="17" t="s">
        <v>2059</v>
      </c>
      <c r="C39" s="21" t="s">
        <v>1327</v>
      </c>
      <c r="D39" s="14" t="s">
        <v>2039</v>
      </c>
      <c r="E39" s="14" t="s">
        <v>2040</v>
      </c>
      <c r="F39" s="17" t="s">
        <v>2036</v>
      </c>
      <c r="G39" s="17" t="s">
        <v>2059</v>
      </c>
      <c r="H39" s="21" t="s">
        <v>1327</v>
      </c>
      <c r="I39" s="21"/>
      <c r="J39" s="21" t="s">
        <v>2980</v>
      </c>
      <c r="K39" s="315"/>
      <c r="L39" s="315"/>
      <c r="M39" s="315"/>
      <c r="N39" s="315"/>
      <c r="O39" s="315"/>
      <c r="P39" s="315"/>
      <c r="Q39" s="315"/>
      <c r="R39" s="315"/>
      <c r="S39" s="315"/>
    </row>
    <row r="40" spans="1:19" s="31" customFormat="1" ht="31.5">
      <c r="A40" s="14" t="s">
        <v>2038</v>
      </c>
      <c r="B40" s="17" t="s">
        <v>2060</v>
      </c>
      <c r="C40" s="21" t="s">
        <v>1327</v>
      </c>
      <c r="D40" s="14" t="s">
        <v>2039</v>
      </c>
      <c r="E40" s="14" t="s">
        <v>2040</v>
      </c>
      <c r="F40" s="17" t="s">
        <v>2036</v>
      </c>
      <c r="G40" s="17" t="s">
        <v>2060</v>
      </c>
      <c r="H40" s="21" t="s">
        <v>1327</v>
      </c>
      <c r="I40" s="21"/>
      <c r="J40" s="21" t="s">
        <v>2980</v>
      </c>
      <c r="K40" s="315"/>
      <c r="L40" s="315"/>
      <c r="M40" s="315"/>
      <c r="N40" s="315"/>
      <c r="O40" s="315"/>
      <c r="P40" s="315"/>
      <c r="Q40" s="315"/>
      <c r="R40" s="315"/>
      <c r="S40" s="315"/>
    </row>
    <row r="41" spans="1:19" s="31" customFormat="1" ht="31.5">
      <c r="A41" s="14" t="s">
        <v>2038</v>
      </c>
      <c r="B41" s="17" t="s">
        <v>2061</v>
      </c>
      <c r="C41" s="21" t="s">
        <v>1327</v>
      </c>
      <c r="D41" s="14" t="s">
        <v>2039</v>
      </c>
      <c r="E41" s="14" t="s">
        <v>2040</v>
      </c>
      <c r="F41" s="17" t="s">
        <v>2036</v>
      </c>
      <c r="G41" s="17" t="s">
        <v>2061</v>
      </c>
      <c r="H41" s="21" t="s">
        <v>1327</v>
      </c>
      <c r="I41" s="21"/>
      <c r="J41" s="21" t="s">
        <v>2980</v>
      </c>
      <c r="K41" s="315"/>
      <c r="L41" s="315"/>
      <c r="M41" s="315"/>
      <c r="N41" s="315"/>
      <c r="O41" s="315"/>
      <c r="P41" s="315"/>
      <c r="Q41" s="315"/>
      <c r="R41" s="315"/>
      <c r="S41" s="315"/>
    </row>
    <row r="42" spans="1:19" s="31" customFormat="1" ht="31.5">
      <c r="A42" s="14" t="s">
        <v>2038</v>
      </c>
      <c r="B42" s="17" t="s">
        <v>2062</v>
      </c>
      <c r="C42" s="21" t="s">
        <v>1327</v>
      </c>
      <c r="D42" s="14" t="s">
        <v>2039</v>
      </c>
      <c r="E42" s="14" t="s">
        <v>2040</v>
      </c>
      <c r="F42" s="17" t="s">
        <v>2036</v>
      </c>
      <c r="G42" s="17" t="s">
        <v>2062</v>
      </c>
      <c r="H42" s="21" t="s">
        <v>1327</v>
      </c>
      <c r="I42" s="21"/>
      <c r="J42" s="21" t="s">
        <v>2980</v>
      </c>
      <c r="K42" s="315"/>
      <c r="L42" s="315"/>
      <c r="M42" s="315"/>
      <c r="N42" s="315"/>
      <c r="O42" s="315"/>
      <c r="P42" s="315"/>
      <c r="Q42" s="315"/>
      <c r="R42" s="315"/>
      <c r="S42" s="315"/>
    </row>
    <row r="43" spans="1:19" s="31" customFormat="1" ht="31.5">
      <c r="A43" s="14" t="s">
        <v>2038</v>
      </c>
      <c r="B43" s="17" t="s">
        <v>2063</v>
      </c>
      <c r="C43" s="21" t="s">
        <v>1327</v>
      </c>
      <c r="D43" s="14" t="s">
        <v>2039</v>
      </c>
      <c r="E43" s="14" t="s">
        <v>2040</v>
      </c>
      <c r="F43" s="17" t="s">
        <v>2036</v>
      </c>
      <c r="G43" s="17" t="s">
        <v>2063</v>
      </c>
      <c r="H43" s="21" t="s">
        <v>1327</v>
      </c>
      <c r="I43" s="21"/>
      <c r="J43" s="21" t="s">
        <v>2980</v>
      </c>
      <c r="K43" s="315"/>
      <c r="L43" s="315"/>
      <c r="M43" s="315"/>
      <c r="N43" s="315"/>
      <c r="O43" s="315"/>
      <c r="P43" s="315"/>
      <c r="Q43" s="315"/>
      <c r="R43" s="315"/>
      <c r="S43" s="315"/>
    </row>
    <row r="44" spans="1:19" s="31" customFormat="1" ht="31.5">
      <c r="A44" s="14" t="s">
        <v>2038</v>
      </c>
      <c r="B44" s="17" t="s">
        <v>2064</v>
      </c>
      <c r="C44" s="21" t="s">
        <v>1327</v>
      </c>
      <c r="D44" s="14" t="s">
        <v>2039</v>
      </c>
      <c r="E44" s="14" t="s">
        <v>2040</v>
      </c>
      <c r="F44" s="17" t="s">
        <v>2036</v>
      </c>
      <c r="G44" s="17" t="s">
        <v>2064</v>
      </c>
      <c r="H44" s="21" t="s">
        <v>1327</v>
      </c>
      <c r="I44" s="21"/>
      <c r="J44" s="21" t="s">
        <v>2980</v>
      </c>
      <c r="K44" s="315"/>
      <c r="L44" s="315"/>
      <c r="M44" s="315"/>
      <c r="N44" s="315"/>
      <c r="O44" s="315"/>
      <c r="P44" s="315"/>
      <c r="Q44" s="315"/>
      <c r="R44" s="315"/>
      <c r="S44" s="315"/>
    </row>
    <row r="45" spans="1:19" s="31" customFormat="1" ht="31.5">
      <c r="A45" s="14" t="s">
        <v>2038</v>
      </c>
      <c r="B45" s="17" t="s">
        <v>2065</v>
      </c>
      <c r="C45" s="21" t="s">
        <v>1293</v>
      </c>
      <c r="D45" s="14" t="s">
        <v>2039</v>
      </c>
      <c r="E45" s="14" t="s">
        <v>2040</v>
      </c>
      <c r="F45" s="17" t="s">
        <v>2036</v>
      </c>
      <c r="G45" s="17" t="s">
        <v>2065</v>
      </c>
      <c r="H45" s="21" t="s">
        <v>1293</v>
      </c>
      <c r="I45" s="21"/>
      <c r="J45" s="21" t="s">
        <v>2980</v>
      </c>
      <c r="K45" s="315"/>
      <c r="L45" s="315"/>
      <c r="M45" s="315"/>
      <c r="N45" s="315"/>
      <c r="O45" s="315"/>
      <c r="P45" s="315"/>
      <c r="Q45" s="315"/>
      <c r="R45" s="315"/>
      <c r="S45" s="315"/>
    </row>
    <row r="46" spans="1:19" s="31" customFormat="1" ht="31.5">
      <c r="A46" s="14" t="s">
        <v>2038</v>
      </c>
      <c r="B46" s="17" t="s">
        <v>2066</v>
      </c>
      <c r="C46" s="21" t="s">
        <v>1327</v>
      </c>
      <c r="D46" s="14" t="s">
        <v>2039</v>
      </c>
      <c r="E46" s="14" t="s">
        <v>2040</v>
      </c>
      <c r="F46" s="17" t="s">
        <v>2036</v>
      </c>
      <c r="G46" s="17" t="s">
        <v>2066</v>
      </c>
      <c r="H46" s="21" t="s">
        <v>1327</v>
      </c>
      <c r="I46" s="21"/>
      <c r="J46" s="21" t="s">
        <v>2980</v>
      </c>
      <c r="K46" s="315"/>
      <c r="L46" s="315"/>
      <c r="M46" s="315"/>
      <c r="N46" s="315"/>
      <c r="O46" s="315"/>
      <c r="P46" s="315"/>
      <c r="Q46" s="315"/>
      <c r="R46" s="315"/>
      <c r="S46" s="315"/>
    </row>
    <row r="47" spans="1:19" s="31" customFormat="1" ht="31.5">
      <c r="A47" s="14" t="s">
        <v>2038</v>
      </c>
      <c r="B47" s="17" t="s">
        <v>2067</v>
      </c>
      <c r="C47" s="21" t="s">
        <v>1327</v>
      </c>
      <c r="D47" s="14" t="s">
        <v>2039</v>
      </c>
      <c r="E47" s="14" t="s">
        <v>2040</v>
      </c>
      <c r="F47" s="17" t="s">
        <v>2036</v>
      </c>
      <c r="G47" s="17" t="s">
        <v>2067</v>
      </c>
      <c r="H47" s="21" t="s">
        <v>1327</v>
      </c>
      <c r="I47" s="21"/>
      <c r="J47" s="21" t="s">
        <v>2980</v>
      </c>
      <c r="K47" s="315"/>
      <c r="L47" s="315"/>
      <c r="M47" s="315"/>
      <c r="N47" s="315"/>
      <c r="O47" s="315"/>
      <c r="P47" s="315"/>
      <c r="Q47" s="315"/>
      <c r="R47" s="315"/>
      <c r="S47" s="315"/>
    </row>
    <row r="48" spans="1:19" s="31" customFormat="1" ht="31.5">
      <c r="A48" s="14" t="s">
        <v>2038</v>
      </c>
      <c r="B48" s="17" t="s">
        <v>2068</v>
      </c>
      <c r="C48" s="21" t="s">
        <v>1327</v>
      </c>
      <c r="D48" s="14" t="s">
        <v>2039</v>
      </c>
      <c r="E48" s="14" t="s">
        <v>2040</v>
      </c>
      <c r="F48" s="17" t="s">
        <v>2036</v>
      </c>
      <c r="G48" s="17" t="s">
        <v>2068</v>
      </c>
      <c r="H48" s="21" t="s">
        <v>1327</v>
      </c>
      <c r="I48" s="21"/>
      <c r="J48" s="21" t="s">
        <v>2980</v>
      </c>
      <c r="K48" s="315"/>
      <c r="L48" s="315"/>
      <c r="M48" s="315"/>
      <c r="N48" s="315"/>
      <c r="O48" s="315"/>
      <c r="P48" s="315"/>
      <c r="Q48" s="315"/>
      <c r="R48" s="315"/>
      <c r="S48" s="315"/>
    </row>
    <row r="49" spans="1:19" s="31" customFormat="1" ht="31.5">
      <c r="A49" s="14" t="s">
        <v>2038</v>
      </c>
      <c r="B49" s="17" t="s">
        <v>2069</v>
      </c>
      <c r="C49" s="21" t="s">
        <v>1327</v>
      </c>
      <c r="D49" s="14" t="s">
        <v>2039</v>
      </c>
      <c r="E49" s="14" t="s">
        <v>2040</v>
      </c>
      <c r="F49" s="17" t="s">
        <v>2036</v>
      </c>
      <c r="G49" s="17" t="s">
        <v>2069</v>
      </c>
      <c r="H49" s="21" t="s">
        <v>1327</v>
      </c>
      <c r="I49" s="21"/>
      <c r="J49" s="21" t="s">
        <v>2980</v>
      </c>
      <c r="K49" s="315"/>
      <c r="L49" s="315"/>
      <c r="M49" s="315"/>
      <c r="N49" s="315"/>
      <c r="O49" s="315"/>
      <c r="P49" s="315"/>
      <c r="Q49" s="315"/>
      <c r="R49" s="315"/>
      <c r="S49" s="315"/>
    </row>
    <row r="50" spans="1:19" s="31" customFormat="1" ht="31.5">
      <c r="A50" s="14" t="s">
        <v>2038</v>
      </c>
      <c r="B50" s="17" t="s">
        <v>1384</v>
      </c>
      <c r="C50" s="21" t="s">
        <v>1327</v>
      </c>
      <c r="D50" s="14" t="s">
        <v>2039</v>
      </c>
      <c r="E50" s="14" t="s">
        <v>2040</v>
      </c>
      <c r="F50" s="17" t="s">
        <v>2036</v>
      </c>
      <c r="G50" s="17" t="s">
        <v>1384</v>
      </c>
      <c r="H50" s="21" t="s">
        <v>1327</v>
      </c>
      <c r="I50" s="21"/>
      <c r="J50" s="21" t="s">
        <v>2980</v>
      </c>
      <c r="K50" s="315"/>
      <c r="L50" s="315"/>
      <c r="M50" s="315"/>
      <c r="N50" s="315"/>
      <c r="O50" s="315"/>
      <c r="P50" s="315"/>
      <c r="Q50" s="315"/>
      <c r="R50" s="315"/>
      <c r="S50" s="315"/>
    </row>
    <row r="51" spans="1:19" s="31" customFormat="1" ht="31.5">
      <c r="A51" s="14" t="s">
        <v>2038</v>
      </c>
      <c r="B51" s="17" t="s">
        <v>878</v>
      </c>
      <c r="C51" s="21" t="s">
        <v>1327</v>
      </c>
      <c r="D51" s="14" t="s">
        <v>2039</v>
      </c>
      <c r="E51" s="14" t="s">
        <v>2040</v>
      </c>
      <c r="F51" s="17" t="s">
        <v>2036</v>
      </c>
      <c r="G51" s="17" t="s">
        <v>878</v>
      </c>
      <c r="H51" s="21" t="s">
        <v>1327</v>
      </c>
      <c r="I51" s="21"/>
      <c r="J51" s="21" t="s">
        <v>2980</v>
      </c>
      <c r="K51" s="315"/>
      <c r="L51" s="315"/>
      <c r="M51" s="315"/>
      <c r="N51" s="315"/>
      <c r="O51" s="315"/>
      <c r="P51" s="315"/>
      <c r="Q51" s="315"/>
      <c r="R51" s="315"/>
      <c r="S51" s="315"/>
    </row>
    <row r="52" spans="1:19" s="31" customFormat="1" ht="31.5">
      <c r="A52" s="14" t="s">
        <v>2038</v>
      </c>
      <c r="B52" s="17" t="s">
        <v>2071</v>
      </c>
      <c r="C52" s="21" t="s">
        <v>1327</v>
      </c>
      <c r="D52" s="14" t="s">
        <v>2039</v>
      </c>
      <c r="E52" s="14" t="s">
        <v>2040</v>
      </c>
      <c r="F52" s="17" t="s">
        <v>2036</v>
      </c>
      <c r="G52" s="17" t="s">
        <v>2071</v>
      </c>
      <c r="H52" s="21" t="s">
        <v>1327</v>
      </c>
      <c r="I52" s="21"/>
      <c r="J52" s="21" t="s">
        <v>2980</v>
      </c>
      <c r="K52" s="315"/>
      <c r="L52" s="315"/>
      <c r="M52" s="315"/>
      <c r="N52" s="315"/>
      <c r="O52" s="315"/>
      <c r="P52" s="315"/>
      <c r="Q52" s="315"/>
      <c r="R52" s="315"/>
      <c r="S52" s="315"/>
    </row>
    <row r="53" spans="1:19" s="31" customFormat="1" ht="31.5">
      <c r="A53" s="14" t="s">
        <v>2038</v>
      </c>
      <c r="B53" s="17" t="s">
        <v>2073</v>
      </c>
      <c r="C53" s="21" t="s">
        <v>1327</v>
      </c>
      <c r="D53" s="14" t="s">
        <v>2039</v>
      </c>
      <c r="E53" s="14" t="s">
        <v>2040</v>
      </c>
      <c r="F53" s="17" t="s">
        <v>2036</v>
      </c>
      <c r="G53" s="17" t="s">
        <v>2073</v>
      </c>
      <c r="H53" s="21" t="s">
        <v>1327</v>
      </c>
      <c r="I53" s="21"/>
      <c r="J53" s="21" t="s">
        <v>2980</v>
      </c>
      <c r="K53" s="315"/>
      <c r="L53" s="315"/>
      <c r="M53" s="315"/>
      <c r="N53" s="315"/>
      <c r="O53" s="315"/>
      <c r="P53" s="315"/>
      <c r="Q53" s="315"/>
      <c r="R53" s="315"/>
      <c r="S53" s="315"/>
    </row>
    <row r="54" spans="1:19" s="31" customFormat="1" ht="31.5">
      <c r="A54" s="14" t="s">
        <v>2075</v>
      </c>
      <c r="B54" s="22" t="s">
        <v>2076</v>
      </c>
      <c r="C54" s="21" t="s">
        <v>1292</v>
      </c>
      <c r="D54" s="21" t="s">
        <v>2039</v>
      </c>
      <c r="E54" s="14" t="s">
        <v>2077</v>
      </c>
      <c r="F54" s="17" t="s">
        <v>2036</v>
      </c>
      <c r="G54" s="22" t="s">
        <v>2076</v>
      </c>
      <c r="H54" s="21" t="s">
        <v>1292</v>
      </c>
      <c r="I54" s="21"/>
      <c r="J54" s="21" t="s">
        <v>2980</v>
      </c>
      <c r="K54" s="315"/>
      <c r="L54" s="315"/>
      <c r="M54" s="315"/>
      <c r="N54" s="315"/>
      <c r="O54" s="315"/>
      <c r="P54" s="315"/>
      <c r="Q54" s="315"/>
      <c r="R54" s="315"/>
      <c r="S54" s="315"/>
    </row>
    <row r="55" spans="1:19" s="31" customFormat="1" ht="31.5">
      <c r="A55" s="14" t="s">
        <v>2075</v>
      </c>
      <c r="B55" s="22" t="s">
        <v>2078</v>
      </c>
      <c r="C55" s="21" t="s">
        <v>1292</v>
      </c>
      <c r="D55" s="21" t="s">
        <v>2039</v>
      </c>
      <c r="E55" s="14" t="s">
        <v>2077</v>
      </c>
      <c r="F55" s="17" t="s">
        <v>2036</v>
      </c>
      <c r="G55" s="22" t="s">
        <v>2078</v>
      </c>
      <c r="H55" s="21" t="s">
        <v>1292</v>
      </c>
      <c r="I55" s="21"/>
      <c r="J55" s="21" t="s">
        <v>2980</v>
      </c>
      <c r="K55" s="315"/>
      <c r="L55" s="315"/>
      <c r="M55" s="315"/>
      <c r="N55" s="315"/>
      <c r="O55" s="315"/>
      <c r="P55" s="315"/>
      <c r="Q55" s="315"/>
      <c r="R55" s="315"/>
      <c r="S55" s="315"/>
    </row>
    <row r="56" spans="1:19" s="31" customFormat="1" ht="31.5">
      <c r="A56" s="14" t="s">
        <v>2075</v>
      </c>
      <c r="B56" s="22" t="s">
        <v>2079</v>
      </c>
      <c r="C56" s="21" t="s">
        <v>1292</v>
      </c>
      <c r="D56" s="21" t="s">
        <v>2039</v>
      </c>
      <c r="E56" s="14" t="s">
        <v>2077</v>
      </c>
      <c r="F56" s="17" t="s">
        <v>2036</v>
      </c>
      <c r="G56" s="22" t="s">
        <v>2079</v>
      </c>
      <c r="H56" s="21" t="s">
        <v>1292</v>
      </c>
      <c r="I56" s="21"/>
      <c r="J56" s="21" t="s">
        <v>2980</v>
      </c>
      <c r="K56" s="315"/>
      <c r="L56" s="315"/>
      <c r="M56" s="315"/>
      <c r="N56" s="315"/>
      <c r="O56" s="315"/>
      <c r="P56" s="315"/>
      <c r="Q56" s="315"/>
      <c r="R56" s="315"/>
      <c r="S56" s="315"/>
    </row>
    <row r="57" spans="1:19" s="31" customFormat="1" ht="31.5">
      <c r="A57" s="14" t="s">
        <v>2075</v>
      </c>
      <c r="B57" s="22" t="s">
        <v>2080</v>
      </c>
      <c r="C57" s="21" t="s">
        <v>1292</v>
      </c>
      <c r="D57" s="21" t="s">
        <v>2039</v>
      </c>
      <c r="E57" s="14" t="s">
        <v>2077</v>
      </c>
      <c r="F57" s="17" t="s">
        <v>2036</v>
      </c>
      <c r="G57" s="22" t="s">
        <v>2080</v>
      </c>
      <c r="H57" s="21" t="s">
        <v>1292</v>
      </c>
      <c r="I57" s="21"/>
      <c r="J57" s="21" t="s">
        <v>2980</v>
      </c>
      <c r="K57" s="315"/>
      <c r="L57" s="315"/>
      <c r="M57" s="315"/>
      <c r="N57" s="315"/>
      <c r="O57" s="315"/>
      <c r="P57" s="315"/>
      <c r="Q57" s="315"/>
      <c r="R57" s="315"/>
      <c r="S57" s="315"/>
    </row>
    <row r="58" spans="1:19" s="31" customFormat="1" ht="31.5">
      <c r="A58" s="14" t="s">
        <v>2075</v>
      </c>
      <c r="B58" s="318" t="s">
        <v>2081</v>
      </c>
      <c r="C58" s="21" t="s">
        <v>1327</v>
      </c>
      <c r="D58" s="21" t="s">
        <v>2039</v>
      </c>
      <c r="E58" s="14" t="s">
        <v>2077</v>
      </c>
      <c r="F58" s="17" t="s">
        <v>2036</v>
      </c>
      <c r="G58" s="318" t="s">
        <v>2081</v>
      </c>
      <c r="H58" s="21" t="s">
        <v>1327</v>
      </c>
      <c r="I58" s="21"/>
      <c r="J58" s="21" t="s">
        <v>2980</v>
      </c>
      <c r="K58" s="315"/>
      <c r="L58" s="315"/>
      <c r="M58" s="315"/>
      <c r="N58" s="315"/>
      <c r="O58" s="315"/>
      <c r="P58" s="315"/>
      <c r="Q58" s="315"/>
      <c r="R58" s="315"/>
      <c r="S58" s="315"/>
    </row>
    <row r="59" spans="1:19" s="31" customFormat="1" ht="31.5">
      <c r="A59" s="14" t="s">
        <v>2075</v>
      </c>
      <c r="B59" s="17" t="s">
        <v>2082</v>
      </c>
      <c r="C59" s="21" t="s">
        <v>1327</v>
      </c>
      <c r="D59" s="21" t="s">
        <v>2039</v>
      </c>
      <c r="E59" s="14" t="s">
        <v>2077</v>
      </c>
      <c r="F59" s="17" t="s">
        <v>2036</v>
      </c>
      <c r="G59" s="17" t="s">
        <v>2082</v>
      </c>
      <c r="H59" s="21" t="s">
        <v>1327</v>
      </c>
      <c r="I59" s="21"/>
      <c r="J59" s="21" t="s">
        <v>2980</v>
      </c>
      <c r="K59" s="315"/>
      <c r="L59" s="315"/>
      <c r="M59" s="315"/>
      <c r="N59" s="315"/>
      <c r="O59" s="315"/>
      <c r="P59" s="315"/>
      <c r="Q59" s="315"/>
      <c r="R59" s="315"/>
      <c r="S59" s="315"/>
    </row>
    <row r="60" spans="1:19" s="31" customFormat="1" ht="31.5">
      <c r="A60" s="14" t="s">
        <v>2075</v>
      </c>
      <c r="B60" s="22" t="s">
        <v>2083</v>
      </c>
      <c r="C60" s="21" t="s">
        <v>1327</v>
      </c>
      <c r="D60" s="21" t="s">
        <v>2039</v>
      </c>
      <c r="E60" s="14" t="s">
        <v>2077</v>
      </c>
      <c r="F60" s="17" t="s">
        <v>2036</v>
      </c>
      <c r="G60" s="22" t="s">
        <v>2083</v>
      </c>
      <c r="H60" s="21" t="s">
        <v>1327</v>
      </c>
      <c r="I60" s="21"/>
      <c r="J60" s="21" t="s">
        <v>2980</v>
      </c>
      <c r="K60" s="315"/>
      <c r="L60" s="315"/>
      <c r="M60" s="315"/>
      <c r="N60" s="315"/>
      <c r="O60" s="315"/>
      <c r="P60" s="315"/>
      <c r="Q60" s="315"/>
      <c r="R60" s="315"/>
      <c r="S60" s="315"/>
    </row>
    <row r="61" spans="1:19" s="31" customFormat="1" ht="31.5">
      <c r="A61" s="14" t="s">
        <v>2075</v>
      </c>
      <c r="B61" s="22" t="s">
        <v>2084</v>
      </c>
      <c r="C61" s="21" t="s">
        <v>1327</v>
      </c>
      <c r="D61" s="21" t="s">
        <v>2039</v>
      </c>
      <c r="E61" s="14" t="s">
        <v>2077</v>
      </c>
      <c r="F61" s="17" t="s">
        <v>2036</v>
      </c>
      <c r="G61" s="22" t="s">
        <v>2084</v>
      </c>
      <c r="H61" s="21" t="s">
        <v>1327</v>
      </c>
      <c r="I61" s="21"/>
      <c r="J61" s="21" t="s">
        <v>2980</v>
      </c>
      <c r="K61" s="315"/>
      <c r="L61" s="315"/>
      <c r="M61" s="315"/>
      <c r="N61" s="315"/>
      <c r="O61" s="315"/>
      <c r="P61" s="315"/>
      <c r="Q61" s="315"/>
      <c r="R61" s="315"/>
      <c r="S61" s="315"/>
    </row>
    <row r="62" spans="1:19" s="31" customFormat="1" ht="31.5">
      <c r="A62" s="14" t="s">
        <v>2075</v>
      </c>
      <c r="B62" s="17" t="s">
        <v>2085</v>
      </c>
      <c r="C62" s="21" t="s">
        <v>1327</v>
      </c>
      <c r="D62" s="21" t="s">
        <v>2039</v>
      </c>
      <c r="E62" s="14" t="s">
        <v>2077</v>
      </c>
      <c r="F62" s="17" t="s">
        <v>2036</v>
      </c>
      <c r="G62" s="17" t="s">
        <v>2085</v>
      </c>
      <c r="H62" s="21" t="s">
        <v>1327</v>
      </c>
      <c r="I62" s="21"/>
      <c r="J62" s="21" t="s">
        <v>2980</v>
      </c>
      <c r="K62" s="315"/>
      <c r="L62" s="315"/>
      <c r="M62" s="315"/>
      <c r="N62" s="315"/>
      <c r="O62" s="315"/>
      <c r="P62" s="315"/>
      <c r="Q62" s="315"/>
      <c r="R62" s="315"/>
      <c r="S62" s="315"/>
    </row>
    <row r="63" spans="1:19" s="31" customFormat="1" ht="31.5">
      <c r="A63" s="14" t="s">
        <v>2075</v>
      </c>
      <c r="B63" s="14" t="s">
        <v>2086</v>
      </c>
      <c r="C63" s="21" t="s">
        <v>1327</v>
      </c>
      <c r="D63" s="21" t="s">
        <v>2039</v>
      </c>
      <c r="E63" s="14" t="s">
        <v>2077</v>
      </c>
      <c r="F63" s="17" t="s">
        <v>2036</v>
      </c>
      <c r="G63" s="14" t="s">
        <v>2086</v>
      </c>
      <c r="H63" s="21" t="s">
        <v>1327</v>
      </c>
      <c r="I63" s="21"/>
      <c r="J63" s="21" t="s">
        <v>2980</v>
      </c>
      <c r="K63" s="315"/>
      <c r="L63" s="315"/>
      <c r="M63" s="315"/>
      <c r="N63" s="315"/>
      <c r="O63" s="315"/>
      <c r="P63" s="315"/>
      <c r="Q63" s="315"/>
      <c r="R63" s="315"/>
      <c r="S63" s="315"/>
    </row>
    <row r="64" spans="1:19" s="31" customFormat="1" ht="31.5">
      <c r="A64" s="14" t="s">
        <v>2075</v>
      </c>
      <c r="B64" s="14" t="s">
        <v>2087</v>
      </c>
      <c r="C64" s="21" t="s">
        <v>1327</v>
      </c>
      <c r="D64" s="21" t="s">
        <v>2039</v>
      </c>
      <c r="E64" s="14" t="s">
        <v>2077</v>
      </c>
      <c r="F64" s="17" t="s">
        <v>2036</v>
      </c>
      <c r="G64" s="14" t="s">
        <v>2087</v>
      </c>
      <c r="H64" s="21" t="s">
        <v>1327</v>
      </c>
      <c r="I64" s="21"/>
      <c r="J64" s="21" t="s">
        <v>2980</v>
      </c>
      <c r="K64" s="315"/>
      <c r="L64" s="315"/>
      <c r="M64" s="315"/>
      <c r="N64" s="315"/>
      <c r="O64" s="315"/>
      <c r="P64" s="315"/>
      <c r="Q64" s="315"/>
      <c r="R64" s="315"/>
      <c r="S64" s="315"/>
    </row>
    <row r="65" spans="1:19" s="31" customFormat="1" ht="31.5">
      <c r="A65" s="14" t="s">
        <v>2075</v>
      </c>
      <c r="B65" s="17" t="s">
        <v>2088</v>
      </c>
      <c r="C65" s="21" t="s">
        <v>1327</v>
      </c>
      <c r="D65" s="21" t="s">
        <v>2039</v>
      </c>
      <c r="E65" s="14" t="s">
        <v>2077</v>
      </c>
      <c r="F65" s="17" t="s">
        <v>2036</v>
      </c>
      <c r="G65" s="17" t="s">
        <v>2088</v>
      </c>
      <c r="H65" s="21" t="s">
        <v>1327</v>
      </c>
      <c r="I65" s="21"/>
      <c r="J65" s="21" t="s">
        <v>2980</v>
      </c>
      <c r="K65" s="315"/>
      <c r="L65" s="315"/>
      <c r="M65" s="315"/>
      <c r="N65" s="315"/>
      <c r="O65" s="315"/>
      <c r="P65" s="315"/>
      <c r="Q65" s="315"/>
      <c r="R65" s="315"/>
      <c r="S65" s="315"/>
    </row>
    <row r="66" spans="1:19" s="31" customFormat="1" ht="31.5">
      <c r="A66" s="14" t="s">
        <v>2075</v>
      </c>
      <c r="B66" s="17" t="s">
        <v>2089</v>
      </c>
      <c r="C66" s="21" t="s">
        <v>1327</v>
      </c>
      <c r="D66" s="21" t="s">
        <v>2039</v>
      </c>
      <c r="E66" s="14" t="s">
        <v>2077</v>
      </c>
      <c r="F66" s="17" t="s">
        <v>2036</v>
      </c>
      <c r="G66" s="17" t="s">
        <v>2089</v>
      </c>
      <c r="H66" s="21" t="s">
        <v>1327</v>
      </c>
      <c r="I66" s="21"/>
      <c r="J66" s="21" t="s">
        <v>2980</v>
      </c>
      <c r="K66" s="315"/>
      <c r="L66" s="315"/>
      <c r="M66" s="315"/>
      <c r="N66" s="315"/>
      <c r="O66" s="315"/>
      <c r="P66" s="315"/>
      <c r="Q66" s="315"/>
      <c r="R66" s="315"/>
      <c r="S66" s="315"/>
    </row>
    <row r="67" spans="1:19" s="31" customFormat="1" ht="31.5">
      <c r="A67" s="14" t="s">
        <v>2075</v>
      </c>
      <c r="B67" s="17" t="s">
        <v>2090</v>
      </c>
      <c r="C67" s="21" t="s">
        <v>1327</v>
      </c>
      <c r="D67" s="21" t="s">
        <v>2039</v>
      </c>
      <c r="E67" s="14" t="s">
        <v>2077</v>
      </c>
      <c r="F67" s="17" t="s">
        <v>2036</v>
      </c>
      <c r="G67" s="17" t="s">
        <v>2090</v>
      </c>
      <c r="H67" s="21" t="s">
        <v>1327</v>
      </c>
      <c r="I67" s="21"/>
      <c r="J67" s="21" t="s">
        <v>2980</v>
      </c>
      <c r="K67" s="315"/>
      <c r="L67" s="315"/>
      <c r="M67" s="315"/>
      <c r="N67" s="315"/>
      <c r="O67" s="315"/>
      <c r="P67" s="315"/>
      <c r="Q67" s="315"/>
      <c r="R67" s="315"/>
      <c r="S67" s="315"/>
    </row>
    <row r="68" spans="1:19" s="31" customFormat="1" ht="31.5">
      <c r="A68" s="14" t="s">
        <v>2075</v>
      </c>
      <c r="B68" s="19" t="s">
        <v>2091</v>
      </c>
      <c r="C68" s="21" t="s">
        <v>1327</v>
      </c>
      <c r="D68" s="21" t="s">
        <v>2039</v>
      </c>
      <c r="E68" s="14" t="s">
        <v>2077</v>
      </c>
      <c r="F68" s="17" t="s">
        <v>2036</v>
      </c>
      <c r="G68" s="19" t="s">
        <v>2091</v>
      </c>
      <c r="H68" s="21" t="s">
        <v>1327</v>
      </c>
      <c r="I68" s="21"/>
      <c r="J68" s="21" t="s">
        <v>2980</v>
      </c>
      <c r="K68" s="315"/>
      <c r="L68" s="315"/>
      <c r="M68" s="315"/>
      <c r="N68" s="315"/>
      <c r="O68" s="315"/>
      <c r="P68" s="315"/>
      <c r="Q68" s="315"/>
      <c r="R68" s="315"/>
      <c r="S68" s="315"/>
    </row>
    <row r="69" spans="1:19" s="31" customFormat="1" ht="31.5">
      <c r="A69" s="14" t="s">
        <v>2075</v>
      </c>
      <c r="B69" s="19" t="s">
        <v>2092</v>
      </c>
      <c r="C69" s="21" t="s">
        <v>1327</v>
      </c>
      <c r="D69" s="21" t="s">
        <v>2039</v>
      </c>
      <c r="E69" s="14" t="s">
        <v>2077</v>
      </c>
      <c r="F69" s="17" t="s">
        <v>2036</v>
      </c>
      <c r="G69" s="19" t="s">
        <v>2092</v>
      </c>
      <c r="H69" s="21" t="s">
        <v>1327</v>
      </c>
      <c r="I69" s="21"/>
      <c r="J69" s="21" t="s">
        <v>2980</v>
      </c>
      <c r="K69" s="315"/>
      <c r="L69" s="315"/>
      <c r="M69" s="315"/>
      <c r="N69" s="315"/>
      <c r="O69" s="315"/>
      <c r="P69" s="315"/>
      <c r="Q69" s="315"/>
      <c r="R69" s="315"/>
      <c r="S69" s="315"/>
    </row>
    <row r="70" spans="1:19" s="31" customFormat="1" ht="31.5">
      <c r="A70" s="14" t="s">
        <v>2075</v>
      </c>
      <c r="B70" s="19" t="s">
        <v>2093</v>
      </c>
      <c r="C70" s="21" t="s">
        <v>1327</v>
      </c>
      <c r="D70" s="21" t="s">
        <v>2039</v>
      </c>
      <c r="E70" s="14" t="s">
        <v>2077</v>
      </c>
      <c r="F70" s="17" t="s">
        <v>2036</v>
      </c>
      <c r="G70" s="19" t="s">
        <v>2093</v>
      </c>
      <c r="H70" s="21" t="s">
        <v>1327</v>
      </c>
      <c r="I70" s="21"/>
      <c r="J70" s="21" t="s">
        <v>2980</v>
      </c>
      <c r="K70" s="315"/>
      <c r="L70" s="315"/>
      <c r="M70" s="315"/>
      <c r="N70" s="315"/>
      <c r="O70" s="315"/>
      <c r="P70" s="315"/>
      <c r="Q70" s="315"/>
      <c r="R70" s="315"/>
      <c r="S70" s="315"/>
    </row>
    <row r="71" spans="1:19" s="31" customFormat="1" ht="31.5">
      <c r="A71" s="14" t="s">
        <v>2075</v>
      </c>
      <c r="B71" s="19" t="s">
        <v>2094</v>
      </c>
      <c r="C71" s="21" t="s">
        <v>1327</v>
      </c>
      <c r="D71" s="21" t="s">
        <v>2039</v>
      </c>
      <c r="E71" s="14" t="s">
        <v>2077</v>
      </c>
      <c r="F71" s="17" t="s">
        <v>2036</v>
      </c>
      <c r="G71" s="19" t="s">
        <v>2094</v>
      </c>
      <c r="H71" s="21" t="s">
        <v>1327</v>
      </c>
      <c r="I71" s="21"/>
      <c r="J71" s="21" t="s">
        <v>2980</v>
      </c>
      <c r="K71" s="315"/>
      <c r="L71" s="315"/>
      <c r="M71" s="315"/>
      <c r="N71" s="315"/>
      <c r="O71" s="315"/>
      <c r="P71" s="315"/>
      <c r="Q71" s="315"/>
      <c r="R71" s="315"/>
      <c r="S71" s="315"/>
    </row>
    <row r="72" spans="1:19" s="31" customFormat="1" ht="31.5">
      <c r="A72" s="14" t="s">
        <v>2075</v>
      </c>
      <c r="B72" s="19" t="s">
        <v>2095</v>
      </c>
      <c r="C72" s="21" t="s">
        <v>1327</v>
      </c>
      <c r="D72" s="21" t="s">
        <v>2039</v>
      </c>
      <c r="E72" s="14" t="s">
        <v>2077</v>
      </c>
      <c r="F72" s="17" t="s">
        <v>2036</v>
      </c>
      <c r="G72" s="19" t="s">
        <v>2095</v>
      </c>
      <c r="H72" s="21" t="s">
        <v>1327</v>
      </c>
      <c r="I72" s="21"/>
      <c r="J72" s="21" t="s">
        <v>2980</v>
      </c>
      <c r="K72" s="315"/>
      <c r="L72" s="315"/>
      <c r="M72" s="315"/>
      <c r="N72" s="315"/>
      <c r="O72" s="315"/>
      <c r="P72" s="315"/>
      <c r="Q72" s="315"/>
      <c r="R72" s="315"/>
      <c r="S72" s="315"/>
    </row>
    <row r="73" spans="1:19" ht="31.5">
      <c r="A73" s="14" t="s">
        <v>2075</v>
      </c>
      <c r="B73" s="17" t="s">
        <v>2096</v>
      </c>
      <c r="C73" s="17" t="s">
        <v>1327</v>
      </c>
      <c r="D73" s="21" t="s">
        <v>2039</v>
      </c>
      <c r="E73" s="14" t="s">
        <v>2077</v>
      </c>
      <c r="F73" s="17" t="s">
        <v>2036</v>
      </c>
      <c r="G73" s="17" t="s">
        <v>2096</v>
      </c>
      <c r="H73" s="17" t="s">
        <v>1327</v>
      </c>
      <c r="I73" s="17"/>
      <c r="J73" s="21" t="s">
        <v>2980</v>
      </c>
    </row>
    <row r="74" spans="1:19" ht="31.5">
      <c r="A74" s="14" t="s">
        <v>2097</v>
      </c>
      <c r="B74" s="17" t="s">
        <v>2098</v>
      </c>
      <c r="C74" s="17" t="s">
        <v>1327</v>
      </c>
      <c r="D74" s="21" t="s">
        <v>2039</v>
      </c>
      <c r="E74" s="14" t="s">
        <v>2099</v>
      </c>
      <c r="F74" s="17" t="s">
        <v>2036</v>
      </c>
      <c r="G74" s="17" t="s">
        <v>2098</v>
      </c>
      <c r="H74" s="17" t="s">
        <v>1327</v>
      </c>
      <c r="I74" s="17"/>
      <c r="J74" s="21" t="s">
        <v>2980</v>
      </c>
    </row>
    <row r="75" spans="1:19" ht="31.5">
      <c r="A75" s="14" t="s">
        <v>2097</v>
      </c>
      <c r="B75" s="17" t="s">
        <v>2100</v>
      </c>
      <c r="C75" s="17" t="s">
        <v>1327</v>
      </c>
      <c r="D75" s="21" t="s">
        <v>2039</v>
      </c>
      <c r="E75" s="14" t="s">
        <v>2099</v>
      </c>
      <c r="F75" s="17" t="s">
        <v>2036</v>
      </c>
      <c r="G75" s="17" t="s">
        <v>2100</v>
      </c>
      <c r="H75" s="17" t="s">
        <v>1327</v>
      </c>
      <c r="I75" s="17"/>
      <c r="J75" s="21" t="s">
        <v>2980</v>
      </c>
    </row>
    <row r="76" spans="1:19" ht="31.5">
      <c r="A76" s="14" t="s">
        <v>2097</v>
      </c>
      <c r="B76" s="17" t="s">
        <v>2101</v>
      </c>
      <c r="C76" s="17" t="s">
        <v>1327</v>
      </c>
      <c r="D76" s="21" t="s">
        <v>2039</v>
      </c>
      <c r="E76" s="14" t="s">
        <v>2099</v>
      </c>
      <c r="F76" s="17" t="s">
        <v>2036</v>
      </c>
      <c r="G76" s="17" t="s">
        <v>2101</v>
      </c>
      <c r="H76" s="17" t="s">
        <v>1327</v>
      </c>
      <c r="I76" s="17"/>
      <c r="J76" s="21" t="s">
        <v>2980</v>
      </c>
    </row>
    <row r="77" spans="1:19" ht="31.5">
      <c r="A77" s="14" t="s">
        <v>2097</v>
      </c>
      <c r="B77" s="17" t="s">
        <v>2102</v>
      </c>
      <c r="C77" s="21" t="s">
        <v>1292</v>
      </c>
      <c r="D77" s="21" t="s">
        <v>2039</v>
      </c>
      <c r="E77" s="14" t="s">
        <v>2099</v>
      </c>
      <c r="F77" s="17" t="s">
        <v>2036</v>
      </c>
      <c r="G77" s="17" t="s">
        <v>2102</v>
      </c>
      <c r="H77" s="21" t="s">
        <v>1292</v>
      </c>
      <c r="I77" s="17"/>
      <c r="J77" s="21" t="s">
        <v>2980</v>
      </c>
    </row>
    <row r="78" spans="1:19" ht="31.5">
      <c r="A78" s="14" t="s">
        <v>2097</v>
      </c>
      <c r="B78" s="17" t="s">
        <v>2103</v>
      </c>
      <c r="C78" s="21" t="s">
        <v>1292</v>
      </c>
      <c r="D78" s="21" t="s">
        <v>2039</v>
      </c>
      <c r="E78" s="14" t="s">
        <v>2099</v>
      </c>
      <c r="F78" s="17" t="s">
        <v>2036</v>
      </c>
      <c r="G78" s="17" t="s">
        <v>2103</v>
      </c>
      <c r="H78" s="21" t="s">
        <v>1292</v>
      </c>
      <c r="I78" s="17"/>
      <c r="J78" s="21" t="s">
        <v>2980</v>
      </c>
    </row>
    <row r="79" spans="1:19" ht="31.5">
      <c r="A79" s="14" t="s">
        <v>2097</v>
      </c>
      <c r="B79" s="17" t="s">
        <v>2104</v>
      </c>
      <c r="C79" s="21" t="s">
        <v>1292</v>
      </c>
      <c r="D79" s="21" t="s">
        <v>2039</v>
      </c>
      <c r="E79" s="14" t="s">
        <v>2099</v>
      </c>
      <c r="F79" s="17" t="s">
        <v>2036</v>
      </c>
      <c r="G79" s="17" t="s">
        <v>2104</v>
      </c>
      <c r="H79" s="21" t="s">
        <v>1292</v>
      </c>
      <c r="I79" s="17"/>
      <c r="J79" s="21" t="s">
        <v>2980</v>
      </c>
    </row>
    <row r="80" spans="1:19" ht="31.5">
      <c r="A80" s="14" t="s">
        <v>2097</v>
      </c>
      <c r="B80" s="17" t="s">
        <v>2105</v>
      </c>
      <c r="C80" s="21" t="s">
        <v>1292</v>
      </c>
      <c r="D80" s="21" t="s">
        <v>2039</v>
      </c>
      <c r="E80" s="14" t="s">
        <v>2099</v>
      </c>
      <c r="F80" s="17" t="s">
        <v>2036</v>
      </c>
      <c r="G80" s="17" t="s">
        <v>2105</v>
      </c>
      <c r="H80" s="21" t="s">
        <v>1292</v>
      </c>
      <c r="I80" s="17"/>
      <c r="J80" s="21" t="s">
        <v>2980</v>
      </c>
    </row>
    <row r="81" spans="1:19" ht="31.5">
      <c r="A81" s="14" t="s">
        <v>2097</v>
      </c>
      <c r="B81" s="17" t="s">
        <v>2106</v>
      </c>
      <c r="C81" s="21" t="s">
        <v>1292</v>
      </c>
      <c r="D81" s="21" t="s">
        <v>2039</v>
      </c>
      <c r="E81" s="14" t="s">
        <v>2099</v>
      </c>
      <c r="F81" s="17" t="s">
        <v>2036</v>
      </c>
      <c r="G81" s="17" t="s">
        <v>2106</v>
      </c>
      <c r="H81" s="21" t="s">
        <v>1292</v>
      </c>
      <c r="I81" s="17"/>
      <c r="J81" s="21" t="s">
        <v>2980</v>
      </c>
    </row>
    <row r="82" spans="1:19" ht="31.5">
      <c r="A82" s="14" t="s">
        <v>2097</v>
      </c>
      <c r="B82" s="17" t="s">
        <v>2107</v>
      </c>
      <c r="C82" s="21" t="s">
        <v>1292</v>
      </c>
      <c r="D82" s="21" t="s">
        <v>2039</v>
      </c>
      <c r="E82" s="14" t="s">
        <v>2099</v>
      </c>
      <c r="F82" s="17" t="s">
        <v>2036</v>
      </c>
      <c r="G82" s="17" t="s">
        <v>2107</v>
      </c>
      <c r="H82" s="21" t="s">
        <v>1292</v>
      </c>
      <c r="I82" s="17"/>
      <c r="J82" s="21" t="s">
        <v>2980</v>
      </c>
    </row>
    <row r="83" spans="1:19" ht="31.5">
      <c r="A83" s="14" t="s">
        <v>2097</v>
      </c>
      <c r="B83" s="17" t="s">
        <v>2109</v>
      </c>
      <c r="C83" s="21" t="s">
        <v>1292</v>
      </c>
      <c r="D83" s="21" t="s">
        <v>2039</v>
      </c>
      <c r="E83" s="14" t="s">
        <v>2099</v>
      </c>
      <c r="F83" s="17" t="s">
        <v>2036</v>
      </c>
      <c r="G83" s="17" t="s">
        <v>2109</v>
      </c>
      <c r="H83" s="21" t="s">
        <v>1292</v>
      </c>
      <c r="I83" s="17"/>
      <c r="J83" s="21" t="s">
        <v>2980</v>
      </c>
    </row>
    <row r="84" spans="1:19" ht="31.5">
      <c r="A84" s="14" t="s">
        <v>2097</v>
      </c>
      <c r="B84" s="17" t="s">
        <v>2110</v>
      </c>
      <c r="C84" s="21" t="s">
        <v>1292</v>
      </c>
      <c r="D84" s="21" t="s">
        <v>2039</v>
      </c>
      <c r="E84" s="14" t="s">
        <v>2099</v>
      </c>
      <c r="F84" s="17" t="s">
        <v>2036</v>
      </c>
      <c r="G84" s="17" t="s">
        <v>2110</v>
      </c>
      <c r="H84" s="21" t="s">
        <v>1292</v>
      </c>
      <c r="I84" s="17"/>
      <c r="J84" s="21" t="s">
        <v>2980</v>
      </c>
    </row>
    <row r="85" spans="1:19" ht="42">
      <c r="A85" s="14" t="s">
        <v>2981</v>
      </c>
      <c r="B85" s="17" t="s">
        <v>2107</v>
      </c>
      <c r="C85" s="21" t="s">
        <v>1292</v>
      </c>
      <c r="D85" s="21" t="s">
        <v>2039</v>
      </c>
      <c r="E85" s="14" t="s">
        <v>2982</v>
      </c>
      <c r="F85" s="17" t="s">
        <v>2036</v>
      </c>
      <c r="G85" s="17" t="s">
        <v>2107</v>
      </c>
      <c r="H85" s="21" t="s">
        <v>1292</v>
      </c>
      <c r="I85" s="17"/>
      <c r="J85" s="21" t="s">
        <v>2980</v>
      </c>
    </row>
    <row r="86" spans="1:19" ht="42">
      <c r="A86" s="14" t="s">
        <v>2981</v>
      </c>
      <c r="B86" s="17" t="s">
        <v>2216</v>
      </c>
      <c r="C86" s="17" t="s">
        <v>1327</v>
      </c>
      <c r="D86" s="21" t="s">
        <v>2039</v>
      </c>
      <c r="E86" s="14" t="s">
        <v>2982</v>
      </c>
      <c r="F86" s="17" t="s">
        <v>2036</v>
      </c>
      <c r="G86" s="17" t="s">
        <v>2216</v>
      </c>
      <c r="H86" s="17" t="s">
        <v>1327</v>
      </c>
      <c r="I86" s="17"/>
      <c r="J86" s="21" t="s">
        <v>2980</v>
      </c>
    </row>
    <row r="87" spans="1:19" ht="42">
      <c r="A87" s="14" t="s">
        <v>2981</v>
      </c>
      <c r="B87" s="17" t="s">
        <v>2218</v>
      </c>
      <c r="C87" s="21" t="s">
        <v>1292</v>
      </c>
      <c r="D87" s="21" t="s">
        <v>2039</v>
      </c>
      <c r="E87" s="14" t="s">
        <v>2982</v>
      </c>
      <c r="F87" s="17" t="s">
        <v>2036</v>
      </c>
      <c r="G87" s="17" t="s">
        <v>2218</v>
      </c>
      <c r="H87" s="21" t="s">
        <v>1292</v>
      </c>
      <c r="I87" s="17"/>
      <c r="J87" s="21" t="s">
        <v>2980</v>
      </c>
    </row>
    <row r="88" spans="1:19" ht="42">
      <c r="A88" s="14" t="s">
        <v>2981</v>
      </c>
      <c r="B88" s="17" t="s">
        <v>2220</v>
      </c>
      <c r="C88" s="17" t="s">
        <v>1327</v>
      </c>
      <c r="D88" s="21" t="s">
        <v>2039</v>
      </c>
      <c r="E88" s="14" t="s">
        <v>2982</v>
      </c>
      <c r="F88" s="17" t="s">
        <v>2036</v>
      </c>
      <c r="G88" s="17" t="s">
        <v>2220</v>
      </c>
      <c r="H88" s="17" t="s">
        <v>1327</v>
      </c>
      <c r="I88" s="17"/>
      <c r="J88" s="21" t="s">
        <v>2980</v>
      </c>
    </row>
    <row r="89" spans="1:19" s="31" customFormat="1" ht="31.5">
      <c r="A89" s="14" t="s">
        <v>2111</v>
      </c>
      <c r="B89" s="17" t="s">
        <v>2112</v>
      </c>
      <c r="C89" s="21" t="s">
        <v>1293</v>
      </c>
      <c r="D89" s="21" t="s">
        <v>2039</v>
      </c>
      <c r="E89" s="14" t="s">
        <v>2983</v>
      </c>
      <c r="F89" s="17" t="s">
        <v>2036</v>
      </c>
      <c r="G89" s="17" t="s">
        <v>2112</v>
      </c>
      <c r="H89" s="21" t="s">
        <v>1293</v>
      </c>
      <c r="I89" s="21"/>
      <c r="J89" s="21" t="s">
        <v>2980</v>
      </c>
      <c r="K89" s="315"/>
      <c r="L89" s="315"/>
      <c r="M89" s="315"/>
      <c r="N89" s="315"/>
      <c r="O89" s="315"/>
      <c r="P89" s="315"/>
      <c r="Q89" s="315"/>
      <c r="R89" s="315"/>
      <c r="S89" s="315"/>
    </row>
    <row r="90" spans="1:19" s="31" customFormat="1" ht="31.5">
      <c r="A90" s="14" t="s">
        <v>2111</v>
      </c>
      <c r="B90" s="17" t="s">
        <v>2114</v>
      </c>
      <c r="C90" s="21" t="s">
        <v>1292</v>
      </c>
      <c r="D90" s="21" t="s">
        <v>2039</v>
      </c>
      <c r="E90" s="14" t="s">
        <v>2983</v>
      </c>
      <c r="F90" s="17" t="s">
        <v>2036</v>
      </c>
      <c r="G90" s="17" t="s">
        <v>2114</v>
      </c>
      <c r="H90" s="21" t="s">
        <v>1292</v>
      </c>
      <c r="I90" s="21"/>
      <c r="J90" s="21" t="s">
        <v>2980</v>
      </c>
      <c r="K90" s="315"/>
      <c r="L90" s="315"/>
      <c r="M90" s="315"/>
      <c r="N90" s="315"/>
      <c r="O90" s="315"/>
      <c r="P90" s="315"/>
      <c r="Q90" s="315"/>
      <c r="R90" s="315"/>
      <c r="S90" s="315"/>
    </row>
    <row r="91" spans="1:19" s="31" customFormat="1" ht="21">
      <c r="A91" s="14" t="s">
        <v>2111</v>
      </c>
      <c r="B91" s="17" t="s">
        <v>2115</v>
      </c>
      <c r="C91" s="21" t="s">
        <v>1293</v>
      </c>
      <c r="D91" s="21" t="s">
        <v>2039</v>
      </c>
      <c r="E91" s="14" t="s">
        <v>2116</v>
      </c>
      <c r="F91" s="17" t="s">
        <v>2036</v>
      </c>
      <c r="G91" s="17" t="s">
        <v>2115</v>
      </c>
      <c r="H91" s="21" t="s">
        <v>1293</v>
      </c>
      <c r="I91" s="21"/>
      <c r="J91" s="21" t="s">
        <v>2980</v>
      </c>
      <c r="K91" s="315"/>
      <c r="L91" s="315"/>
      <c r="M91" s="315"/>
      <c r="N91" s="315"/>
      <c r="O91" s="315"/>
      <c r="P91" s="315"/>
      <c r="Q91" s="315"/>
      <c r="R91" s="315"/>
      <c r="S91" s="315"/>
    </row>
    <row r="92" spans="1:19" s="31" customFormat="1" ht="31.5">
      <c r="A92" s="14" t="s">
        <v>2111</v>
      </c>
      <c r="B92" s="17" t="s">
        <v>2117</v>
      </c>
      <c r="C92" s="21" t="s">
        <v>1292</v>
      </c>
      <c r="D92" s="21" t="s">
        <v>2039</v>
      </c>
      <c r="E92" s="14" t="s">
        <v>2983</v>
      </c>
      <c r="F92" s="17" t="s">
        <v>2036</v>
      </c>
      <c r="G92" s="17" t="s">
        <v>2117</v>
      </c>
      <c r="H92" s="21" t="s">
        <v>1292</v>
      </c>
      <c r="I92" s="21"/>
      <c r="J92" s="21" t="s">
        <v>2980</v>
      </c>
      <c r="K92" s="315"/>
      <c r="L92" s="315"/>
      <c r="M92" s="315"/>
      <c r="N92" s="315"/>
      <c r="O92" s="315"/>
      <c r="P92" s="315"/>
      <c r="Q92" s="315"/>
      <c r="R92" s="315"/>
      <c r="S92" s="315"/>
    </row>
    <row r="93" spans="1:19" s="31" customFormat="1" ht="52.5">
      <c r="A93" s="14" t="s">
        <v>2111</v>
      </c>
      <c r="B93" s="17" t="s">
        <v>2071</v>
      </c>
      <c r="C93" s="21" t="s">
        <v>1327</v>
      </c>
      <c r="D93" s="21" t="s">
        <v>2039</v>
      </c>
      <c r="E93" s="14" t="s">
        <v>2118</v>
      </c>
      <c r="F93" s="17" t="s">
        <v>2036</v>
      </c>
      <c r="G93" s="17" t="s">
        <v>2071</v>
      </c>
      <c r="H93" s="21" t="s">
        <v>1327</v>
      </c>
      <c r="I93" s="21"/>
      <c r="J93" s="21" t="s">
        <v>2980</v>
      </c>
      <c r="K93" s="315"/>
      <c r="L93" s="315"/>
      <c r="M93" s="315"/>
      <c r="N93" s="315"/>
      <c r="O93" s="315"/>
      <c r="P93" s="315"/>
      <c r="Q93" s="315"/>
      <c r="R93" s="315"/>
      <c r="S93" s="315"/>
    </row>
    <row r="94" spans="1:19" s="31" customFormat="1" ht="52.5">
      <c r="A94" s="14" t="s">
        <v>2111</v>
      </c>
      <c r="B94" s="17" t="s">
        <v>2073</v>
      </c>
      <c r="C94" s="21" t="s">
        <v>1327</v>
      </c>
      <c r="D94" s="21" t="s">
        <v>2039</v>
      </c>
      <c r="E94" s="14" t="s">
        <v>2118</v>
      </c>
      <c r="F94" s="17" t="s">
        <v>2036</v>
      </c>
      <c r="G94" s="17" t="s">
        <v>2073</v>
      </c>
      <c r="H94" s="21" t="s">
        <v>1327</v>
      </c>
      <c r="I94" s="21"/>
      <c r="J94" s="21" t="s">
        <v>2980</v>
      </c>
      <c r="K94" s="315"/>
      <c r="L94" s="315"/>
      <c r="M94" s="315"/>
      <c r="N94" s="315"/>
      <c r="O94" s="315"/>
      <c r="P94" s="315"/>
      <c r="Q94" s="315"/>
      <c r="R94" s="315"/>
      <c r="S94" s="315"/>
    </row>
    <row r="95" spans="1:19" s="31" customFormat="1" ht="52.5">
      <c r="A95" s="14" t="s">
        <v>2111</v>
      </c>
      <c r="B95" s="17" t="s">
        <v>878</v>
      </c>
      <c r="C95" s="21" t="s">
        <v>1327</v>
      </c>
      <c r="D95" s="21" t="s">
        <v>2039</v>
      </c>
      <c r="E95" s="14" t="s">
        <v>2118</v>
      </c>
      <c r="F95" s="17" t="s">
        <v>2036</v>
      </c>
      <c r="G95" s="17" t="s">
        <v>878</v>
      </c>
      <c r="H95" s="21" t="s">
        <v>1327</v>
      </c>
      <c r="I95" s="21"/>
      <c r="J95" s="21" t="s">
        <v>2980</v>
      </c>
      <c r="K95" s="315"/>
      <c r="L95" s="315"/>
      <c r="M95" s="315"/>
      <c r="N95" s="315"/>
      <c r="O95" s="315"/>
      <c r="P95" s="315"/>
      <c r="Q95" s="315"/>
      <c r="R95" s="315"/>
      <c r="S95" s="315"/>
    </row>
    <row r="96" spans="1:19" s="31" customFormat="1" ht="52.5">
      <c r="A96" s="14" t="s">
        <v>2111</v>
      </c>
      <c r="B96" s="17" t="s">
        <v>2122</v>
      </c>
      <c r="C96" s="21" t="s">
        <v>1293</v>
      </c>
      <c r="D96" s="21" t="s">
        <v>2039</v>
      </c>
      <c r="E96" s="14" t="s">
        <v>2118</v>
      </c>
      <c r="F96" s="17" t="s">
        <v>2036</v>
      </c>
      <c r="G96" s="17" t="s">
        <v>2122</v>
      </c>
      <c r="H96" s="21" t="s">
        <v>1293</v>
      </c>
      <c r="I96" s="21"/>
      <c r="J96" s="21" t="s">
        <v>2980</v>
      </c>
      <c r="K96" s="315"/>
      <c r="L96" s="315"/>
      <c r="M96" s="315"/>
      <c r="N96" s="315"/>
      <c r="O96" s="315"/>
      <c r="P96" s="315"/>
      <c r="Q96" s="315"/>
      <c r="R96" s="315"/>
      <c r="S96" s="315"/>
    </row>
    <row r="97" spans="1:19" s="31" customFormat="1" ht="52.5">
      <c r="A97" s="14" t="s">
        <v>2111</v>
      </c>
      <c r="B97" s="17" t="s">
        <v>2123</v>
      </c>
      <c r="C97" s="21" t="s">
        <v>1327</v>
      </c>
      <c r="D97" s="21" t="s">
        <v>2039</v>
      </c>
      <c r="E97" s="14" t="s">
        <v>2118</v>
      </c>
      <c r="F97" s="17" t="s">
        <v>2036</v>
      </c>
      <c r="G97" s="17" t="s">
        <v>2123</v>
      </c>
      <c r="H97" s="21" t="s">
        <v>1327</v>
      </c>
      <c r="I97" s="21"/>
      <c r="J97" s="21" t="s">
        <v>2980</v>
      </c>
      <c r="K97" s="315"/>
      <c r="L97" s="315"/>
      <c r="M97" s="315"/>
      <c r="N97" s="315"/>
      <c r="O97" s="315"/>
      <c r="P97" s="315"/>
      <c r="Q97" s="315"/>
      <c r="R97" s="315"/>
      <c r="S97" s="315"/>
    </row>
  </sheetData>
  <mergeCells count="2">
    <mergeCell ref="A1:J1"/>
    <mergeCell ref="A3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67703-AC05-494F-82BB-317E3972AFE2}">
  <dimension ref="A1:BI1005"/>
  <sheetViews>
    <sheetView topLeftCell="A581" zoomScale="60" zoomScaleNormal="60" workbookViewId="0">
      <selection activeCell="A591" sqref="A591:XFD595"/>
    </sheetView>
  </sheetViews>
  <sheetFormatPr defaultColWidth="30.54296875" defaultRowHeight="14.5"/>
  <cols>
    <col min="1" max="1" width="49.453125" style="203" customWidth="1"/>
    <col min="2" max="2" width="26.54296875" style="182" customWidth="1"/>
    <col min="3" max="3" width="26.54296875" style="184" customWidth="1"/>
    <col min="4" max="4" width="17.81640625" style="184" customWidth="1"/>
    <col min="5" max="5" width="44.81640625" style="173" customWidth="1"/>
    <col min="6" max="6" width="34.81640625" style="182" customWidth="1"/>
    <col min="7" max="7" width="27.81640625" style="182" customWidth="1"/>
    <col min="8" max="8" width="19.1796875" style="184" customWidth="1"/>
    <col min="9" max="9" width="23.453125" style="182" customWidth="1"/>
    <col min="10" max="10" width="21" style="184" bestFit="1" customWidth="1"/>
    <col min="11" max="11" width="25.453125" style="184" bestFit="1" customWidth="1"/>
    <col min="12" max="12" width="21.1796875" style="201" customWidth="1"/>
    <col min="13" max="14" width="30.54296875" style="61"/>
    <col min="15" max="16384" width="30.54296875" style="159"/>
  </cols>
  <sheetData>
    <row r="1" spans="1:14">
      <c r="A1" s="201"/>
      <c r="B1" s="201"/>
      <c r="C1" s="201"/>
      <c r="D1" s="201"/>
      <c r="E1" s="201"/>
      <c r="F1" s="201"/>
      <c r="G1" s="201"/>
      <c r="H1" s="201"/>
      <c r="I1" s="201"/>
      <c r="J1" s="201"/>
      <c r="K1" s="201"/>
    </row>
    <row r="2" spans="1:14" ht="15.5">
      <c r="A2" s="541" t="s">
        <v>2984</v>
      </c>
      <c r="B2" s="560"/>
      <c r="C2" s="560"/>
      <c r="D2" s="560"/>
      <c r="E2" s="560"/>
      <c r="F2" s="560"/>
      <c r="G2" s="560"/>
      <c r="H2" s="560"/>
      <c r="I2" s="560"/>
      <c r="J2" s="560"/>
      <c r="K2" s="560"/>
    </row>
    <row r="3" spans="1:14">
      <c r="A3" s="222"/>
      <c r="B3" s="210"/>
      <c r="C3" s="209"/>
      <c r="D3" s="209"/>
      <c r="E3" s="201"/>
      <c r="F3" s="209"/>
      <c r="G3" s="210"/>
      <c r="H3" s="209"/>
      <c r="I3" s="210"/>
      <c r="J3" s="209"/>
      <c r="K3" s="209"/>
    </row>
    <row r="4" spans="1:14" s="132" customFormat="1" ht="200.15" customHeight="1">
      <c r="A4" s="524" t="s">
        <v>2985</v>
      </c>
      <c r="B4" s="524"/>
      <c r="C4" s="524"/>
      <c r="D4" s="209"/>
      <c r="E4" s="201"/>
      <c r="F4" s="209"/>
      <c r="G4" s="210"/>
      <c r="H4" s="209"/>
      <c r="I4" s="210"/>
      <c r="J4" s="209"/>
      <c r="K4" s="209"/>
      <c r="L4" s="201"/>
      <c r="M4" s="61"/>
      <c r="N4" s="61"/>
    </row>
    <row r="5" spans="1:14" ht="26">
      <c r="A5" s="183" t="s">
        <v>73</v>
      </c>
      <c r="B5" s="186" t="s">
        <v>74</v>
      </c>
      <c r="C5" s="186" t="s">
        <v>75</v>
      </c>
      <c r="D5" s="186" t="s">
        <v>76</v>
      </c>
      <c r="E5" s="183" t="s">
        <v>77</v>
      </c>
      <c r="F5" s="186" t="s">
        <v>78</v>
      </c>
      <c r="G5" s="186" t="s">
        <v>79</v>
      </c>
      <c r="H5" s="186" t="s">
        <v>80</v>
      </c>
      <c r="I5" s="207" t="s">
        <v>683</v>
      </c>
      <c r="J5" s="186" t="s">
        <v>260</v>
      </c>
      <c r="K5" s="185" t="s">
        <v>261</v>
      </c>
    </row>
    <row r="6" spans="1:14">
      <c r="A6" s="120" t="s">
        <v>2986</v>
      </c>
      <c r="B6" s="141" t="s">
        <v>87</v>
      </c>
      <c r="C6" s="142" t="s">
        <v>351</v>
      </c>
      <c r="D6" s="142" t="s">
        <v>93</v>
      </c>
      <c r="E6" s="172"/>
      <c r="F6" s="141" t="s">
        <v>2987</v>
      </c>
      <c r="G6" s="141" t="s">
        <v>90</v>
      </c>
      <c r="H6" s="142" t="s">
        <v>351</v>
      </c>
      <c r="I6" s="141"/>
      <c r="J6" s="141"/>
      <c r="K6" s="206" t="s">
        <v>2988</v>
      </c>
    </row>
    <row r="7" spans="1:14">
      <c r="A7" s="120" t="s">
        <v>2986</v>
      </c>
      <c r="B7" s="141" t="s">
        <v>2989</v>
      </c>
      <c r="C7" s="142" t="s">
        <v>351</v>
      </c>
      <c r="D7" s="142" t="s">
        <v>93</v>
      </c>
      <c r="E7" s="172"/>
      <c r="F7" s="141" t="s">
        <v>2987</v>
      </c>
      <c r="G7" s="141" t="s">
        <v>2989</v>
      </c>
      <c r="H7" s="142" t="s">
        <v>351</v>
      </c>
      <c r="I7" s="141"/>
      <c r="J7" s="141"/>
      <c r="K7" s="206" t="s">
        <v>2988</v>
      </c>
    </row>
    <row r="8" spans="1:14">
      <c r="A8" s="120" t="s">
        <v>2986</v>
      </c>
      <c r="B8" s="141" t="s">
        <v>2990</v>
      </c>
      <c r="C8" s="142" t="s">
        <v>268</v>
      </c>
      <c r="D8" s="142" t="s">
        <v>93</v>
      </c>
      <c r="E8" s="172"/>
      <c r="F8" s="141" t="s">
        <v>2987</v>
      </c>
      <c r="G8" s="141" t="s">
        <v>2990</v>
      </c>
      <c r="H8" s="142" t="s">
        <v>268</v>
      </c>
      <c r="I8" s="141"/>
      <c r="J8" s="141"/>
      <c r="K8" s="206" t="s">
        <v>2988</v>
      </c>
    </row>
    <row r="9" spans="1:14">
      <c r="A9" s="120" t="s">
        <v>2986</v>
      </c>
      <c r="B9" s="141" t="s">
        <v>2991</v>
      </c>
      <c r="C9" s="142" t="s">
        <v>351</v>
      </c>
      <c r="D9" s="142" t="s">
        <v>93</v>
      </c>
      <c r="E9" s="172"/>
      <c r="F9" s="141" t="s">
        <v>2987</v>
      </c>
      <c r="G9" s="141" t="s">
        <v>2992</v>
      </c>
      <c r="H9" s="142" t="s">
        <v>351</v>
      </c>
      <c r="I9" s="141"/>
      <c r="J9" s="141"/>
      <c r="K9" s="206" t="s">
        <v>2988</v>
      </c>
    </row>
    <row r="10" spans="1:14">
      <c r="A10" s="222"/>
      <c r="B10" s="210"/>
      <c r="C10" s="209"/>
      <c r="D10" s="209"/>
      <c r="E10" s="201"/>
      <c r="F10" s="209"/>
      <c r="G10" s="210"/>
      <c r="H10" s="209"/>
      <c r="I10" s="210"/>
      <c r="J10" s="209"/>
      <c r="K10" s="209"/>
    </row>
    <row r="11" spans="1:14" ht="15.5">
      <c r="A11" s="541" t="s">
        <v>2993</v>
      </c>
      <c r="B11" s="560"/>
      <c r="C11" s="560"/>
      <c r="D11" s="560"/>
      <c r="E11" s="560"/>
      <c r="F11" s="560"/>
      <c r="G11" s="560"/>
      <c r="H11" s="560"/>
      <c r="I11" s="560"/>
      <c r="J11" s="560"/>
      <c r="K11" s="560"/>
    </row>
    <row r="12" spans="1:14">
      <c r="A12" s="222"/>
      <c r="B12" s="210"/>
      <c r="C12" s="209"/>
      <c r="D12" s="209"/>
      <c r="E12" s="201"/>
      <c r="F12" s="209"/>
      <c r="G12" s="210"/>
      <c r="H12" s="209"/>
      <c r="I12" s="210"/>
      <c r="J12" s="209"/>
      <c r="K12" s="209"/>
    </row>
    <row r="13" spans="1:14" s="132" customFormat="1" ht="111.65" customHeight="1">
      <c r="A13" s="524" t="s">
        <v>2994</v>
      </c>
      <c r="B13" s="524"/>
      <c r="C13" s="524"/>
      <c r="D13" s="209"/>
      <c r="E13" s="201"/>
      <c r="F13" s="209"/>
      <c r="G13" s="210"/>
      <c r="H13" s="209"/>
      <c r="I13" s="210"/>
      <c r="J13" s="209"/>
      <c r="K13" s="209"/>
      <c r="L13" s="201"/>
      <c r="M13" s="61"/>
      <c r="N13" s="61"/>
    </row>
    <row r="14" spans="1:14" ht="26">
      <c r="A14" s="183" t="s">
        <v>73</v>
      </c>
      <c r="B14" s="186" t="s">
        <v>74</v>
      </c>
      <c r="C14" s="186" t="s">
        <v>75</v>
      </c>
      <c r="D14" s="186" t="s">
        <v>76</v>
      </c>
      <c r="E14" s="183" t="s">
        <v>77</v>
      </c>
      <c r="F14" s="186" t="s">
        <v>78</v>
      </c>
      <c r="G14" s="186" t="s">
        <v>79</v>
      </c>
      <c r="H14" s="186" t="s">
        <v>80</v>
      </c>
      <c r="I14" s="207" t="s">
        <v>683</v>
      </c>
      <c r="J14" s="186" t="s">
        <v>260</v>
      </c>
      <c r="K14" s="185" t="s">
        <v>261</v>
      </c>
    </row>
    <row r="15" spans="1:14">
      <c r="A15" s="137" t="s">
        <v>2986</v>
      </c>
      <c r="B15" s="181" t="s">
        <v>2995</v>
      </c>
      <c r="C15" s="208" t="s">
        <v>351</v>
      </c>
      <c r="D15" s="208" t="s">
        <v>93</v>
      </c>
      <c r="E15" s="161"/>
      <c r="F15" s="181" t="s">
        <v>2996</v>
      </c>
      <c r="G15" s="181" t="s">
        <v>2995</v>
      </c>
      <c r="H15" s="208" t="s">
        <v>351</v>
      </c>
      <c r="I15" s="141"/>
      <c r="J15" s="141"/>
      <c r="K15" s="206" t="s">
        <v>2988</v>
      </c>
    </row>
    <row r="16" spans="1:14">
      <c r="A16" s="137" t="s">
        <v>2986</v>
      </c>
      <c r="B16" s="181" t="s">
        <v>2997</v>
      </c>
      <c r="C16" s="208" t="s">
        <v>268</v>
      </c>
      <c r="D16" s="208" t="s">
        <v>93</v>
      </c>
      <c r="E16" s="161"/>
      <c r="F16" s="181" t="s">
        <v>2996</v>
      </c>
      <c r="G16" s="181" t="s">
        <v>2997</v>
      </c>
      <c r="H16" s="208" t="s">
        <v>268</v>
      </c>
      <c r="I16" s="141"/>
      <c r="J16" s="141"/>
      <c r="K16" s="206" t="s">
        <v>2988</v>
      </c>
    </row>
    <row r="17" spans="1:11">
      <c r="A17" s="137" t="s">
        <v>2986</v>
      </c>
      <c r="B17" s="181" t="s">
        <v>2998</v>
      </c>
      <c r="C17" s="208" t="s">
        <v>268</v>
      </c>
      <c r="D17" s="208" t="s">
        <v>93</v>
      </c>
      <c r="E17" s="161"/>
      <c r="F17" s="181" t="s">
        <v>2996</v>
      </c>
      <c r="G17" s="181" t="s">
        <v>2998</v>
      </c>
      <c r="H17" s="208" t="s">
        <v>268</v>
      </c>
      <c r="I17" s="141"/>
      <c r="J17" s="141"/>
      <c r="K17" s="206" t="s">
        <v>2988</v>
      </c>
    </row>
    <row r="18" spans="1:11">
      <c r="A18" s="137" t="s">
        <v>2986</v>
      </c>
      <c r="B18" s="181" t="s">
        <v>1120</v>
      </c>
      <c r="C18" s="208" t="s">
        <v>351</v>
      </c>
      <c r="D18" s="208" t="s">
        <v>93</v>
      </c>
      <c r="E18" s="161"/>
      <c r="F18" s="181" t="s">
        <v>2996</v>
      </c>
      <c r="G18" s="181" t="s">
        <v>1120</v>
      </c>
      <c r="H18" s="208" t="s">
        <v>351</v>
      </c>
      <c r="I18" s="141"/>
      <c r="J18" s="141"/>
      <c r="K18" s="206" t="s">
        <v>2988</v>
      </c>
    </row>
    <row r="19" spans="1:11">
      <c r="A19" s="137" t="s">
        <v>2986</v>
      </c>
      <c r="B19" s="181" t="s">
        <v>2999</v>
      </c>
      <c r="C19" s="208" t="s">
        <v>268</v>
      </c>
      <c r="D19" s="208" t="s">
        <v>93</v>
      </c>
      <c r="E19" s="161"/>
      <c r="F19" s="181" t="s">
        <v>2996</v>
      </c>
      <c r="G19" s="181" t="s">
        <v>2999</v>
      </c>
      <c r="H19" s="208" t="s">
        <v>268</v>
      </c>
      <c r="I19" s="141"/>
      <c r="J19" s="141"/>
      <c r="K19" s="206" t="s">
        <v>2988</v>
      </c>
    </row>
    <row r="20" spans="1:11">
      <c r="A20" s="137" t="s">
        <v>2986</v>
      </c>
      <c r="B20" s="181" t="s">
        <v>3000</v>
      </c>
      <c r="C20" s="208" t="s">
        <v>268</v>
      </c>
      <c r="D20" s="208" t="s">
        <v>93</v>
      </c>
      <c r="E20" s="161"/>
      <c r="F20" s="181" t="s">
        <v>2996</v>
      </c>
      <c r="G20" s="181" t="s">
        <v>3000</v>
      </c>
      <c r="H20" s="208" t="s">
        <v>268</v>
      </c>
      <c r="I20" s="141"/>
      <c r="J20" s="141"/>
      <c r="K20" s="206" t="s">
        <v>2988</v>
      </c>
    </row>
    <row r="21" spans="1:11">
      <c r="A21" s="137" t="s">
        <v>2986</v>
      </c>
      <c r="B21" s="181" t="s">
        <v>3001</v>
      </c>
      <c r="C21" s="208" t="s">
        <v>268</v>
      </c>
      <c r="D21" s="208" t="s">
        <v>93</v>
      </c>
      <c r="E21" s="161"/>
      <c r="F21" s="181" t="s">
        <v>2996</v>
      </c>
      <c r="G21" s="181" t="s">
        <v>3001</v>
      </c>
      <c r="H21" s="208" t="s">
        <v>268</v>
      </c>
      <c r="I21" s="141"/>
      <c r="J21" s="141"/>
      <c r="K21" s="206" t="s">
        <v>2988</v>
      </c>
    </row>
    <row r="22" spans="1:11">
      <c r="A22" s="137" t="s">
        <v>2986</v>
      </c>
      <c r="B22" s="181" t="s">
        <v>3002</v>
      </c>
      <c r="C22" s="208" t="s">
        <v>268</v>
      </c>
      <c r="D22" s="208" t="s">
        <v>93</v>
      </c>
      <c r="E22" s="161"/>
      <c r="F22" s="181" t="s">
        <v>2996</v>
      </c>
      <c r="G22" s="181" t="s">
        <v>3002</v>
      </c>
      <c r="H22" s="208" t="s">
        <v>268</v>
      </c>
      <c r="I22" s="141"/>
      <c r="J22" s="141"/>
      <c r="K22" s="206" t="s">
        <v>2988</v>
      </c>
    </row>
    <row r="23" spans="1:11">
      <c r="A23" s="137" t="s">
        <v>2986</v>
      </c>
      <c r="B23" s="181" t="s">
        <v>3003</v>
      </c>
      <c r="C23" s="208" t="s">
        <v>268</v>
      </c>
      <c r="D23" s="208" t="s">
        <v>93</v>
      </c>
      <c r="E23" s="161"/>
      <c r="F23" s="181" t="s">
        <v>2996</v>
      </c>
      <c r="G23" s="181" t="s">
        <v>3003</v>
      </c>
      <c r="H23" s="208" t="s">
        <v>268</v>
      </c>
      <c r="I23" s="141"/>
      <c r="J23" s="141"/>
      <c r="K23" s="206" t="s">
        <v>2988</v>
      </c>
    </row>
    <row r="24" spans="1:11">
      <c r="A24" s="137" t="s">
        <v>2986</v>
      </c>
      <c r="B24" s="181" t="s">
        <v>306</v>
      </c>
      <c r="C24" s="208" t="s">
        <v>268</v>
      </c>
      <c r="D24" s="208" t="s">
        <v>93</v>
      </c>
      <c r="E24" s="161"/>
      <c r="F24" s="181" t="s">
        <v>2996</v>
      </c>
      <c r="G24" s="181" t="s">
        <v>306</v>
      </c>
      <c r="H24" s="208" t="s">
        <v>268</v>
      </c>
      <c r="I24" s="141"/>
      <c r="J24" s="141"/>
      <c r="K24" s="206" t="s">
        <v>2988</v>
      </c>
    </row>
    <row r="25" spans="1:11">
      <c r="A25" s="137" t="s">
        <v>2986</v>
      </c>
      <c r="B25" s="181" t="s">
        <v>3004</v>
      </c>
      <c r="C25" s="208" t="s">
        <v>268</v>
      </c>
      <c r="D25" s="208" t="s">
        <v>93</v>
      </c>
      <c r="E25" s="161"/>
      <c r="F25" s="181" t="s">
        <v>2996</v>
      </c>
      <c r="G25" s="181" t="s">
        <v>3004</v>
      </c>
      <c r="H25" s="208" t="s">
        <v>268</v>
      </c>
      <c r="I25" s="141"/>
      <c r="J25" s="141"/>
      <c r="K25" s="206" t="s">
        <v>2988</v>
      </c>
    </row>
    <row r="26" spans="1:11">
      <c r="A26" s="137" t="s">
        <v>2986</v>
      </c>
      <c r="B26" s="181" t="s">
        <v>3005</v>
      </c>
      <c r="C26" s="208" t="s">
        <v>268</v>
      </c>
      <c r="D26" s="208" t="s">
        <v>93</v>
      </c>
      <c r="E26" s="161"/>
      <c r="F26" s="181" t="s">
        <v>2996</v>
      </c>
      <c r="G26" s="181" t="s">
        <v>3005</v>
      </c>
      <c r="H26" s="208" t="s">
        <v>268</v>
      </c>
      <c r="I26" s="141"/>
      <c r="J26" s="141"/>
      <c r="K26" s="206" t="s">
        <v>2988</v>
      </c>
    </row>
    <row r="27" spans="1:11">
      <c r="A27" s="137" t="s">
        <v>2986</v>
      </c>
      <c r="B27" s="181" t="s">
        <v>3006</v>
      </c>
      <c r="C27" s="208" t="s">
        <v>351</v>
      </c>
      <c r="D27" s="208" t="s">
        <v>93</v>
      </c>
      <c r="E27" s="161"/>
      <c r="F27" s="181" t="s">
        <v>2996</v>
      </c>
      <c r="G27" s="181" t="s">
        <v>3006</v>
      </c>
      <c r="H27" s="208" t="s">
        <v>351</v>
      </c>
      <c r="I27" s="141"/>
      <c r="J27" s="141"/>
      <c r="K27" s="206" t="s">
        <v>2988</v>
      </c>
    </row>
    <row r="28" spans="1:11">
      <c r="A28" s="137" t="s">
        <v>2986</v>
      </c>
      <c r="B28" s="181" t="s">
        <v>3007</v>
      </c>
      <c r="C28" s="208" t="s">
        <v>268</v>
      </c>
      <c r="D28" s="208" t="s">
        <v>93</v>
      </c>
      <c r="E28" s="161"/>
      <c r="F28" s="181" t="s">
        <v>2996</v>
      </c>
      <c r="G28" s="181" t="s">
        <v>3007</v>
      </c>
      <c r="H28" s="208" t="s">
        <v>268</v>
      </c>
      <c r="I28" s="141"/>
      <c r="J28" s="141"/>
      <c r="K28" s="206" t="s">
        <v>2988</v>
      </c>
    </row>
    <row r="29" spans="1:11">
      <c r="A29" s="137" t="s">
        <v>2986</v>
      </c>
      <c r="B29" s="181" t="s">
        <v>3008</v>
      </c>
      <c r="C29" s="208" t="s">
        <v>351</v>
      </c>
      <c r="D29" s="208" t="s">
        <v>93</v>
      </c>
      <c r="E29" s="161"/>
      <c r="F29" s="181" t="s">
        <v>2996</v>
      </c>
      <c r="G29" s="181" t="s">
        <v>3008</v>
      </c>
      <c r="H29" s="208" t="s">
        <v>351</v>
      </c>
      <c r="I29" s="141"/>
      <c r="J29" s="141"/>
      <c r="K29" s="206" t="s">
        <v>2988</v>
      </c>
    </row>
    <row r="30" spans="1:11">
      <c r="A30" s="137" t="s">
        <v>2986</v>
      </c>
      <c r="B30" s="181" t="s">
        <v>3009</v>
      </c>
      <c r="C30" s="208" t="s">
        <v>281</v>
      </c>
      <c r="D30" s="208" t="s">
        <v>93</v>
      </c>
      <c r="E30" s="161"/>
      <c r="F30" s="181" t="s">
        <v>2996</v>
      </c>
      <c r="G30" s="181" t="s">
        <v>3009</v>
      </c>
      <c r="H30" s="208" t="s">
        <v>281</v>
      </c>
      <c r="I30" s="141"/>
      <c r="J30" s="141"/>
      <c r="K30" s="206" t="s">
        <v>2988</v>
      </c>
    </row>
    <row r="31" spans="1:11">
      <c r="A31" s="137" t="s">
        <v>2986</v>
      </c>
      <c r="B31" s="181" t="s">
        <v>3010</v>
      </c>
      <c r="C31" s="208" t="s">
        <v>351</v>
      </c>
      <c r="D31" s="208" t="s">
        <v>93</v>
      </c>
      <c r="E31" s="161"/>
      <c r="F31" s="181" t="s">
        <v>2996</v>
      </c>
      <c r="G31" s="181" t="s">
        <v>3010</v>
      </c>
      <c r="H31" s="208" t="s">
        <v>351</v>
      </c>
      <c r="I31" s="141"/>
      <c r="J31" s="141"/>
      <c r="K31" s="206" t="s">
        <v>2988</v>
      </c>
    </row>
    <row r="32" spans="1:11">
      <c r="A32" s="137" t="s">
        <v>2986</v>
      </c>
      <c r="B32" s="181" t="s">
        <v>3011</v>
      </c>
      <c r="C32" s="208" t="s">
        <v>351</v>
      </c>
      <c r="D32" s="208" t="s">
        <v>93</v>
      </c>
      <c r="E32" s="161"/>
      <c r="F32" s="181" t="s">
        <v>2996</v>
      </c>
      <c r="G32" s="181" t="s">
        <v>3011</v>
      </c>
      <c r="H32" s="208" t="s">
        <v>351</v>
      </c>
      <c r="I32" s="141"/>
      <c r="J32" s="141"/>
      <c r="K32" s="206" t="s">
        <v>2988</v>
      </c>
    </row>
    <row r="33" spans="1:14">
      <c r="A33" s="137" t="s">
        <v>2986</v>
      </c>
      <c r="B33" s="181" t="s">
        <v>3012</v>
      </c>
      <c r="C33" s="208" t="s">
        <v>351</v>
      </c>
      <c r="D33" s="208" t="s">
        <v>93</v>
      </c>
      <c r="E33" s="161"/>
      <c r="F33" s="181" t="s">
        <v>2996</v>
      </c>
      <c r="G33" s="181" t="s">
        <v>3012</v>
      </c>
      <c r="H33" s="208" t="s">
        <v>351</v>
      </c>
      <c r="I33" s="141"/>
      <c r="J33" s="141"/>
      <c r="K33" s="206" t="s">
        <v>2988</v>
      </c>
    </row>
    <row r="34" spans="1:14">
      <c r="A34" s="137" t="s">
        <v>2986</v>
      </c>
      <c r="B34" s="181" t="s">
        <v>3013</v>
      </c>
      <c r="C34" s="208" t="s">
        <v>281</v>
      </c>
      <c r="D34" s="208" t="s">
        <v>93</v>
      </c>
      <c r="E34" s="161"/>
      <c r="F34" s="181" t="s">
        <v>2996</v>
      </c>
      <c r="G34" s="181" t="s">
        <v>3013</v>
      </c>
      <c r="H34" s="208" t="s">
        <v>281</v>
      </c>
      <c r="I34" s="141"/>
      <c r="J34" s="141"/>
      <c r="K34" s="206" t="s">
        <v>2988</v>
      </c>
    </row>
    <row r="35" spans="1:14">
      <c r="A35" s="137" t="s">
        <v>2986</v>
      </c>
      <c r="B35" s="181" t="s">
        <v>3014</v>
      </c>
      <c r="C35" s="208" t="s">
        <v>281</v>
      </c>
      <c r="D35" s="208" t="s">
        <v>93</v>
      </c>
      <c r="E35" s="161"/>
      <c r="F35" s="181" t="s">
        <v>2996</v>
      </c>
      <c r="G35" s="181" t="s">
        <v>3014</v>
      </c>
      <c r="H35" s="208" t="s">
        <v>281</v>
      </c>
      <c r="I35" s="141"/>
      <c r="J35" s="141"/>
      <c r="K35" s="206" t="s">
        <v>2988</v>
      </c>
    </row>
    <row r="36" spans="1:14">
      <c r="A36" s="137" t="s">
        <v>2986</v>
      </c>
      <c r="B36" s="181" t="s">
        <v>3015</v>
      </c>
      <c r="C36" s="208" t="s">
        <v>281</v>
      </c>
      <c r="D36" s="208" t="s">
        <v>93</v>
      </c>
      <c r="E36" s="161"/>
      <c r="F36" s="181" t="s">
        <v>2996</v>
      </c>
      <c r="G36" s="181" t="s">
        <v>3015</v>
      </c>
      <c r="H36" s="208" t="s">
        <v>281</v>
      </c>
      <c r="I36" s="141"/>
      <c r="J36" s="141"/>
      <c r="K36" s="206" t="s">
        <v>2988</v>
      </c>
    </row>
    <row r="37" spans="1:14">
      <c r="A37" s="137" t="s">
        <v>2986</v>
      </c>
      <c r="B37" s="181" t="s">
        <v>3016</v>
      </c>
      <c r="C37" s="208" t="s">
        <v>281</v>
      </c>
      <c r="D37" s="208" t="s">
        <v>93</v>
      </c>
      <c r="E37" s="161"/>
      <c r="F37" s="181" t="s">
        <v>2996</v>
      </c>
      <c r="G37" s="181" t="s">
        <v>3016</v>
      </c>
      <c r="H37" s="208" t="s">
        <v>281</v>
      </c>
      <c r="I37" s="141"/>
      <c r="J37" s="141"/>
      <c r="K37" s="206" t="s">
        <v>2988</v>
      </c>
    </row>
    <row r="38" spans="1:14">
      <c r="A38" s="137" t="s">
        <v>2986</v>
      </c>
      <c r="B38" s="181" t="s">
        <v>3017</v>
      </c>
      <c r="C38" s="208" t="s">
        <v>281</v>
      </c>
      <c r="D38" s="208" t="s">
        <v>93</v>
      </c>
      <c r="E38" s="161"/>
      <c r="F38" s="181" t="s">
        <v>2996</v>
      </c>
      <c r="G38" s="181" t="s">
        <v>3017</v>
      </c>
      <c r="H38" s="208" t="s">
        <v>281</v>
      </c>
      <c r="I38" s="141"/>
      <c r="J38" s="141"/>
      <c r="K38" s="206" t="s">
        <v>2988</v>
      </c>
    </row>
    <row r="39" spans="1:14">
      <c r="A39" s="137" t="s">
        <v>2986</v>
      </c>
      <c r="B39" s="181" t="s">
        <v>3018</v>
      </c>
      <c r="C39" s="208" t="s">
        <v>281</v>
      </c>
      <c r="D39" s="208" t="s">
        <v>93</v>
      </c>
      <c r="E39" s="161"/>
      <c r="F39" s="181" t="s">
        <v>2996</v>
      </c>
      <c r="G39" s="181" t="s">
        <v>3018</v>
      </c>
      <c r="H39" s="208" t="s">
        <v>281</v>
      </c>
      <c r="I39" s="141"/>
      <c r="J39" s="141"/>
      <c r="K39" s="206" t="s">
        <v>2988</v>
      </c>
    </row>
    <row r="40" spans="1:14">
      <c r="A40" s="137" t="s">
        <v>2986</v>
      </c>
      <c r="B40" s="181" t="s">
        <v>3019</v>
      </c>
      <c r="C40" s="208" t="s">
        <v>351</v>
      </c>
      <c r="D40" s="208" t="s">
        <v>93</v>
      </c>
      <c r="E40" s="161"/>
      <c r="F40" s="181" t="s">
        <v>2996</v>
      </c>
      <c r="G40" s="181" t="s">
        <v>3019</v>
      </c>
      <c r="H40" s="208" t="s">
        <v>351</v>
      </c>
      <c r="I40" s="141"/>
      <c r="J40" s="141"/>
      <c r="K40" s="206" t="s">
        <v>2988</v>
      </c>
    </row>
    <row r="41" spans="1:14">
      <c r="A41" s="137" t="s">
        <v>2986</v>
      </c>
      <c r="B41" s="181" t="s">
        <v>3020</v>
      </c>
      <c r="C41" s="208" t="s">
        <v>351</v>
      </c>
      <c r="D41" s="208" t="s">
        <v>93</v>
      </c>
      <c r="E41" s="161"/>
      <c r="F41" s="181" t="s">
        <v>2996</v>
      </c>
      <c r="G41" s="181" t="s">
        <v>3020</v>
      </c>
      <c r="H41" s="208" t="s">
        <v>351</v>
      </c>
      <c r="I41" s="141"/>
      <c r="J41" s="141"/>
      <c r="K41" s="206" t="s">
        <v>2988</v>
      </c>
    </row>
    <row r="42" spans="1:14">
      <c r="A42" s="137" t="s">
        <v>2986</v>
      </c>
      <c r="B42" s="181" t="s">
        <v>3021</v>
      </c>
      <c r="C42" s="208" t="s">
        <v>351</v>
      </c>
      <c r="D42" s="208" t="s">
        <v>93</v>
      </c>
      <c r="E42" s="161"/>
      <c r="F42" s="181" t="s">
        <v>2996</v>
      </c>
      <c r="G42" s="181" t="s">
        <v>3021</v>
      </c>
      <c r="H42" s="208" t="s">
        <v>351</v>
      </c>
      <c r="I42" s="141"/>
      <c r="J42" s="141"/>
      <c r="K42" s="206" t="s">
        <v>2988</v>
      </c>
    </row>
    <row r="43" spans="1:14">
      <c r="A43" s="222"/>
      <c r="B43" s="210"/>
      <c r="C43" s="209"/>
      <c r="D43" s="209"/>
      <c r="E43" s="201"/>
      <c r="F43" s="209"/>
      <c r="G43" s="210"/>
      <c r="H43" s="209"/>
      <c r="I43" s="210"/>
      <c r="J43" s="209"/>
      <c r="K43" s="209"/>
    </row>
    <row r="44" spans="1:14">
      <c r="A44" s="222"/>
      <c r="B44" s="210"/>
      <c r="C44" s="209"/>
      <c r="D44" s="209"/>
      <c r="E44" s="201"/>
      <c r="F44" s="209"/>
      <c r="G44" s="210"/>
      <c r="H44" s="209"/>
      <c r="I44" s="210"/>
      <c r="J44" s="209"/>
      <c r="K44" s="209"/>
    </row>
    <row r="45" spans="1:14">
      <c r="A45" s="518" t="s">
        <v>3022</v>
      </c>
      <c r="B45" s="523"/>
      <c r="C45" s="523"/>
      <c r="D45" s="523"/>
      <c r="E45" s="523"/>
      <c r="F45" s="523"/>
      <c r="G45" s="523"/>
      <c r="H45" s="523"/>
      <c r="I45" s="523"/>
      <c r="J45" s="523"/>
      <c r="K45" s="523"/>
    </row>
    <row r="46" spans="1:14">
      <c r="A46" s="222"/>
      <c r="B46" s="210"/>
      <c r="C46" s="209"/>
      <c r="D46" s="209"/>
      <c r="E46" s="201"/>
      <c r="F46" s="209"/>
      <c r="G46" s="210"/>
      <c r="H46" s="209"/>
      <c r="I46" s="210"/>
      <c r="J46" s="209"/>
      <c r="K46" s="209"/>
    </row>
    <row r="47" spans="1:14" s="132" customFormat="1" ht="91.75" customHeight="1">
      <c r="A47" s="524" t="s">
        <v>3023</v>
      </c>
      <c r="B47" s="524"/>
      <c r="C47" s="524"/>
      <c r="D47" s="209"/>
      <c r="E47" s="201"/>
      <c r="F47" s="209"/>
      <c r="G47" s="210"/>
      <c r="H47" s="209"/>
      <c r="I47" s="210"/>
      <c r="J47" s="209"/>
      <c r="K47" s="209"/>
      <c r="L47" s="201"/>
      <c r="M47" s="61"/>
      <c r="N47" s="61"/>
    </row>
    <row r="48" spans="1:14" ht="26">
      <c r="A48" s="183" t="s">
        <v>73</v>
      </c>
      <c r="B48" s="186" t="s">
        <v>74</v>
      </c>
      <c r="C48" s="186" t="s">
        <v>75</v>
      </c>
      <c r="D48" s="186" t="s">
        <v>76</v>
      </c>
      <c r="E48" s="183" t="s">
        <v>77</v>
      </c>
      <c r="F48" s="186" t="s">
        <v>78</v>
      </c>
      <c r="G48" s="186" t="s">
        <v>79</v>
      </c>
      <c r="H48" s="186" t="s">
        <v>80</v>
      </c>
      <c r="I48" s="207" t="s">
        <v>683</v>
      </c>
      <c r="J48" s="186" t="s">
        <v>260</v>
      </c>
      <c r="K48" s="185" t="s">
        <v>261</v>
      </c>
    </row>
    <row r="49" spans="1:12">
      <c r="A49" s="128" t="s">
        <v>2986</v>
      </c>
      <c r="B49" s="181" t="s">
        <v>3024</v>
      </c>
      <c r="C49" s="181" t="s">
        <v>3025</v>
      </c>
      <c r="D49" s="208" t="s">
        <v>93</v>
      </c>
      <c r="E49" s="199"/>
      <c r="F49" s="208" t="s">
        <v>3026</v>
      </c>
      <c r="G49" s="181" t="s">
        <v>3027</v>
      </c>
      <c r="H49" s="208" t="s">
        <v>3025</v>
      </c>
      <c r="I49" s="141"/>
      <c r="J49" s="141"/>
      <c r="K49" s="206" t="s">
        <v>2988</v>
      </c>
    </row>
    <row r="50" spans="1:12">
      <c r="A50" s="222"/>
      <c r="B50" s="210"/>
      <c r="C50" s="209"/>
      <c r="D50" s="209"/>
      <c r="E50" s="201"/>
      <c r="F50" s="209"/>
      <c r="G50" s="210"/>
      <c r="H50" s="209"/>
      <c r="I50" s="210"/>
      <c r="J50" s="209"/>
      <c r="K50" s="209"/>
    </row>
    <row r="51" spans="1:12">
      <c r="A51" s="518" t="s">
        <v>3028</v>
      </c>
      <c r="B51" s="523"/>
      <c r="C51" s="523"/>
      <c r="D51" s="523"/>
      <c r="E51" s="523"/>
      <c r="F51" s="523"/>
      <c r="G51" s="523"/>
      <c r="H51" s="523"/>
      <c r="I51" s="523"/>
      <c r="J51" s="523"/>
      <c r="K51" s="523"/>
    </row>
    <row r="52" spans="1:12">
      <c r="A52" s="222"/>
      <c r="B52" s="210"/>
      <c r="C52" s="209"/>
      <c r="D52" s="209"/>
      <c r="E52" s="201"/>
      <c r="F52" s="209"/>
      <c r="G52" s="210"/>
      <c r="H52" s="209"/>
      <c r="I52" s="210"/>
      <c r="J52" s="209"/>
      <c r="K52" s="209"/>
    </row>
    <row r="53" spans="1:12" ht="85.75" customHeight="1">
      <c r="A53" s="524" t="s">
        <v>3029</v>
      </c>
      <c r="B53" s="524"/>
      <c r="C53" s="524"/>
      <c r="D53" s="209"/>
      <c r="E53" s="201"/>
      <c r="F53" s="209"/>
      <c r="G53" s="210"/>
      <c r="H53" s="209"/>
      <c r="I53" s="210"/>
      <c r="J53" s="209"/>
      <c r="K53" s="209"/>
    </row>
    <row r="54" spans="1:12">
      <c r="B54" s="210"/>
      <c r="C54" s="209"/>
      <c r="D54" s="209"/>
      <c r="E54" s="201"/>
      <c r="F54" s="209"/>
      <c r="G54" s="210"/>
      <c r="H54" s="209"/>
      <c r="I54" s="210"/>
      <c r="J54" s="209"/>
      <c r="K54" s="209"/>
    </row>
    <row r="55" spans="1:12" ht="31.4" customHeight="1">
      <c r="A55" s="183" t="s">
        <v>73</v>
      </c>
      <c r="B55" s="186" t="s">
        <v>74</v>
      </c>
      <c r="C55" s="186" t="s">
        <v>75</v>
      </c>
      <c r="D55" s="186" t="s">
        <v>76</v>
      </c>
      <c r="E55" s="153" t="s">
        <v>77</v>
      </c>
      <c r="F55" s="186" t="s">
        <v>78</v>
      </c>
      <c r="G55" s="186" t="s">
        <v>79</v>
      </c>
      <c r="H55" s="186" t="s">
        <v>80</v>
      </c>
      <c r="I55" s="207" t="s">
        <v>683</v>
      </c>
      <c r="J55" s="186" t="s">
        <v>260</v>
      </c>
      <c r="K55" s="186" t="s">
        <v>261</v>
      </c>
      <c r="L55" s="202"/>
    </row>
    <row r="56" spans="1:12">
      <c r="A56" s="120" t="s">
        <v>2986</v>
      </c>
      <c r="B56" s="187" t="s">
        <v>3030</v>
      </c>
      <c r="C56" s="193" t="s">
        <v>274</v>
      </c>
      <c r="D56" s="193" t="s">
        <v>686</v>
      </c>
      <c r="E56" s="148"/>
      <c r="F56" s="187" t="s">
        <v>3028</v>
      </c>
      <c r="G56" s="187" t="s">
        <v>90</v>
      </c>
      <c r="H56" s="211" t="s">
        <v>274</v>
      </c>
      <c r="I56" s="187" t="s">
        <v>3030</v>
      </c>
      <c r="J56" s="142"/>
      <c r="K56" s="206" t="s">
        <v>3031</v>
      </c>
    </row>
    <row r="57" spans="1:12">
      <c r="A57" s="120" t="s">
        <v>2986</v>
      </c>
      <c r="B57" s="187" t="s">
        <v>711</v>
      </c>
      <c r="C57" s="193" t="s">
        <v>267</v>
      </c>
      <c r="D57" s="193" t="s">
        <v>686</v>
      </c>
      <c r="E57" s="148"/>
      <c r="F57" s="187" t="s">
        <v>3028</v>
      </c>
      <c r="G57" s="187" t="s">
        <v>118</v>
      </c>
      <c r="H57" s="211" t="s">
        <v>267</v>
      </c>
      <c r="I57" s="187" t="s">
        <v>711</v>
      </c>
      <c r="J57" s="142"/>
      <c r="K57" s="206" t="s">
        <v>3031</v>
      </c>
    </row>
    <row r="58" spans="1:12">
      <c r="A58" s="120" t="s">
        <v>2986</v>
      </c>
      <c r="B58" s="187" t="s">
        <v>380</v>
      </c>
      <c r="C58" s="193" t="s">
        <v>267</v>
      </c>
      <c r="D58" s="193" t="s">
        <v>686</v>
      </c>
      <c r="E58" s="148"/>
      <c r="F58" s="187" t="s">
        <v>3028</v>
      </c>
      <c r="G58" s="187" t="s">
        <v>170</v>
      </c>
      <c r="H58" s="211" t="s">
        <v>267</v>
      </c>
      <c r="I58" s="187" t="s">
        <v>380</v>
      </c>
      <c r="J58" s="142"/>
      <c r="K58" s="206" t="s">
        <v>3031</v>
      </c>
    </row>
    <row r="59" spans="1:12">
      <c r="A59" s="120" t="s">
        <v>2986</v>
      </c>
      <c r="B59" s="187" t="s">
        <v>100</v>
      </c>
      <c r="C59" s="193" t="s">
        <v>267</v>
      </c>
      <c r="D59" s="193" t="s">
        <v>686</v>
      </c>
      <c r="E59" s="148"/>
      <c r="F59" s="187" t="s">
        <v>3028</v>
      </c>
      <c r="G59" s="187" t="s">
        <v>272</v>
      </c>
      <c r="H59" s="211" t="s">
        <v>267</v>
      </c>
      <c r="I59" s="187" t="s">
        <v>100</v>
      </c>
      <c r="J59" s="142"/>
      <c r="K59" s="206" t="s">
        <v>3031</v>
      </c>
    </row>
    <row r="60" spans="1:12" ht="25">
      <c r="A60" s="120" t="s">
        <v>2986</v>
      </c>
      <c r="B60" s="187" t="s">
        <v>101</v>
      </c>
      <c r="C60" s="193" t="s">
        <v>267</v>
      </c>
      <c r="D60" s="193" t="s">
        <v>686</v>
      </c>
      <c r="E60" s="148"/>
      <c r="F60" s="187" t="s">
        <v>3028</v>
      </c>
      <c r="G60" s="187" t="s">
        <v>3032</v>
      </c>
      <c r="H60" s="211" t="s">
        <v>267</v>
      </c>
      <c r="I60" s="187" t="s">
        <v>101</v>
      </c>
      <c r="J60" s="142"/>
      <c r="K60" s="206" t="s">
        <v>3031</v>
      </c>
    </row>
    <row r="61" spans="1:12">
      <c r="A61" s="120" t="s">
        <v>2986</v>
      </c>
      <c r="B61" s="187" t="s">
        <v>99</v>
      </c>
      <c r="C61" s="193" t="s">
        <v>267</v>
      </c>
      <c r="D61" s="193" t="s">
        <v>686</v>
      </c>
      <c r="E61" s="148"/>
      <c r="F61" s="187" t="s">
        <v>3028</v>
      </c>
      <c r="G61" s="187" t="s">
        <v>271</v>
      </c>
      <c r="H61" s="211" t="s">
        <v>267</v>
      </c>
      <c r="I61" s="187" t="s">
        <v>99</v>
      </c>
      <c r="J61" s="142"/>
      <c r="K61" s="206" t="s">
        <v>3031</v>
      </c>
    </row>
    <row r="62" spans="1:12">
      <c r="A62" s="120" t="s">
        <v>2986</v>
      </c>
      <c r="B62" s="187" t="s">
        <v>3033</v>
      </c>
      <c r="C62" s="193" t="s">
        <v>267</v>
      </c>
      <c r="D62" s="193" t="s">
        <v>686</v>
      </c>
      <c r="E62" s="148"/>
      <c r="F62" s="187" t="s">
        <v>3028</v>
      </c>
      <c r="G62" s="187" t="s">
        <v>3034</v>
      </c>
      <c r="H62" s="211" t="s">
        <v>267</v>
      </c>
      <c r="I62" s="187" t="s">
        <v>99</v>
      </c>
      <c r="J62" s="142"/>
      <c r="K62" s="206" t="s">
        <v>3031</v>
      </c>
    </row>
    <row r="63" spans="1:12">
      <c r="A63" s="120" t="s">
        <v>2986</v>
      </c>
      <c r="B63" s="187" t="s">
        <v>3035</v>
      </c>
      <c r="C63" s="193" t="s">
        <v>267</v>
      </c>
      <c r="D63" s="193" t="s">
        <v>686</v>
      </c>
      <c r="E63" s="148"/>
      <c r="F63" s="187" t="s">
        <v>3028</v>
      </c>
      <c r="G63" s="187" t="s">
        <v>3036</v>
      </c>
      <c r="H63" s="211" t="s">
        <v>267</v>
      </c>
      <c r="I63" s="187" t="s">
        <v>99</v>
      </c>
      <c r="J63" s="142"/>
      <c r="K63" s="206" t="s">
        <v>3031</v>
      </c>
    </row>
    <row r="64" spans="1:12">
      <c r="A64" s="120" t="s">
        <v>2986</v>
      </c>
      <c r="B64" s="187" t="s">
        <v>3037</v>
      </c>
      <c r="C64" s="193" t="s">
        <v>267</v>
      </c>
      <c r="D64" s="193" t="s">
        <v>686</v>
      </c>
      <c r="E64" s="148"/>
      <c r="F64" s="187" t="s">
        <v>3028</v>
      </c>
      <c r="G64" s="187" t="s">
        <v>3038</v>
      </c>
      <c r="H64" s="211" t="s">
        <v>267</v>
      </c>
      <c r="I64" s="187" t="s">
        <v>99</v>
      </c>
      <c r="J64" s="142"/>
      <c r="K64" s="206" t="s">
        <v>3031</v>
      </c>
    </row>
    <row r="65" spans="1:59">
      <c r="A65" s="120" t="s">
        <v>2986</v>
      </c>
      <c r="B65" s="187" t="s">
        <v>3039</v>
      </c>
      <c r="C65" s="193" t="s">
        <v>267</v>
      </c>
      <c r="D65" s="193" t="s">
        <v>686</v>
      </c>
      <c r="E65" s="148"/>
      <c r="F65" s="187" t="s">
        <v>3028</v>
      </c>
      <c r="G65" s="187" t="s">
        <v>3040</v>
      </c>
      <c r="H65" s="211" t="s">
        <v>267</v>
      </c>
      <c r="I65" s="187" t="s">
        <v>99</v>
      </c>
      <c r="J65" s="142"/>
      <c r="K65" s="206" t="s">
        <v>3031</v>
      </c>
    </row>
    <row r="66" spans="1:59">
      <c r="A66" s="120" t="s">
        <v>2986</v>
      </c>
      <c r="B66" s="187" t="s">
        <v>3041</v>
      </c>
      <c r="C66" s="193" t="s">
        <v>267</v>
      </c>
      <c r="D66" s="193" t="s">
        <v>686</v>
      </c>
      <c r="E66" s="148"/>
      <c r="F66" s="187" t="s">
        <v>3028</v>
      </c>
      <c r="G66" s="187" t="s">
        <v>3042</v>
      </c>
      <c r="H66" s="211" t="s">
        <v>267</v>
      </c>
      <c r="I66" s="187" t="s">
        <v>99</v>
      </c>
      <c r="J66" s="142"/>
      <c r="K66" s="206" t="s">
        <v>3031</v>
      </c>
    </row>
    <row r="67" spans="1:59">
      <c r="A67" s="222"/>
      <c r="B67" s="210"/>
      <c r="C67" s="209"/>
      <c r="D67" s="209"/>
      <c r="E67" s="201"/>
      <c r="F67" s="209"/>
      <c r="G67" s="210"/>
      <c r="H67" s="209"/>
      <c r="I67" s="210"/>
      <c r="J67" s="209"/>
      <c r="K67" s="209"/>
    </row>
    <row r="68" spans="1:59">
      <c r="A68" s="518" t="s">
        <v>3043</v>
      </c>
      <c r="B68" s="523"/>
      <c r="C68" s="523"/>
      <c r="D68" s="523"/>
      <c r="E68" s="523"/>
      <c r="F68" s="523"/>
      <c r="G68" s="523"/>
      <c r="H68" s="523"/>
      <c r="I68" s="523"/>
      <c r="J68" s="523"/>
      <c r="K68" s="523"/>
    </row>
    <row r="69" spans="1:59">
      <c r="A69" s="222"/>
      <c r="B69" s="210"/>
      <c r="C69" s="209"/>
      <c r="D69" s="209"/>
      <c r="E69" s="201"/>
      <c r="F69" s="209"/>
      <c r="G69" s="210"/>
      <c r="H69" s="209"/>
      <c r="I69" s="210"/>
      <c r="J69" s="209"/>
      <c r="K69" s="209"/>
    </row>
    <row r="70" spans="1:59" s="188" customFormat="1" ht="26">
      <c r="A70" s="183" t="s">
        <v>73</v>
      </c>
      <c r="B70" s="186" t="s">
        <v>74</v>
      </c>
      <c r="C70" s="185" t="s">
        <v>75</v>
      </c>
      <c r="D70" s="185" t="s">
        <v>76</v>
      </c>
      <c r="E70" s="153" t="s">
        <v>77</v>
      </c>
      <c r="F70" s="186" t="s">
        <v>78</v>
      </c>
      <c r="G70" s="186" t="s">
        <v>79</v>
      </c>
      <c r="H70" s="185" t="s">
        <v>80</v>
      </c>
      <c r="I70" s="186" t="s">
        <v>683</v>
      </c>
      <c r="J70" s="185" t="s">
        <v>260</v>
      </c>
      <c r="K70" s="185" t="s">
        <v>261</v>
      </c>
      <c r="L70" s="201"/>
      <c r="M70" s="61"/>
      <c r="N70" s="61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  <c r="AB70" s="159"/>
      <c r="AC70" s="159"/>
      <c r="AD70" s="159"/>
      <c r="AE70" s="159"/>
      <c r="AF70" s="159"/>
      <c r="AG70" s="159"/>
      <c r="AH70" s="159"/>
      <c r="AI70" s="159"/>
      <c r="AJ70" s="159"/>
      <c r="AK70" s="159"/>
      <c r="AL70" s="159"/>
      <c r="AM70" s="159"/>
      <c r="AN70" s="159"/>
      <c r="AO70" s="159"/>
      <c r="AP70" s="159"/>
      <c r="AQ70" s="159"/>
      <c r="AR70" s="159"/>
      <c r="AS70" s="159"/>
      <c r="AT70" s="159"/>
      <c r="AU70" s="159"/>
      <c r="AV70" s="159"/>
      <c r="AW70" s="159"/>
      <c r="AX70" s="159"/>
      <c r="AY70" s="159"/>
      <c r="AZ70" s="159"/>
      <c r="BA70" s="159"/>
      <c r="BB70" s="159"/>
      <c r="BC70" s="159"/>
      <c r="BD70" s="159"/>
      <c r="BE70" s="159"/>
      <c r="BF70" s="159"/>
      <c r="BG70" s="159"/>
    </row>
    <row r="71" spans="1:59" ht="100">
      <c r="A71" s="119" t="s">
        <v>3044</v>
      </c>
      <c r="B71" s="187" t="s">
        <v>3045</v>
      </c>
      <c r="C71" s="193" t="s">
        <v>379</v>
      </c>
      <c r="D71" s="193" t="s">
        <v>686</v>
      </c>
      <c r="E71" s="148"/>
      <c r="F71" s="187" t="s">
        <v>3043</v>
      </c>
      <c r="G71" s="187" t="s">
        <v>911</v>
      </c>
      <c r="H71" s="193" t="s">
        <v>379</v>
      </c>
      <c r="I71" s="187" t="s">
        <v>911</v>
      </c>
      <c r="J71" s="187"/>
      <c r="K71" s="206" t="s">
        <v>2988</v>
      </c>
    </row>
    <row r="72" spans="1:59">
      <c r="A72" s="120" t="s">
        <v>913</v>
      </c>
      <c r="B72" s="187" t="s">
        <v>92</v>
      </c>
      <c r="C72" s="142"/>
      <c r="D72" s="142"/>
      <c r="E72" s="172"/>
      <c r="F72" s="187" t="s">
        <v>3043</v>
      </c>
      <c r="G72" s="187" t="s">
        <v>92</v>
      </c>
      <c r="H72" s="142" t="s">
        <v>267</v>
      </c>
      <c r="I72" s="141"/>
      <c r="J72" s="187"/>
      <c r="K72" s="206" t="s">
        <v>2988</v>
      </c>
    </row>
    <row r="73" spans="1:59">
      <c r="A73" s="120" t="s">
        <v>913</v>
      </c>
      <c r="B73" s="187" t="s">
        <v>95</v>
      </c>
      <c r="C73" s="142"/>
      <c r="D73" s="142"/>
      <c r="E73" s="172"/>
      <c r="F73" s="187" t="s">
        <v>3043</v>
      </c>
      <c r="G73" s="187" t="s">
        <v>95</v>
      </c>
      <c r="H73" s="142" t="s">
        <v>267</v>
      </c>
      <c r="I73" s="141"/>
      <c r="J73" s="187"/>
      <c r="K73" s="206" t="s">
        <v>2988</v>
      </c>
    </row>
    <row r="74" spans="1:59" s="179" customFormat="1" ht="100">
      <c r="A74" s="119" t="s">
        <v>3044</v>
      </c>
      <c r="B74" s="187" t="s">
        <v>3046</v>
      </c>
      <c r="C74" s="193" t="s">
        <v>267</v>
      </c>
      <c r="D74" s="193" t="s">
        <v>686</v>
      </c>
      <c r="E74" s="148"/>
      <c r="F74" s="187" t="s">
        <v>3043</v>
      </c>
      <c r="G74" s="187" t="s">
        <v>271</v>
      </c>
      <c r="H74" s="193" t="s">
        <v>267</v>
      </c>
      <c r="I74" s="187" t="s">
        <v>271</v>
      </c>
      <c r="J74" s="187"/>
      <c r="K74" s="206" t="s">
        <v>2988</v>
      </c>
      <c r="L74" s="201"/>
      <c r="M74" s="61"/>
      <c r="N74" s="61"/>
    </row>
    <row r="75" spans="1:59" ht="109.4" customHeight="1">
      <c r="A75" s="119" t="s">
        <v>3047</v>
      </c>
      <c r="C75" s="142"/>
      <c r="D75" s="142"/>
      <c r="E75" s="119" t="s">
        <v>3048</v>
      </c>
      <c r="F75" s="187" t="s">
        <v>3043</v>
      </c>
      <c r="G75" s="187" t="s">
        <v>3049</v>
      </c>
      <c r="H75" s="142" t="s">
        <v>267</v>
      </c>
      <c r="I75" s="141"/>
      <c r="J75" s="187"/>
      <c r="K75" s="206" t="s">
        <v>2988</v>
      </c>
    </row>
    <row r="76" spans="1:59" ht="65.5" customHeight="1">
      <c r="A76" s="120" t="s">
        <v>3050</v>
      </c>
      <c r="B76" s="187" t="s">
        <v>3051</v>
      </c>
      <c r="C76" s="142"/>
      <c r="D76" s="142"/>
      <c r="E76" s="172"/>
      <c r="F76" s="187" t="s">
        <v>3043</v>
      </c>
      <c r="G76" s="187" t="s">
        <v>3052</v>
      </c>
      <c r="H76" s="142" t="s">
        <v>267</v>
      </c>
      <c r="I76" s="141"/>
      <c r="J76" s="187"/>
      <c r="K76" s="206" t="s">
        <v>2988</v>
      </c>
    </row>
    <row r="77" spans="1:59" ht="49.75" customHeight="1">
      <c r="A77" s="120" t="s">
        <v>3050</v>
      </c>
      <c r="B77" s="187" t="s">
        <v>3053</v>
      </c>
      <c r="C77" s="142"/>
      <c r="D77" s="142"/>
      <c r="E77" s="172"/>
      <c r="F77" s="187" t="s">
        <v>3043</v>
      </c>
      <c r="G77" s="187" t="s">
        <v>3054</v>
      </c>
      <c r="H77" s="142" t="s">
        <v>321</v>
      </c>
      <c r="I77" s="141"/>
      <c r="J77" s="187"/>
      <c r="K77" s="206" t="s">
        <v>2988</v>
      </c>
    </row>
    <row r="78" spans="1:59" ht="61.4" customHeight="1">
      <c r="A78" s="119" t="s">
        <v>3055</v>
      </c>
      <c r="B78" s="187" t="s">
        <v>3056</v>
      </c>
      <c r="C78" s="142"/>
      <c r="D78" s="142"/>
      <c r="E78" s="172"/>
      <c r="F78" s="187" t="s">
        <v>3043</v>
      </c>
      <c r="G78" s="187" t="s">
        <v>142</v>
      </c>
      <c r="H78" s="142" t="s">
        <v>321</v>
      </c>
      <c r="I78" s="141"/>
      <c r="J78" s="187" t="s">
        <v>3057</v>
      </c>
      <c r="K78" s="206" t="s">
        <v>2988</v>
      </c>
    </row>
    <row r="79" spans="1:59" ht="87.5">
      <c r="A79" s="119" t="s">
        <v>3055</v>
      </c>
      <c r="B79" s="187" t="s">
        <v>3058</v>
      </c>
      <c r="C79" s="142"/>
      <c r="D79" s="142"/>
      <c r="E79" s="172"/>
      <c r="F79" s="187" t="s">
        <v>3043</v>
      </c>
      <c r="G79" s="187" t="s">
        <v>2042</v>
      </c>
      <c r="H79" s="142" t="s">
        <v>321</v>
      </c>
      <c r="I79" s="141"/>
      <c r="J79" s="187" t="s">
        <v>3057</v>
      </c>
      <c r="K79" s="206" t="s">
        <v>2988</v>
      </c>
    </row>
    <row r="80" spans="1:59" ht="87.5">
      <c r="A80" s="119" t="s">
        <v>3055</v>
      </c>
      <c r="B80" s="187" t="s">
        <v>3059</v>
      </c>
      <c r="C80" s="142"/>
      <c r="D80" s="142"/>
      <c r="E80" s="172"/>
      <c r="F80" s="187" t="s">
        <v>3043</v>
      </c>
      <c r="G80" s="187" t="s">
        <v>2041</v>
      </c>
      <c r="H80" s="142" t="s">
        <v>321</v>
      </c>
      <c r="I80" s="141"/>
      <c r="J80" s="187" t="s">
        <v>3057</v>
      </c>
      <c r="K80" s="206" t="s">
        <v>2988</v>
      </c>
    </row>
    <row r="81" spans="1:14" ht="87.5">
      <c r="A81" s="119" t="s">
        <v>3055</v>
      </c>
      <c r="B81" s="187" t="s">
        <v>3060</v>
      </c>
      <c r="C81" s="142"/>
      <c r="D81" s="142"/>
      <c r="E81" s="172"/>
      <c r="F81" s="187" t="s">
        <v>3043</v>
      </c>
      <c r="G81" s="187" t="s">
        <v>472</v>
      </c>
      <c r="H81" s="142" t="s">
        <v>321</v>
      </c>
      <c r="I81" s="141"/>
      <c r="J81" s="187" t="s">
        <v>3057</v>
      </c>
      <c r="K81" s="206" t="s">
        <v>2988</v>
      </c>
    </row>
    <row r="82" spans="1:14" ht="87.5">
      <c r="A82" s="119" t="s">
        <v>3055</v>
      </c>
      <c r="B82" s="187" t="s">
        <v>3061</v>
      </c>
      <c r="C82" s="142"/>
      <c r="D82" s="142"/>
      <c r="E82" s="172"/>
      <c r="F82" s="187" t="s">
        <v>3043</v>
      </c>
      <c r="G82" s="187" t="s">
        <v>1673</v>
      </c>
      <c r="H82" s="142" t="s">
        <v>321</v>
      </c>
      <c r="I82" s="141"/>
      <c r="J82" s="187" t="s">
        <v>3057</v>
      </c>
      <c r="K82" s="206" t="s">
        <v>2988</v>
      </c>
    </row>
    <row r="83" spans="1:14" ht="87.5">
      <c r="A83" s="119" t="s">
        <v>3055</v>
      </c>
      <c r="B83" s="187" t="s">
        <v>3062</v>
      </c>
      <c r="C83" s="142"/>
      <c r="D83" s="142"/>
      <c r="E83" s="172"/>
      <c r="F83" s="187" t="s">
        <v>3043</v>
      </c>
      <c r="G83" s="187" t="s">
        <v>477</v>
      </c>
      <c r="H83" s="142" t="s">
        <v>321</v>
      </c>
      <c r="I83" s="141"/>
      <c r="J83" s="187" t="s">
        <v>3057</v>
      </c>
      <c r="K83" s="206" t="s">
        <v>2988</v>
      </c>
    </row>
    <row r="84" spans="1:14" ht="87.5">
      <c r="A84" s="119" t="s">
        <v>3055</v>
      </c>
      <c r="B84" s="187" t="s">
        <v>3063</v>
      </c>
      <c r="C84" s="142"/>
      <c r="D84" s="142"/>
      <c r="E84" s="120" t="s">
        <v>3064</v>
      </c>
      <c r="F84" s="187" t="s">
        <v>3043</v>
      </c>
      <c r="G84" s="187" t="s">
        <v>3065</v>
      </c>
      <c r="H84" s="142" t="s">
        <v>321</v>
      </c>
      <c r="I84" s="141"/>
      <c r="J84" s="187"/>
      <c r="K84" s="206" t="s">
        <v>2988</v>
      </c>
    </row>
    <row r="85" spans="1:14" ht="87.5">
      <c r="A85" s="119" t="s">
        <v>3055</v>
      </c>
      <c r="B85" s="187" t="s">
        <v>3066</v>
      </c>
      <c r="C85" s="142"/>
      <c r="D85" s="142"/>
      <c r="E85" s="172"/>
      <c r="F85" s="187" t="s">
        <v>3043</v>
      </c>
      <c r="G85" s="187" t="s">
        <v>2069</v>
      </c>
      <c r="H85" s="142" t="s">
        <v>321</v>
      </c>
      <c r="I85" s="141"/>
      <c r="J85" s="187" t="s">
        <v>3057</v>
      </c>
      <c r="K85" s="206" t="s">
        <v>2988</v>
      </c>
    </row>
    <row r="86" spans="1:14" ht="87.5">
      <c r="A86" s="119" t="s">
        <v>3055</v>
      </c>
      <c r="B86" s="187" t="s">
        <v>3066</v>
      </c>
      <c r="C86" s="142"/>
      <c r="D86" s="142"/>
      <c r="E86" s="120" t="s">
        <v>3067</v>
      </c>
      <c r="F86" s="187" t="s">
        <v>3043</v>
      </c>
      <c r="G86" s="187" t="s">
        <v>3068</v>
      </c>
      <c r="H86" s="142" t="s">
        <v>321</v>
      </c>
      <c r="I86" s="141"/>
      <c r="J86" s="187"/>
      <c r="K86" s="206" t="s">
        <v>2988</v>
      </c>
    </row>
    <row r="87" spans="1:14" ht="87.5">
      <c r="A87" s="119" t="s">
        <v>3055</v>
      </c>
      <c r="B87" s="187" t="s">
        <v>3069</v>
      </c>
      <c r="C87" s="142"/>
      <c r="D87" s="142"/>
      <c r="E87" s="172"/>
      <c r="F87" s="187" t="s">
        <v>3043</v>
      </c>
      <c r="G87" s="187" t="s">
        <v>1384</v>
      </c>
      <c r="H87" s="142" t="s">
        <v>321</v>
      </c>
      <c r="I87" s="141"/>
      <c r="J87" s="187" t="s">
        <v>3057</v>
      </c>
      <c r="K87" s="206" t="s">
        <v>2988</v>
      </c>
    </row>
    <row r="88" spans="1:14" ht="87.5">
      <c r="A88" s="119" t="s">
        <v>3055</v>
      </c>
      <c r="B88" s="187" t="s">
        <v>3070</v>
      </c>
      <c r="C88" s="142"/>
      <c r="D88" s="142"/>
      <c r="E88" s="120" t="s">
        <v>3071</v>
      </c>
      <c r="F88" s="187" t="s">
        <v>3043</v>
      </c>
      <c r="G88" s="187" t="s">
        <v>3072</v>
      </c>
      <c r="H88" s="142" t="s">
        <v>321</v>
      </c>
      <c r="I88" s="141"/>
      <c r="J88" s="187"/>
      <c r="K88" s="206" t="s">
        <v>2988</v>
      </c>
    </row>
    <row r="89" spans="1:14" ht="308.5" customHeight="1">
      <c r="A89" s="119" t="s">
        <v>3073</v>
      </c>
      <c r="B89" s="187" t="s">
        <v>3074</v>
      </c>
      <c r="C89" s="142"/>
      <c r="D89" s="142"/>
      <c r="E89" s="120" t="s">
        <v>3075</v>
      </c>
      <c r="F89" s="187" t="s">
        <v>3043</v>
      </c>
      <c r="G89" s="187" t="s">
        <v>3076</v>
      </c>
      <c r="H89" s="142" t="s">
        <v>321</v>
      </c>
      <c r="I89" s="141"/>
      <c r="J89" s="187"/>
      <c r="K89" s="142" t="s">
        <v>2988</v>
      </c>
      <c r="L89" s="273"/>
      <c r="M89"/>
      <c r="N89"/>
    </row>
    <row r="90" spans="1:14" ht="87.5">
      <c r="A90" s="119" t="s">
        <v>3055</v>
      </c>
      <c r="B90" s="187" t="s">
        <v>3077</v>
      </c>
      <c r="C90" s="142"/>
      <c r="D90" s="142"/>
      <c r="E90" s="120" t="s">
        <v>3078</v>
      </c>
      <c r="F90" s="187" t="s">
        <v>3043</v>
      </c>
      <c r="G90" s="187" t="s">
        <v>2047</v>
      </c>
      <c r="H90" s="142" t="s">
        <v>321</v>
      </c>
      <c r="I90" s="141"/>
      <c r="J90" s="187" t="s">
        <v>3057</v>
      </c>
      <c r="K90" s="206" t="s">
        <v>2988</v>
      </c>
    </row>
    <row r="91" spans="1:14" ht="87.5">
      <c r="A91" s="119" t="s">
        <v>3055</v>
      </c>
      <c r="B91" s="187" t="s">
        <v>3079</v>
      </c>
      <c r="C91" s="142"/>
      <c r="D91" s="142"/>
      <c r="E91" s="120" t="s">
        <v>3080</v>
      </c>
      <c r="F91" s="187" t="s">
        <v>3043</v>
      </c>
      <c r="G91" s="187" t="s">
        <v>2046</v>
      </c>
      <c r="H91" s="142" t="s">
        <v>321</v>
      </c>
      <c r="I91" s="141"/>
      <c r="J91" s="187" t="s">
        <v>3057</v>
      </c>
      <c r="K91" s="206" t="s">
        <v>2988</v>
      </c>
    </row>
    <row r="92" spans="1:14" ht="87.5">
      <c r="A92" s="119" t="s">
        <v>3055</v>
      </c>
      <c r="B92" s="187" t="s">
        <v>3081</v>
      </c>
      <c r="C92" s="142"/>
      <c r="D92" s="142"/>
      <c r="E92" s="120" t="s">
        <v>3082</v>
      </c>
      <c r="F92" s="187" t="s">
        <v>3043</v>
      </c>
      <c r="G92" s="187" t="s">
        <v>2050</v>
      </c>
      <c r="H92" s="142" t="s">
        <v>321</v>
      </c>
      <c r="I92" s="141"/>
      <c r="J92" s="187" t="s">
        <v>3057</v>
      </c>
      <c r="K92" s="206" t="s">
        <v>2988</v>
      </c>
    </row>
    <row r="93" spans="1:14" ht="87.5">
      <c r="A93" s="119" t="s">
        <v>3055</v>
      </c>
      <c r="B93" s="187" t="s">
        <v>3083</v>
      </c>
      <c r="C93" s="142"/>
      <c r="D93" s="142"/>
      <c r="E93" s="120" t="s">
        <v>3084</v>
      </c>
      <c r="F93" s="187" t="s">
        <v>3043</v>
      </c>
      <c r="G93" s="187" t="s">
        <v>2049</v>
      </c>
      <c r="H93" s="142" t="s">
        <v>321</v>
      </c>
      <c r="I93" s="141"/>
      <c r="J93" s="187" t="s">
        <v>3057</v>
      </c>
      <c r="K93" s="206" t="s">
        <v>2988</v>
      </c>
    </row>
    <row r="94" spans="1:14" ht="87.5">
      <c r="A94" s="119" t="s">
        <v>3055</v>
      </c>
      <c r="B94" s="187" t="s">
        <v>3085</v>
      </c>
      <c r="C94" s="142"/>
      <c r="D94" s="142"/>
      <c r="E94" s="120" t="s">
        <v>3086</v>
      </c>
      <c r="F94" s="187" t="s">
        <v>3043</v>
      </c>
      <c r="G94" s="187" t="s">
        <v>2048</v>
      </c>
      <c r="H94" s="142" t="s">
        <v>321</v>
      </c>
      <c r="I94" s="141"/>
      <c r="J94" s="187" t="s">
        <v>3057</v>
      </c>
      <c r="K94" s="206" t="s">
        <v>2988</v>
      </c>
    </row>
    <row r="95" spans="1:14" ht="87.5">
      <c r="A95" s="119" t="s">
        <v>3055</v>
      </c>
      <c r="B95" s="187" t="s">
        <v>3087</v>
      </c>
      <c r="C95" s="142"/>
      <c r="D95" s="142"/>
      <c r="E95" s="120" t="s">
        <v>3088</v>
      </c>
      <c r="F95" s="187" t="s">
        <v>3043</v>
      </c>
      <c r="G95" s="187" t="s">
        <v>3089</v>
      </c>
      <c r="H95" s="142" t="s">
        <v>321</v>
      </c>
      <c r="I95" s="141"/>
      <c r="J95" s="187" t="s">
        <v>3057</v>
      </c>
      <c r="K95" s="206" t="s">
        <v>2988</v>
      </c>
    </row>
    <row r="96" spans="1:14" ht="87.5">
      <c r="A96" s="119" t="s">
        <v>3055</v>
      </c>
      <c r="B96" s="187" t="s">
        <v>3090</v>
      </c>
      <c r="C96" s="142"/>
      <c r="D96" s="142"/>
      <c r="E96" s="120" t="s">
        <v>3091</v>
      </c>
      <c r="F96" s="187" t="s">
        <v>3043</v>
      </c>
      <c r="G96" s="187" t="s">
        <v>464</v>
      </c>
      <c r="H96" s="142" t="s">
        <v>321</v>
      </c>
      <c r="I96" s="141"/>
      <c r="J96" s="187" t="s">
        <v>3057</v>
      </c>
      <c r="K96" s="206" t="s">
        <v>2988</v>
      </c>
    </row>
    <row r="97" spans="1:59" ht="87.5">
      <c r="A97" s="119" t="s">
        <v>3055</v>
      </c>
      <c r="B97" s="187" t="s">
        <v>3090</v>
      </c>
      <c r="C97" s="142"/>
      <c r="D97" s="142"/>
      <c r="E97" s="120" t="s">
        <v>3092</v>
      </c>
      <c r="F97" s="187" t="s">
        <v>3043</v>
      </c>
      <c r="G97" s="187" t="s">
        <v>2043</v>
      </c>
      <c r="H97" s="142" t="s">
        <v>321</v>
      </c>
      <c r="I97" s="141"/>
      <c r="J97" s="187"/>
      <c r="K97" s="206" t="s">
        <v>2988</v>
      </c>
    </row>
    <row r="98" spans="1:59" ht="87.5">
      <c r="A98" s="119" t="s">
        <v>3055</v>
      </c>
      <c r="B98" s="187" t="s">
        <v>3093</v>
      </c>
      <c r="C98" s="142"/>
      <c r="D98" s="142"/>
      <c r="E98" s="172"/>
      <c r="F98" s="187" t="s">
        <v>3043</v>
      </c>
      <c r="G98" s="187" t="s">
        <v>1666</v>
      </c>
      <c r="H98" s="142" t="s">
        <v>321</v>
      </c>
      <c r="I98" s="141"/>
      <c r="J98" s="187" t="s">
        <v>3057</v>
      </c>
      <c r="K98" s="206" t="s">
        <v>2988</v>
      </c>
    </row>
    <row r="99" spans="1:59" ht="86.5" customHeight="1">
      <c r="A99" s="120" t="s">
        <v>913</v>
      </c>
      <c r="B99" s="187" t="s">
        <v>1666</v>
      </c>
      <c r="C99" s="142"/>
      <c r="D99" s="142"/>
      <c r="E99" s="172" t="s">
        <v>3094</v>
      </c>
      <c r="F99" s="187" t="s">
        <v>3043</v>
      </c>
      <c r="G99" s="187" t="s">
        <v>3095</v>
      </c>
      <c r="H99" s="142" t="s">
        <v>321</v>
      </c>
      <c r="I99" s="141"/>
      <c r="J99" s="187"/>
      <c r="K99" s="206" t="s">
        <v>2988</v>
      </c>
    </row>
    <row r="100" spans="1:59">
      <c r="A100" s="222"/>
      <c r="B100" s="210"/>
      <c r="C100" s="209"/>
      <c r="D100" s="209"/>
      <c r="E100" s="201"/>
      <c r="F100" s="209"/>
      <c r="G100" s="210"/>
      <c r="H100" s="209"/>
      <c r="I100" s="210"/>
      <c r="J100" s="209"/>
      <c r="K100" s="209"/>
    </row>
    <row r="101" spans="1:59" ht="15.5">
      <c r="A101" s="541" t="s">
        <v>3096</v>
      </c>
      <c r="B101" s="560"/>
      <c r="C101" s="560"/>
      <c r="D101" s="560"/>
      <c r="E101" s="560"/>
      <c r="F101" s="560"/>
      <c r="G101" s="560"/>
      <c r="H101" s="560"/>
      <c r="I101" s="560"/>
      <c r="J101" s="560"/>
      <c r="K101" s="560"/>
    </row>
    <row r="102" spans="1:59">
      <c r="A102" s="222"/>
      <c r="B102" s="210"/>
      <c r="C102" s="209"/>
      <c r="D102" s="209"/>
      <c r="E102" s="201"/>
      <c r="F102" s="209"/>
      <c r="G102" s="210"/>
      <c r="H102" s="209"/>
      <c r="I102" s="210"/>
      <c r="J102" s="209"/>
      <c r="K102" s="209"/>
    </row>
    <row r="103" spans="1:59" ht="26">
      <c r="A103" s="183" t="s">
        <v>73</v>
      </c>
      <c r="B103" s="186" t="s">
        <v>74</v>
      </c>
      <c r="C103" s="185" t="s">
        <v>75</v>
      </c>
      <c r="D103" s="185" t="s">
        <v>76</v>
      </c>
      <c r="E103" s="153" t="s">
        <v>77</v>
      </c>
      <c r="F103" s="186" t="s">
        <v>78</v>
      </c>
      <c r="G103" s="186" t="s">
        <v>79</v>
      </c>
      <c r="H103" s="185" t="s">
        <v>80</v>
      </c>
      <c r="I103" s="186" t="s">
        <v>683</v>
      </c>
      <c r="J103" s="185" t="s">
        <v>260</v>
      </c>
      <c r="K103" s="185" t="s">
        <v>261</v>
      </c>
    </row>
    <row r="104" spans="1:59" s="190" customFormat="1" ht="25">
      <c r="A104" s="133" t="s">
        <v>913</v>
      </c>
      <c r="B104" s="189" t="s">
        <v>3097</v>
      </c>
      <c r="C104" s="212" t="s">
        <v>262</v>
      </c>
      <c r="D104" s="212" t="s">
        <v>686</v>
      </c>
      <c r="E104" s="192"/>
      <c r="F104" s="189" t="s">
        <v>3098</v>
      </c>
      <c r="G104" s="189" t="s">
        <v>3099</v>
      </c>
      <c r="H104" s="212" t="s">
        <v>262</v>
      </c>
      <c r="I104" s="189" t="s">
        <v>1478</v>
      </c>
      <c r="J104" s="142"/>
      <c r="K104" s="213" t="s">
        <v>3100</v>
      </c>
      <c r="L104" s="201"/>
      <c r="M104" s="61"/>
      <c r="N104" s="61"/>
      <c r="O104" s="184"/>
      <c r="P104" s="184"/>
      <c r="Q104" s="184"/>
      <c r="R104" s="184"/>
      <c r="S104" s="184"/>
      <c r="T104" s="184"/>
      <c r="U104" s="184"/>
      <c r="V104" s="159"/>
      <c r="W104" s="159"/>
      <c r="X104" s="159"/>
      <c r="Y104" s="159"/>
      <c r="Z104" s="159"/>
      <c r="AA104" s="159"/>
      <c r="AB104" s="159"/>
      <c r="AC104" s="159"/>
      <c r="AD104" s="159"/>
      <c r="AE104" s="159"/>
      <c r="AF104" s="159"/>
      <c r="AG104" s="159"/>
      <c r="AH104" s="159"/>
      <c r="AI104" s="159"/>
      <c r="AJ104" s="159"/>
      <c r="AK104" s="159"/>
      <c r="AL104" s="159"/>
      <c r="AM104" s="159"/>
      <c r="AN104" s="159"/>
      <c r="AO104" s="159"/>
      <c r="AP104" s="159"/>
      <c r="AQ104" s="159"/>
      <c r="AR104" s="159"/>
      <c r="AS104" s="159"/>
      <c r="AT104" s="159"/>
      <c r="AU104" s="159"/>
      <c r="AV104" s="159"/>
      <c r="AW104" s="159"/>
      <c r="AX104" s="159"/>
      <c r="AY104" s="159"/>
      <c r="AZ104" s="159"/>
      <c r="BA104" s="159"/>
      <c r="BB104" s="159"/>
      <c r="BC104" s="159"/>
      <c r="BD104" s="159"/>
      <c r="BE104" s="159"/>
      <c r="BF104" s="159"/>
      <c r="BG104" s="159"/>
    </row>
    <row r="105" spans="1:59" s="190" customFormat="1" ht="25">
      <c r="A105" s="133"/>
      <c r="B105" s="189"/>
      <c r="C105" s="212"/>
      <c r="D105" s="212" t="s">
        <v>1309</v>
      </c>
      <c r="E105" s="192" t="s">
        <v>3101</v>
      </c>
      <c r="F105" s="189" t="s">
        <v>3098</v>
      </c>
      <c r="G105" s="189" t="s">
        <v>3102</v>
      </c>
      <c r="H105" s="212" t="s">
        <v>267</v>
      </c>
      <c r="I105" s="189" t="s">
        <v>3103</v>
      </c>
      <c r="J105" s="142"/>
      <c r="K105" s="213" t="s">
        <v>3100</v>
      </c>
      <c r="L105" s="201"/>
      <c r="M105" s="61"/>
      <c r="N105" s="61"/>
      <c r="O105" s="184"/>
      <c r="P105" s="184"/>
      <c r="Q105" s="184"/>
      <c r="R105" s="184"/>
      <c r="S105" s="184"/>
      <c r="T105" s="184"/>
      <c r="U105" s="184"/>
      <c r="V105" s="159"/>
      <c r="W105" s="159"/>
      <c r="X105" s="159"/>
      <c r="Y105" s="159"/>
      <c r="Z105" s="159"/>
      <c r="AA105" s="159"/>
      <c r="AB105" s="159"/>
      <c r="AC105" s="159"/>
      <c r="AD105" s="159"/>
      <c r="AE105" s="159"/>
      <c r="AF105" s="159"/>
      <c r="AG105" s="159"/>
      <c r="AH105" s="159"/>
      <c r="AI105" s="159"/>
      <c r="AJ105" s="159"/>
      <c r="AK105" s="159"/>
      <c r="AL105" s="159"/>
      <c r="AM105" s="159"/>
      <c r="AN105" s="159"/>
      <c r="AO105" s="159"/>
      <c r="AP105" s="159"/>
      <c r="AQ105" s="159"/>
      <c r="AR105" s="159"/>
      <c r="AS105" s="159"/>
      <c r="AT105" s="159"/>
      <c r="AU105" s="159"/>
      <c r="AV105" s="159"/>
      <c r="AW105" s="159"/>
      <c r="AX105" s="159"/>
      <c r="AY105" s="159"/>
      <c r="AZ105" s="159"/>
      <c r="BA105" s="159"/>
      <c r="BB105" s="159"/>
      <c r="BC105" s="159"/>
      <c r="BD105" s="159"/>
      <c r="BE105" s="159"/>
      <c r="BF105" s="159"/>
      <c r="BG105" s="159"/>
    </row>
    <row r="106" spans="1:59" s="190" customFormat="1" ht="25">
      <c r="A106" s="133" t="s">
        <v>913</v>
      </c>
      <c r="B106" s="189" t="s">
        <v>3104</v>
      </c>
      <c r="C106" s="212" t="s">
        <v>267</v>
      </c>
      <c r="D106" s="212" t="s">
        <v>686</v>
      </c>
      <c r="E106" s="192"/>
      <c r="F106" s="189" t="s">
        <v>3098</v>
      </c>
      <c r="G106" s="189" t="s">
        <v>916</v>
      </c>
      <c r="H106" s="212" t="s">
        <v>267</v>
      </c>
      <c r="I106" s="189" t="s">
        <v>1480</v>
      </c>
      <c r="J106" s="142"/>
      <c r="K106" s="213" t="s">
        <v>3100</v>
      </c>
      <c r="L106" s="201"/>
      <c r="M106" s="61"/>
      <c r="N106" s="61"/>
      <c r="O106" s="184"/>
      <c r="P106" s="184"/>
      <c r="Q106" s="184"/>
      <c r="R106" s="184"/>
      <c r="S106" s="184"/>
      <c r="T106" s="184"/>
      <c r="U106" s="184"/>
      <c r="V106" s="159"/>
      <c r="W106" s="159"/>
      <c r="X106" s="159"/>
      <c r="Y106" s="159"/>
      <c r="Z106" s="159"/>
      <c r="AA106" s="159"/>
      <c r="AB106" s="159"/>
      <c r="AC106" s="159"/>
      <c r="AD106" s="159"/>
      <c r="AE106" s="159"/>
      <c r="AF106" s="159"/>
      <c r="AG106" s="159"/>
      <c r="AH106" s="159"/>
      <c r="AI106" s="159"/>
      <c r="AJ106" s="159"/>
      <c r="AK106" s="159"/>
      <c r="AL106" s="159"/>
      <c r="AM106" s="159"/>
      <c r="AN106" s="159"/>
      <c r="AO106" s="159"/>
      <c r="AP106" s="159"/>
      <c r="AQ106" s="159"/>
      <c r="AR106" s="159"/>
      <c r="AS106" s="159"/>
      <c r="AT106" s="159"/>
      <c r="AU106" s="159"/>
      <c r="AV106" s="159"/>
      <c r="AW106" s="159"/>
      <c r="AX106" s="159"/>
      <c r="AY106" s="159"/>
      <c r="AZ106" s="159"/>
      <c r="BA106" s="159"/>
      <c r="BB106" s="159"/>
      <c r="BC106" s="159"/>
      <c r="BD106" s="159"/>
      <c r="BE106" s="159"/>
      <c r="BF106" s="159"/>
      <c r="BG106" s="159"/>
    </row>
    <row r="107" spans="1:59" ht="25">
      <c r="A107" s="119" t="s">
        <v>913</v>
      </c>
      <c r="B107" s="187" t="s">
        <v>3105</v>
      </c>
      <c r="C107" s="193" t="s">
        <v>267</v>
      </c>
      <c r="D107" s="193" t="s">
        <v>686</v>
      </c>
      <c r="E107" s="148"/>
      <c r="F107" s="187" t="s">
        <v>3098</v>
      </c>
      <c r="G107" s="187" t="s">
        <v>914</v>
      </c>
      <c r="H107" s="193" t="s">
        <v>267</v>
      </c>
      <c r="I107" s="187" t="s">
        <v>3106</v>
      </c>
      <c r="J107" s="142"/>
      <c r="K107" s="213" t="s">
        <v>3100</v>
      </c>
      <c r="O107" s="184"/>
      <c r="P107" s="184"/>
      <c r="Q107" s="184"/>
      <c r="R107" s="184"/>
      <c r="S107" s="184"/>
      <c r="T107" s="184"/>
      <c r="U107" s="184"/>
    </row>
    <row r="108" spans="1:59" ht="25">
      <c r="A108" s="119" t="s">
        <v>913</v>
      </c>
      <c r="B108" s="187" t="s">
        <v>3107</v>
      </c>
      <c r="C108" s="193" t="s">
        <v>267</v>
      </c>
      <c r="D108" s="193" t="s">
        <v>686</v>
      </c>
      <c r="E108" s="148"/>
      <c r="F108" s="187" t="s">
        <v>3098</v>
      </c>
      <c r="G108" s="187" t="s">
        <v>927</v>
      </c>
      <c r="H108" s="193" t="s">
        <v>267</v>
      </c>
      <c r="I108" s="187" t="s">
        <v>1481</v>
      </c>
      <c r="J108" s="142"/>
      <c r="K108" s="213" t="s">
        <v>3100</v>
      </c>
      <c r="O108" s="184"/>
      <c r="P108" s="184"/>
      <c r="Q108" s="184"/>
      <c r="R108" s="184"/>
      <c r="S108" s="184"/>
      <c r="T108" s="184"/>
      <c r="U108" s="184"/>
    </row>
    <row r="109" spans="1:59" ht="25">
      <c r="A109" s="119" t="s">
        <v>913</v>
      </c>
      <c r="B109" s="187" t="s">
        <v>3108</v>
      </c>
      <c r="C109" s="193" t="s">
        <v>267</v>
      </c>
      <c r="D109" s="193" t="s">
        <v>686</v>
      </c>
      <c r="E109" s="148"/>
      <c r="F109" s="187" t="s">
        <v>3098</v>
      </c>
      <c r="G109" s="187" t="s">
        <v>924</v>
      </c>
      <c r="H109" s="193" t="s">
        <v>267</v>
      </c>
      <c r="I109" s="187" t="s">
        <v>3109</v>
      </c>
      <c r="J109" s="142"/>
      <c r="K109" s="213" t="s">
        <v>3100</v>
      </c>
      <c r="O109" s="184"/>
      <c r="P109" s="184"/>
      <c r="Q109" s="184"/>
      <c r="R109" s="184"/>
      <c r="S109" s="184"/>
      <c r="T109" s="184"/>
      <c r="U109" s="184"/>
    </row>
    <row r="110" spans="1:59" ht="25">
      <c r="A110" s="119" t="s">
        <v>913</v>
      </c>
      <c r="B110" s="187" t="s">
        <v>92</v>
      </c>
      <c r="C110" s="193" t="s">
        <v>267</v>
      </c>
      <c r="D110" s="193" t="s">
        <v>686</v>
      </c>
      <c r="E110" s="148"/>
      <c r="F110" s="187" t="s">
        <v>3098</v>
      </c>
      <c r="G110" s="187" t="s">
        <v>310</v>
      </c>
      <c r="H110" s="193" t="s">
        <v>267</v>
      </c>
      <c r="I110" s="187" t="s">
        <v>92</v>
      </c>
      <c r="J110" s="142"/>
      <c r="K110" s="213" t="s">
        <v>3100</v>
      </c>
      <c r="O110" s="184"/>
      <c r="P110" s="184"/>
      <c r="Q110" s="184"/>
      <c r="R110" s="184"/>
      <c r="S110" s="184"/>
      <c r="T110" s="184"/>
      <c r="U110" s="184"/>
    </row>
    <row r="111" spans="1:59" ht="25">
      <c r="A111" s="119" t="s">
        <v>913</v>
      </c>
      <c r="B111" s="187" t="s">
        <v>95</v>
      </c>
      <c r="C111" s="193" t="s">
        <v>267</v>
      </c>
      <c r="D111" s="193" t="s">
        <v>686</v>
      </c>
      <c r="E111" s="148"/>
      <c r="F111" s="187" t="s">
        <v>3098</v>
      </c>
      <c r="G111" s="187" t="s">
        <v>312</v>
      </c>
      <c r="H111" s="193" t="s">
        <v>267</v>
      </c>
      <c r="I111" s="187" t="s">
        <v>95</v>
      </c>
      <c r="J111" s="142"/>
      <c r="K111" s="213" t="s">
        <v>3100</v>
      </c>
      <c r="O111" s="184"/>
      <c r="P111" s="184"/>
      <c r="Q111" s="184"/>
      <c r="R111" s="184"/>
      <c r="S111" s="184"/>
      <c r="T111" s="184"/>
      <c r="U111" s="184"/>
    </row>
    <row r="112" spans="1:59" ht="25">
      <c r="A112" s="119" t="s">
        <v>913</v>
      </c>
      <c r="B112" s="141" t="s">
        <v>929</v>
      </c>
      <c r="C112" s="142" t="s">
        <v>1292</v>
      </c>
      <c r="D112" s="193" t="s">
        <v>686</v>
      </c>
      <c r="E112" s="148"/>
      <c r="F112" s="187" t="s">
        <v>3098</v>
      </c>
      <c r="G112" s="141" t="s">
        <v>929</v>
      </c>
      <c r="H112" s="142" t="s">
        <v>1292</v>
      </c>
      <c r="I112" s="187"/>
      <c r="J112" s="142" t="s">
        <v>3110</v>
      </c>
      <c r="K112" s="213" t="s">
        <v>3100</v>
      </c>
      <c r="O112" s="184"/>
      <c r="P112" s="184"/>
      <c r="Q112" s="184"/>
      <c r="R112" s="184"/>
      <c r="S112" s="184"/>
      <c r="T112" s="184"/>
      <c r="U112" s="184"/>
    </row>
    <row r="113" spans="1:21" ht="25">
      <c r="A113" s="119" t="s">
        <v>913</v>
      </c>
      <c r="B113" s="141" t="s">
        <v>931</v>
      </c>
      <c r="C113" s="142" t="s">
        <v>1292</v>
      </c>
      <c r="D113" s="193" t="s">
        <v>686</v>
      </c>
      <c r="E113" s="148"/>
      <c r="F113" s="187" t="s">
        <v>3098</v>
      </c>
      <c r="G113" s="141" t="s">
        <v>931</v>
      </c>
      <c r="H113" s="142" t="s">
        <v>1292</v>
      </c>
      <c r="I113" s="187"/>
      <c r="J113" s="142" t="s">
        <v>3110</v>
      </c>
      <c r="K113" s="213" t="s">
        <v>3100</v>
      </c>
      <c r="O113" s="184"/>
      <c r="P113" s="184"/>
      <c r="Q113" s="184"/>
      <c r="R113" s="184"/>
      <c r="S113" s="184"/>
      <c r="T113" s="184"/>
      <c r="U113" s="184"/>
    </row>
    <row r="114" spans="1:21" ht="25">
      <c r="A114" s="119" t="s">
        <v>913</v>
      </c>
      <c r="B114" s="141" t="s">
        <v>933</v>
      </c>
      <c r="C114" s="142" t="s">
        <v>1292</v>
      </c>
      <c r="D114" s="193" t="s">
        <v>686</v>
      </c>
      <c r="E114" s="148"/>
      <c r="F114" s="187" t="s">
        <v>3098</v>
      </c>
      <c r="G114" s="141" t="s">
        <v>933</v>
      </c>
      <c r="H114" s="142" t="s">
        <v>1292</v>
      </c>
      <c r="I114" s="187"/>
      <c r="J114" s="142" t="s">
        <v>3110</v>
      </c>
      <c r="K114" s="213" t="s">
        <v>3100</v>
      </c>
      <c r="O114" s="184"/>
      <c r="P114" s="184"/>
      <c r="Q114" s="184"/>
      <c r="R114" s="184"/>
      <c r="S114" s="184"/>
      <c r="T114" s="184"/>
      <c r="U114" s="184"/>
    </row>
    <row r="115" spans="1:21" ht="25">
      <c r="A115" s="119" t="s">
        <v>913</v>
      </c>
      <c r="B115" s="141" t="s">
        <v>935</v>
      </c>
      <c r="C115" s="142" t="s">
        <v>1292</v>
      </c>
      <c r="D115" s="193" t="s">
        <v>686</v>
      </c>
      <c r="E115" s="148"/>
      <c r="F115" s="187" t="s">
        <v>3098</v>
      </c>
      <c r="G115" s="141" t="s">
        <v>935</v>
      </c>
      <c r="H115" s="142" t="s">
        <v>1292</v>
      </c>
      <c r="I115" s="187"/>
      <c r="J115" s="142" t="s">
        <v>3110</v>
      </c>
      <c r="K115" s="213" t="s">
        <v>3100</v>
      </c>
      <c r="O115" s="184"/>
      <c r="P115" s="184"/>
      <c r="Q115" s="184"/>
      <c r="R115" s="184"/>
      <c r="S115" s="184"/>
      <c r="T115" s="184"/>
      <c r="U115" s="184"/>
    </row>
    <row r="116" spans="1:21" ht="25">
      <c r="A116" s="119" t="s">
        <v>913</v>
      </c>
      <c r="B116" s="141" t="s">
        <v>937</v>
      </c>
      <c r="C116" s="142" t="s">
        <v>1292</v>
      </c>
      <c r="D116" s="193" t="s">
        <v>686</v>
      </c>
      <c r="E116" s="148"/>
      <c r="F116" s="187" t="s">
        <v>3098</v>
      </c>
      <c r="G116" s="141" t="s">
        <v>937</v>
      </c>
      <c r="H116" s="142" t="s">
        <v>1292</v>
      </c>
      <c r="I116" s="187"/>
      <c r="J116" s="142" t="s">
        <v>3110</v>
      </c>
      <c r="K116" s="213" t="s">
        <v>3100</v>
      </c>
      <c r="O116" s="184"/>
      <c r="P116" s="184"/>
      <c r="Q116" s="184"/>
      <c r="R116" s="184"/>
      <c r="S116" s="184"/>
      <c r="T116" s="184"/>
      <c r="U116" s="184"/>
    </row>
    <row r="117" spans="1:21" ht="25">
      <c r="A117" s="119" t="s">
        <v>913</v>
      </c>
      <c r="B117" s="141" t="s">
        <v>939</v>
      </c>
      <c r="C117" s="142" t="s">
        <v>1292</v>
      </c>
      <c r="D117" s="193" t="s">
        <v>686</v>
      </c>
      <c r="E117" s="148"/>
      <c r="F117" s="187" t="s">
        <v>3098</v>
      </c>
      <c r="G117" s="141" t="s">
        <v>939</v>
      </c>
      <c r="H117" s="142" t="s">
        <v>1292</v>
      </c>
      <c r="I117" s="187"/>
      <c r="J117" s="142" t="s">
        <v>3110</v>
      </c>
      <c r="K117" s="213" t="s">
        <v>3100</v>
      </c>
      <c r="O117" s="184"/>
      <c r="P117" s="184"/>
      <c r="Q117" s="184"/>
      <c r="R117" s="184"/>
      <c r="S117" s="184"/>
      <c r="T117" s="184"/>
      <c r="U117" s="184"/>
    </row>
    <row r="118" spans="1:21" ht="25">
      <c r="A118" s="119" t="s">
        <v>913</v>
      </c>
      <c r="B118" s="141" t="s">
        <v>941</v>
      </c>
      <c r="C118" s="142" t="s">
        <v>1292</v>
      </c>
      <c r="D118" s="193" t="s">
        <v>686</v>
      </c>
      <c r="E118" s="148"/>
      <c r="F118" s="187" t="s">
        <v>3098</v>
      </c>
      <c r="G118" s="141" t="s">
        <v>941</v>
      </c>
      <c r="H118" s="142" t="s">
        <v>1292</v>
      </c>
      <c r="I118" s="187"/>
      <c r="J118" s="142" t="s">
        <v>3110</v>
      </c>
      <c r="K118" s="213" t="s">
        <v>3100</v>
      </c>
      <c r="O118" s="184"/>
      <c r="P118" s="184"/>
      <c r="Q118" s="184"/>
      <c r="R118" s="184"/>
      <c r="S118" s="184"/>
      <c r="T118" s="184"/>
      <c r="U118" s="184"/>
    </row>
    <row r="119" spans="1:21" ht="25">
      <c r="A119" s="119" t="s">
        <v>913</v>
      </c>
      <c r="B119" s="141" t="s">
        <v>943</v>
      </c>
      <c r="C119" s="142" t="s">
        <v>1292</v>
      </c>
      <c r="D119" s="193" t="s">
        <v>686</v>
      </c>
      <c r="E119" s="148"/>
      <c r="F119" s="187" t="s">
        <v>3098</v>
      </c>
      <c r="G119" s="141" t="s">
        <v>943</v>
      </c>
      <c r="H119" s="142" t="s">
        <v>1292</v>
      </c>
      <c r="I119" s="187"/>
      <c r="J119" s="142" t="s">
        <v>3110</v>
      </c>
      <c r="K119" s="213" t="s">
        <v>3100</v>
      </c>
      <c r="O119" s="184"/>
      <c r="P119" s="184"/>
      <c r="Q119" s="184"/>
      <c r="R119" s="184"/>
      <c r="S119" s="184"/>
      <c r="T119" s="184"/>
      <c r="U119" s="184"/>
    </row>
    <row r="120" spans="1:21" ht="25">
      <c r="A120" s="119" t="s">
        <v>913</v>
      </c>
      <c r="B120" s="141" t="s">
        <v>1094</v>
      </c>
      <c r="C120" s="142" t="s">
        <v>1292</v>
      </c>
      <c r="D120" s="193" t="s">
        <v>686</v>
      </c>
      <c r="E120" s="148"/>
      <c r="F120" s="187" t="s">
        <v>3098</v>
      </c>
      <c r="G120" s="141" t="s">
        <v>1094</v>
      </c>
      <c r="H120" s="142" t="s">
        <v>1292</v>
      </c>
      <c r="I120" s="187"/>
      <c r="J120" s="142" t="s">
        <v>3110</v>
      </c>
      <c r="K120" s="213" t="s">
        <v>3100</v>
      </c>
      <c r="O120" s="184"/>
      <c r="P120" s="184"/>
      <c r="Q120" s="184"/>
      <c r="R120" s="184"/>
      <c r="S120" s="184"/>
      <c r="T120" s="184"/>
      <c r="U120" s="184"/>
    </row>
    <row r="121" spans="1:21" ht="25">
      <c r="A121" s="119" t="s">
        <v>913</v>
      </c>
      <c r="B121" s="141" t="s">
        <v>1096</v>
      </c>
      <c r="C121" s="142" t="s">
        <v>1292</v>
      </c>
      <c r="D121" s="193" t="s">
        <v>686</v>
      </c>
      <c r="E121" s="148"/>
      <c r="F121" s="187" t="s">
        <v>3098</v>
      </c>
      <c r="G121" s="141" t="s">
        <v>1096</v>
      </c>
      <c r="H121" s="142" t="s">
        <v>1292</v>
      </c>
      <c r="I121" s="187"/>
      <c r="J121" s="142" t="s">
        <v>3110</v>
      </c>
      <c r="K121" s="213" t="s">
        <v>3100</v>
      </c>
      <c r="O121" s="184"/>
      <c r="P121" s="184"/>
      <c r="Q121" s="184"/>
      <c r="R121" s="184"/>
      <c r="S121" s="184"/>
      <c r="T121" s="184"/>
      <c r="U121" s="184"/>
    </row>
    <row r="122" spans="1:21" ht="25">
      <c r="A122" s="119" t="s">
        <v>913</v>
      </c>
      <c r="B122" s="141" t="s">
        <v>945</v>
      </c>
      <c r="C122" s="142" t="s">
        <v>1292</v>
      </c>
      <c r="D122" s="193" t="s">
        <v>686</v>
      </c>
      <c r="E122" s="148"/>
      <c r="F122" s="187" t="s">
        <v>3098</v>
      </c>
      <c r="G122" s="141" t="s">
        <v>945</v>
      </c>
      <c r="H122" s="142" t="s">
        <v>1292</v>
      </c>
      <c r="I122" s="187"/>
      <c r="J122" s="142" t="s">
        <v>3110</v>
      </c>
      <c r="K122" s="213" t="s">
        <v>3100</v>
      </c>
      <c r="O122" s="184"/>
      <c r="P122" s="184"/>
      <c r="Q122" s="184"/>
      <c r="R122" s="184"/>
      <c r="S122" s="184"/>
      <c r="T122" s="184"/>
      <c r="U122" s="184"/>
    </row>
    <row r="123" spans="1:21" ht="25">
      <c r="A123" s="119" t="s">
        <v>913</v>
      </c>
      <c r="B123" s="141" t="s">
        <v>947</v>
      </c>
      <c r="C123" s="142" t="s">
        <v>1292</v>
      </c>
      <c r="D123" s="193" t="s">
        <v>686</v>
      </c>
      <c r="E123" s="148"/>
      <c r="F123" s="187" t="s">
        <v>3098</v>
      </c>
      <c r="G123" s="141" t="s">
        <v>947</v>
      </c>
      <c r="H123" s="142" t="s">
        <v>1292</v>
      </c>
      <c r="I123" s="187"/>
      <c r="J123" s="142" t="s">
        <v>3110</v>
      </c>
      <c r="K123" s="213" t="s">
        <v>3100</v>
      </c>
      <c r="O123" s="184"/>
      <c r="P123" s="184"/>
      <c r="Q123" s="184"/>
      <c r="R123" s="184"/>
      <c r="S123" s="184"/>
      <c r="T123" s="184"/>
      <c r="U123" s="184"/>
    </row>
    <row r="124" spans="1:21" ht="25">
      <c r="A124" s="119" t="s">
        <v>913</v>
      </c>
      <c r="B124" s="141" t="s">
        <v>949</v>
      </c>
      <c r="C124" s="142" t="s">
        <v>1292</v>
      </c>
      <c r="D124" s="193" t="s">
        <v>686</v>
      </c>
      <c r="E124" s="148"/>
      <c r="F124" s="187" t="s">
        <v>3098</v>
      </c>
      <c r="G124" s="141" t="s">
        <v>949</v>
      </c>
      <c r="H124" s="142" t="s">
        <v>1292</v>
      </c>
      <c r="I124" s="187"/>
      <c r="J124" s="142" t="s">
        <v>3110</v>
      </c>
      <c r="K124" s="213" t="s">
        <v>3100</v>
      </c>
      <c r="O124" s="184"/>
      <c r="P124" s="184"/>
      <c r="Q124" s="184"/>
      <c r="R124" s="184"/>
      <c r="S124" s="184"/>
      <c r="T124" s="184"/>
      <c r="U124" s="184"/>
    </row>
    <row r="125" spans="1:21" ht="25">
      <c r="A125" s="119" t="s">
        <v>913</v>
      </c>
      <c r="B125" s="141" t="s">
        <v>951</v>
      </c>
      <c r="C125" s="142" t="s">
        <v>1292</v>
      </c>
      <c r="D125" s="193" t="s">
        <v>686</v>
      </c>
      <c r="E125" s="148"/>
      <c r="F125" s="187" t="s">
        <v>3098</v>
      </c>
      <c r="G125" s="141" t="s">
        <v>951</v>
      </c>
      <c r="H125" s="142" t="s">
        <v>1292</v>
      </c>
      <c r="I125" s="187"/>
      <c r="J125" s="142" t="s">
        <v>3110</v>
      </c>
      <c r="K125" s="213" t="s">
        <v>3100</v>
      </c>
      <c r="O125" s="184"/>
      <c r="P125" s="184"/>
      <c r="Q125" s="184"/>
      <c r="R125" s="184"/>
      <c r="S125" s="184"/>
      <c r="T125" s="184"/>
      <c r="U125" s="184"/>
    </row>
    <row r="126" spans="1:21" ht="25">
      <c r="A126" s="119" t="s">
        <v>913</v>
      </c>
      <c r="B126" s="141" t="s">
        <v>953</v>
      </c>
      <c r="C126" s="142" t="s">
        <v>1292</v>
      </c>
      <c r="D126" s="193" t="s">
        <v>686</v>
      </c>
      <c r="E126" s="148"/>
      <c r="F126" s="187" t="s">
        <v>3098</v>
      </c>
      <c r="G126" s="141" t="s">
        <v>953</v>
      </c>
      <c r="H126" s="142" t="s">
        <v>1292</v>
      </c>
      <c r="I126" s="187"/>
      <c r="J126" s="142" t="s">
        <v>3110</v>
      </c>
      <c r="K126" s="213" t="s">
        <v>3100</v>
      </c>
      <c r="O126" s="184"/>
      <c r="P126" s="184"/>
      <c r="Q126" s="184"/>
      <c r="R126" s="184"/>
      <c r="S126" s="184"/>
      <c r="T126" s="184"/>
      <c r="U126" s="184"/>
    </row>
    <row r="127" spans="1:21" ht="25">
      <c r="A127" s="119" t="s">
        <v>913</v>
      </c>
      <c r="B127" s="141" t="s">
        <v>955</v>
      </c>
      <c r="C127" s="142" t="s">
        <v>1292</v>
      </c>
      <c r="D127" s="193" t="s">
        <v>686</v>
      </c>
      <c r="E127" s="148"/>
      <c r="F127" s="187" t="s">
        <v>3098</v>
      </c>
      <c r="G127" s="141" t="s">
        <v>955</v>
      </c>
      <c r="H127" s="142" t="s">
        <v>1292</v>
      </c>
      <c r="I127" s="187"/>
      <c r="J127" s="142" t="s">
        <v>3110</v>
      </c>
      <c r="K127" s="213" t="s">
        <v>3100</v>
      </c>
      <c r="O127" s="184"/>
      <c r="P127" s="184"/>
      <c r="Q127" s="184"/>
      <c r="R127" s="184"/>
      <c r="S127" s="184"/>
      <c r="T127" s="184"/>
      <c r="U127" s="184"/>
    </row>
    <row r="128" spans="1:21" ht="25">
      <c r="A128" s="119" t="s">
        <v>913</v>
      </c>
      <c r="B128" s="141" t="s">
        <v>957</v>
      </c>
      <c r="C128" s="142" t="s">
        <v>1292</v>
      </c>
      <c r="D128" s="193" t="s">
        <v>686</v>
      </c>
      <c r="E128" s="148"/>
      <c r="F128" s="187" t="s">
        <v>3098</v>
      </c>
      <c r="G128" s="141" t="s">
        <v>957</v>
      </c>
      <c r="H128" s="142" t="s">
        <v>1292</v>
      </c>
      <c r="I128" s="187"/>
      <c r="J128" s="142" t="s">
        <v>3110</v>
      </c>
      <c r="K128" s="213" t="s">
        <v>3100</v>
      </c>
      <c r="O128" s="184"/>
      <c r="P128" s="184"/>
      <c r="Q128" s="184"/>
      <c r="R128" s="184"/>
      <c r="S128" s="184"/>
      <c r="T128" s="184"/>
      <c r="U128" s="184"/>
    </row>
    <row r="129" spans="1:21" ht="25">
      <c r="A129" s="119" t="s">
        <v>913</v>
      </c>
      <c r="B129" s="141" t="s">
        <v>959</v>
      </c>
      <c r="C129" s="142" t="s">
        <v>1292</v>
      </c>
      <c r="D129" s="193" t="s">
        <v>686</v>
      </c>
      <c r="E129" s="148"/>
      <c r="F129" s="187" t="s">
        <v>3098</v>
      </c>
      <c r="G129" s="141" t="s">
        <v>959</v>
      </c>
      <c r="H129" s="142" t="s">
        <v>1292</v>
      </c>
      <c r="I129" s="187"/>
      <c r="J129" s="142" t="s">
        <v>3110</v>
      </c>
      <c r="K129" s="213" t="s">
        <v>3100</v>
      </c>
      <c r="O129" s="184"/>
      <c r="P129" s="184"/>
      <c r="Q129" s="184"/>
      <c r="R129" s="184"/>
      <c r="S129" s="184"/>
      <c r="T129" s="184"/>
      <c r="U129" s="184"/>
    </row>
    <row r="130" spans="1:21" ht="25">
      <c r="A130" s="119" t="s">
        <v>913</v>
      </c>
      <c r="B130" s="141" t="s">
        <v>961</v>
      </c>
      <c r="C130" s="142" t="s">
        <v>1292</v>
      </c>
      <c r="D130" s="193" t="s">
        <v>686</v>
      </c>
      <c r="E130" s="148"/>
      <c r="F130" s="187" t="s">
        <v>3098</v>
      </c>
      <c r="G130" s="141" t="s">
        <v>961</v>
      </c>
      <c r="H130" s="142" t="s">
        <v>1292</v>
      </c>
      <c r="I130" s="187"/>
      <c r="J130" s="142" t="s">
        <v>3110</v>
      </c>
      <c r="K130" s="213" t="s">
        <v>3100</v>
      </c>
      <c r="O130" s="184"/>
      <c r="P130" s="184"/>
      <c r="Q130" s="184"/>
      <c r="R130" s="184"/>
      <c r="S130" s="184"/>
      <c r="T130" s="184"/>
      <c r="U130" s="184"/>
    </row>
    <row r="131" spans="1:21" ht="25">
      <c r="A131" s="119" t="s">
        <v>913</v>
      </c>
      <c r="B131" s="141" t="s">
        <v>963</v>
      </c>
      <c r="C131" s="142" t="s">
        <v>1292</v>
      </c>
      <c r="D131" s="193" t="s">
        <v>686</v>
      </c>
      <c r="E131" s="148"/>
      <c r="F131" s="187" t="s">
        <v>3098</v>
      </c>
      <c r="G131" s="141" t="s">
        <v>963</v>
      </c>
      <c r="H131" s="142" t="s">
        <v>1292</v>
      </c>
      <c r="I131" s="187"/>
      <c r="J131" s="142" t="s">
        <v>3110</v>
      </c>
      <c r="K131" s="213" t="s">
        <v>3100</v>
      </c>
      <c r="O131" s="184"/>
      <c r="P131" s="184"/>
      <c r="Q131" s="184"/>
      <c r="R131" s="184"/>
      <c r="S131" s="184"/>
      <c r="T131" s="184"/>
      <c r="U131" s="184"/>
    </row>
    <row r="132" spans="1:21" ht="25">
      <c r="A132" s="119" t="s">
        <v>913</v>
      </c>
      <c r="B132" s="141" t="s">
        <v>965</v>
      </c>
      <c r="C132" s="142" t="s">
        <v>1292</v>
      </c>
      <c r="D132" s="193" t="s">
        <v>686</v>
      </c>
      <c r="E132" s="148"/>
      <c r="F132" s="187" t="s">
        <v>3098</v>
      </c>
      <c r="G132" s="141" t="s">
        <v>965</v>
      </c>
      <c r="H132" s="142" t="s">
        <v>1292</v>
      </c>
      <c r="I132" s="187"/>
      <c r="J132" s="142" t="s">
        <v>3110</v>
      </c>
      <c r="K132" s="213" t="s">
        <v>3100</v>
      </c>
      <c r="O132" s="184"/>
      <c r="P132" s="184"/>
      <c r="Q132" s="184"/>
      <c r="R132" s="184"/>
      <c r="S132" s="184"/>
      <c r="T132" s="184"/>
      <c r="U132" s="184"/>
    </row>
    <row r="133" spans="1:21" ht="25">
      <c r="A133" s="119" t="s">
        <v>913</v>
      </c>
      <c r="B133" s="141" t="s">
        <v>967</v>
      </c>
      <c r="C133" s="142" t="s">
        <v>1292</v>
      </c>
      <c r="D133" s="193" t="s">
        <v>686</v>
      </c>
      <c r="E133" s="148"/>
      <c r="F133" s="187" t="s">
        <v>3098</v>
      </c>
      <c r="G133" s="141" t="s">
        <v>967</v>
      </c>
      <c r="H133" s="142" t="s">
        <v>1292</v>
      </c>
      <c r="I133" s="187"/>
      <c r="J133" s="142" t="s">
        <v>3110</v>
      </c>
      <c r="K133" s="213" t="s">
        <v>3100</v>
      </c>
      <c r="O133" s="184"/>
      <c r="P133" s="184"/>
      <c r="Q133" s="184"/>
      <c r="R133" s="184"/>
      <c r="S133" s="184"/>
      <c r="T133" s="184"/>
      <c r="U133" s="184"/>
    </row>
    <row r="134" spans="1:21" ht="25">
      <c r="A134" s="119" t="s">
        <v>913</v>
      </c>
      <c r="B134" s="141" t="s">
        <v>969</v>
      </c>
      <c r="C134" s="142" t="s">
        <v>1292</v>
      </c>
      <c r="D134" s="193" t="s">
        <v>686</v>
      </c>
      <c r="E134" s="148"/>
      <c r="F134" s="187" t="s">
        <v>3098</v>
      </c>
      <c r="G134" s="141" t="s">
        <v>969</v>
      </c>
      <c r="H134" s="142" t="s">
        <v>1292</v>
      </c>
      <c r="I134" s="187"/>
      <c r="J134" s="142" t="s">
        <v>3110</v>
      </c>
      <c r="K134" s="213" t="s">
        <v>3100</v>
      </c>
      <c r="O134" s="184"/>
      <c r="P134" s="184"/>
      <c r="Q134" s="184"/>
      <c r="R134" s="184"/>
      <c r="S134" s="184"/>
      <c r="T134" s="184"/>
      <c r="U134" s="184"/>
    </row>
    <row r="135" spans="1:21" ht="25">
      <c r="A135" s="119" t="s">
        <v>913</v>
      </c>
      <c r="B135" s="141" t="s">
        <v>971</v>
      </c>
      <c r="C135" s="142" t="s">
        <v>1292</v>
      </c>
      <c r="D135" s="193" t="s">
        <v>686</v>
      </c>
      <c r="E135" s="148"/>
      <c r="F135" s="187" t="s">
        <v>3098</v>
      </c>
      <c r="G135" s="141" t="s">
        <v>971</v>
      </c>
      <c r="H135" s="142" t="s">
        <v>1292</v>
      </c>
      <c r="I135" s="187"/>
      <c r="J135" s="142" t="s">
        <v>3110</v>
      </c>
      <c r="K135" s="213" t="s">
        <v>3100</v>
      </c>
      <c r="O135" s="184"/>
      <c r="P135" s="184"/>
      <c r="Q135" s="184"/>
      <c r="R135" s="184"/>
      <c r="S135" s="184"/>
      <c r="T135" s="184"/>
      <c r="U135" s="184"/>
    </row>
    <row r="136" spans="1:21" ht="25">
      <c r="A136" s="119" t="s">
        <v>913</v>
      </c>
      <c r="B136" s="141" t="s">
        <v>973</v>
      </c>
      <c r="C136" s="142" t="s">
        <v>1292</v>
      </c>
      <c r="D136" s="193" t="s">
        <v>686</v>
      </c>
      <c r="E136" s="148"/>
      <c r="F136" s="187" t="s">
        <v>3098</v>
      </c>
      <c r="G136" s="141" t="s">
        <v>973</v>
      </c>
      <c r="H136" s="142" t="s">
        <v>1292</v>
      </c>
      <c r="I136" s="187"/>
      <c r="J136" s="142" t="s">
        <v>3110</v>
      </c>
      <c r="K136" s="213" t="s">
        <v>3100</v>
      </c>
      <c r="O136" s="184"/>
      <c r="P136" s="184"/>
      <c r="Q136" s="184"/>
      <c r="R136" s="184"/>
      <c r="S136" s="184"/>
      <c r="T136" s="184"/>
      <c r="U136" s="184"/>
    </row>
    <row r="137" spans="1:21" ht="25">
      <c r="A137" s="119" t="s">
        <v>913</v>
      </c>
      <c r="B137" s="141" t="s">
        <v>975</v>
      </c>
      <c r="C137" s="142" t="s">
        <v>1292</v>
      </c>
      <c r="D137" s="193" t="s">
        <v>686</v>
      </c>
      <c r="E137" s="148"/>
      <c r="F137" s="187" t="s">
        <v>3098</v>
      </c>
      <c r="G137" s="141" t="s">
        <v>975</v>
      </c>
      <c r="H137" s="142" t="s">
        <v>1292</v>
      </c>
      <c r="I137" s="187"/>
      <c r="J137" s="142" t="s">
        <v>3110</v>
      </c>
      <c r="K137" s="213" t="s">
        <v>3100</v>
      </c>
      <c r="O137" s="184"/>
      <c r="P137" s="184"/>
      <c r="Q137" s="184"/>
      <c r="R137" s="184"/>
      <c r="S137" s="184"/>
      <c r="T137" s="184"/>
      <c r="U137" s="184"/>
    </row>
    <row r="138" spans="1:21" ht="25">
      <c r="A138" s="119" t="s">
        <v>913</v>
      </c>
      <c r="B138" s="141" t="s">
        <v>977</v>
      </c>
      <c r="C138" s="142" t="s">
        <v>1292</v>
      </c>
      <c r="D138" s="193" t="s">
        <v>686</v>
      </c>
      <c r="E138" s="148"/>
      <c r="F138" s="187" t="s">
        <v>3098</v>
      </c>
      <c r="G138" s="141" t="s">
        <v>977</v>
      </c>
      <c r="H138" s="142" t="s">
        <v>1292</v>
      </c>
      <c r="I138" s="187"/>
      <c r="J138" s="142" t="s">
        <v>3110</v>
      </c>
      <c r="K138" s="213" t="s">
        <v>3100</v>
      </c>
      <c r="O138" s="184"/>
      <c r="P138" s="184"/>
      <c r="Q138" s="184"/>
      <c r="R138" s="184"/>
      <c r="S138" s="184"/>
      <c r="T138" s="184"/>
      <c r="U138" s="184"/>
    </row>
    <row r="139" spans="1:21" ht="25">
      <c r="A139" s="119" t="s">
        <v>913</v>
      </c>
      <c r="B139" s="141" t="s">
        <v>979</v>
      </c>
      <c r="C139" s="142" t="s">
        <v>1292</v>
      </c>
      <c r="D139" s="193" t="s">
        <v>686</v>
      </c>
      <c r="E139" s="148"/>
      <c r="F139" s="187" t="s">
        <v>3098</v>
      </c>
      <c r="G139" s="141" t="s">
        <v>979</v>
      </c>
      <c r="H139" s="142" t="s">
        <v>1292</v>
      </c>
      <c r="I139" s="187"/>
      <c r="J139" s="142" t="s">
        <v>3110</v>
      </c>
      <c r="K139" s="213" t="s">
        <v>3100</v>
      </c>
      <c r="O139" s="184"/>
      <c r="P139" s="184"/>
      <c r="Q139" s="184"/>
      <c r="R139" s="184"/>
      <c r="S139" s="184"/>
      <c r="T139" s="184"/>
      <c r="U139" s="184"/>
    </row>
    <row r="140" spans="1:21" ht="25">
      <c r="A140" s="119" t="s">
        <v>913</v>
      </c>
      <c r="B140" s="141" t="s">
        <v>981</v>
      </c>
      <c r="C140" s="142" t="s">
        <v>1292</v>
      </c>
      <c r="D140" s="193" t="s">
        <v>686</v>
      </c>
      <c r="E140" s="148"/>
      <c r="F140" s="187" t="s">
        <v>3098</v>
      </c>
      <c r="G140" s="141" t="s">
        <v>981</v>
      </c>
      <c r="H140" s="142" t="s">
        <v>1292</v>
      </c>
      <c r="I140" s="187"/>
      <c r="J140" s="142" t="s">
        <v>3110</v>
      </c>
      <c r="K140" s="213" t="s">
        <v>3100</v>
      </c>
      <c r="O140" s="184"/>
      <c r="P140" s="184"/>
      <c r="Q140" s="184"/>
      <c r="R140" s="184"/>
      <c r="S140" s="184"/>
      <c r="T140" s="184"/>
      <c r="U140" s="184"/>
    </row>
    <row r="141" spans="1:21" ht="25">
      <c r="A141" s="119" t="s">
        <v>913</v>
      </c>
      <c r="B141" s="141" t="s">
        <v>983</v>
      </c>
      <c r="C141" s="142" t="s">
        <v>1292</v>
      </c>
      <c r="D141" s="193" t="s">
        <v>686</v>
      </c>
      <c r="E141" s="148"/>
      <c r="F141" s="187" t="s">
        <v>3098</v>
      </c>
      <c r="G141" s="141" t="s">
        <v>983</v>
      </c>
      <c r="H141" s="142" t="s">
        <v>1292</v>
      </c>
      <c r="I141" s="187"/>
      <c r="J141" s="142" t="s">
        <v>3110</v>
      </c>
      <c r="K141" s="213" t="s">
        <v>3100</v>
      </c>
      <c r="O141" s="184"/>
      <c r="P141" s="184"/>
      <c r="Q141" s="184"/>
      <c r="R141" s="184"/>
      <c r="S141" s="184"/>
      <c r="T141" s="184"/>
      <c r="U141" s="184"/>
    </row>
    <row r="142" spans="1:21" ht="25">
      <c r="A142" s="119" t="s">
        <v>913</v>
      </c>
      <c r="B142" s="141" t="s">
        <v>985</v>
      </c>
      <c r="C142" s="142" t="s">
        <v>1292</v>
      </c>
      <c r="D142" s="193" t="s">
        <v>686</v>
      </c>
      <c r="E142" s="148"/>
      <c r="F142" s="187" t="s">
        <v>3098</v>
      </c>
      <c r="G142" s="141" t="s">
        <v>985</v>
      </c>
      <c r="H142" s="142" t="s">
        <v>1292</v>
      </c>
      <c r="I142" s="187"/>
      <c r="J142" s="142" t="s">
        <v>3110</v>
      </c>
      <c r="K142" s="213" t="s">
        <v>3100</v>
      </c>
      <c r="O142" s="184"/>
      <c r="P142" s="184"/>
      <c r="Q142" s="184"/>
      <c r="R142" s="184"/>
      <c r="S142" s="184"/>
      <c r="T142" s="184"/>
      <c r="U142" s="184"/>
    </row>
    <row r="143" spans="1:21" ht="25">
      <c r="A143" s="119" t="s">
        <v>913</v>
      </c>
      <c r="B143" s="141" t="s">
        <v>987</v>
      </c>
      <c r="C143" s="142" t="s">
        <v>1292</v>
      </c>
      <c r="D143" s="193" t="s">
        <v>686</v>
      </c>
      <c r="E143" s="148"/>
      <c r="F143" s="187" t="s">
        <v>3098</v>
      </c>
      <c r="G143" s="141" t="s">
        <v>987</v>
      </c>
      <c r="H143" s="142" t="s">
        <v>1292</v>
      </c>
      <c r="I143" s="187"/>
      <c r="J143" s="142" t="s">
        <v>3110</v>
      </c>
      <c r="K143" s="213" t="s">
        <v>3100</v>
      </c>
      <c r="O143" s="184"/>
      <c r="P143" s="184"/>
      <c r="Q143" s="184"/>
      <c r="R143" s="184"/>
      <c r="S143" s="184"/>
      <c r="T143" s="184"/>
      <c r="U143" s="184"/>
    </row>
    <row r="144" spans="1:21" ht="25">
      <c r="A144" s="119" t="s">
        <v>913</v>
      </c>
      <c r="B144" s="141" t="s">
        <v>989</v>
      </c>
      <c r="C144" s="142" t="s">
        <v>1292</v>
      </c>
      <c r="D144" s="193" t="s">
        <v>686</v>
      </c>
      <c r="E144" s="148"/>
      <c r="F144" s="187" t="s">
        <v>3098</v>
      </c>
      <c r="G144" s="141" t="s">
        <v>989</v>
      </c>
      <c r="H144" s="142" t="s">
        <v>1292</v>
      </c>
      <c r="I144" s="187"/>
      <c r="J144" s="142" t="s">
        <v>3110</v>
      </c>
      <c r="K144" s="213" t="s">
        <v>3100</v>
      </c>
      <c r="O144" s="184"/>
      <c r="P144" s="184"/>
      <c r="Q144" s="184"/>
      <c r="R144" s="184"/>
      <c r="S144" s="184"/>
      <c r="T144" s="184"/>
      <c r="U144" s="184"/>
    </row>
    <row r="145" spans="1:21" ht="25">
      <c r="A145" s="119" t="s">
        <v>913</v>
      </c>
      <c r="B145" s="141" t="s">
        <v>991</v>
      </c>
      <c r="C145" s="142" t="s">
        <v>1292</v>
      </c>
      <c r="D145" s="193" t="s">
        <v>686</v>
      </c>
      <c r="E145" s="148"/>
      <c r="F145" s="187" t="s">
        <v>3098</v>
      </c>
      <c r="G145" s="141" t="s">
        <v>991</v>
      </c>
      <c r="H145" s="142" t="s">
        <v>1292</v>
      </c>
      <c r="I145" s="187"/>
      <c r="J145" s="142" t="s">
        <v>3110</v>
      </c>
      <c r="K145" s="213" t="s">
        <v>3100</v>
      </c>
      <c r="O145" s="184"/>
      <c r="P145" s="184"/>
      <c r="Q145" s="184"/>
      <c r="R145" s="184"/>
      <c r="S145" s="184"/>
      <c r="T145" s="184"/>
      <c r="U145" s="184"/>
    </row>
    <row r="146" spans="1:21" ht="25">
      <c r="A146" s="119" t="s">
        <v>913</v>
      </c>
      <c r="B146" s="141" t="s">
        <v>993</v>
      </c>
      <c r="C146" s="142" t="s">
        <v>1292</v>
      </c>
      <c r="D146" s="193" t="s">
        <v>686</v>
      </c>
      <c r="E146" s="148"/>
      <c r="F146" s="187" t="s">
        <v>3098</v>
      </c>
      <c r="G146" s="141" t="s">
        <v>993</v>
      </c>
      <c r="H146" s="142" t="s">
        <v>1292</v>
      </c>
      <c r="I146" s="187"/>
      <c r="J146" s="142" t="s">
        <v>3110</v>
      </c>
      <c r="K146" s="213" t="s">
        <v>3100</v>
      </c>
      <c r="O146" s="184"/>
      <c r="P146" s="184"/>
      <c r="Q146" s="184"/>
      <c r="R146" s="184"/>
      <c r="S146" s="184"/>
      <c r="T146" s="184"/>
      <c r="U146" s="184"/>
    </row>
    <row r="147" spans="1:21" ht="25">
      <c r="A147" s="119" t="s">
        <v>913</v>
      </c>
      <c r="B147" s="141" t="s">
        <v>995</v>
      </c>
      <c r="C147" s="142" t="s">
        <v>1292</v>
      </c>
      <c r="D147" s="193" t="s">
        <v>686</v>
      </c>
      <c r="E147" s="148"/>
      <c r="F147" s="187" t="s">
        <v>3098</v>
      </c>
      <c r="G147" s="141" t="s">
        <v>995</v>
      </c>
      <c r="H147" s="142" t="s">
        <v>1292</v>
      </c>
      <c r="I147" s="187"/>
      <c r="J147" s="142" t="s">
        <v>3110</v>
      </c>
      <c r="K147" s="213" t="s">
        <v>3100</v>
      </c>
      <c r="O147" s="184"/>
      <c r="P147" s="184"/>
      <c r="Q147" s="184"/>
      <c r="R147" s="184"/>
      <c r="S147" s="184"/>
      <c r="T147" s="184"/>
      <c r="U147" s="184"/>
    </row>
    <row r="148" spans="1:21" ht="25">
      <c r="A148" s="119" t="s">
        <v>913</v>
      </c>
      <c r="B148" s="141" t="s">
        <v>997</v>
      </c>
      <c r="C148" s="142" t="s">
        <v>1292</v>
      </c>
      <c r="D148" s="193" t="s">
        <v>686</v>
      </c>
      <c r="E148" s="148"/>
      <c r="F148" s="187" t="s">
        <v>3098</v>
      </c>
      <c r="G148" s="141" t="s">
        <v>997</v>
      </c>
      <c r="H148" s="142" t="s">
        <v>1292</v>
      </c>
      <c r="I148" s="187"/>
      <c r="J148" s="142" t="s">
        <v>3110</v>
      </c>
      <c r="K148" s="213" t="s">
        <v>3100</v>
      </c>
      <c r="O148" s="184"/>
      <c r="P148" s="184"/>
      <c r="Q148" s="184"/>
      <c r="R148" s="184"/>
      <c r="S148" s="184"/>
      <c r="T148" s="184"/>
      <c r="U148" s="184"/>
    </row>
    <row r="149" spans="1:21" ht="25">
      <c r="A149" s="119" t="s">
        <v>913</v>
      </c>
      <c r="B149" s="141" t="s">
        <v>999</v>
      </c>
      <c r="C149" s="142" t="s">
        <v>1292</v>
      </c>
      <c r="D149" s="193" t="s">
        <v>686</v>
      </c>
      <c r="E149" s="148"/>
      <c r="F149" s="187" t="s">
        <v>3098</v>
      </c>
      <c r="G149" s="141" t="s">
        <v>999</v>
      </c>
      <c r="H149" s="142" t="s">
        <v>1292</v>
      </c>
      <c r="I149" s="187"/>
      <c r="J149" s="142" t="s">
        <v>3110</v>
      </c>
      <c r="K149" s="213" t="s">
        <v>3100</v>
      </c>
      <c r="O149" s="184"/>
      <c r="P149" s="184"/>
      <c r="Q149" s="184"/>
      <c r="R149" s="184"/>
      <c r="S149" s="184"/>
      <c r="T149" s="184"/>
      <c r="U149" s="184"/>
    </row>
    <row r="150" spans="1:21" ht="25">
      <c r="A150" s="119" t="s">
        <v>913</v>
      </c>
      <c r="B150" s="141" t="s">
        <v>1001</v>
      </c>
      <c r="C150" s="142" t="s">
        <v>1292</v>
      </c>
      <c r="D150" s="193" t="s">
        <v>686</v>
      </c>
      <c r="E150" s="148"/>
      <c r="F150" s="187" t="s">
        <v>3098</v>
      </c>
      <c r="G150" s="141" t="s">
        <v>1001</v>
      </c>
      <c r="H150" s="142" t="s">
        <v>1292</v>
      </c>
      <c r="I150" s="187"/>
      <c r="J150" s="142" t="s">
        <v>3110</v>
      </c>
      <c r="K150" s="213" t="s">
        <v>3100</v>
      </c>
      <c r="O150" s="184"/>
      <c r="P150" s="184"/>
      <c r="Q150" s="184"/>
      <c r="R150" s="184"/>
      <c r="S150" s="184"/>
      <c r="T150" s="184"/>
      <c r="U150" s="184"/>
    </row>
    <row r="151" spans="1:21" ht="25">
      <c r="A151" s="119" t="s">
        <v>913</v>
      </c>
      <c r="B151" s="141" t="s">
        <v>1003</v>
      </c>
      <c r="C151" s="142" t="s">
        <v>1292</v>
      </c>
      <c r="D151" s="193" t="s">
        <v>686</v>
      </c>
      <c r="E151" s="148"/>
      <c r="F151" s="187" t="s">
        <v>3098</v>
      </c>
      <c r="G151" s="141" t="s">
        <v>1003</v>
      </c>
      <c r="H151" s="142" t="s">
        <v>1292</v>
      </c>
      <c r="I151" s="187"/>
      <c r="J151" s="142" t="s">
        <v>3110</v>
      </c>
      <c r="K151" s="213" t="s">
        <v>3100</v>
      </c>
      <c r="O151" s="184"/>
      <c r="P151" s="184"/>
      <c r="Q151" s="184"/>
      <c r="R151" s="184"/>
      <c r="S151" s="184"/>
      <c r="T151" s="184"/>
      <c r="U151" s="184"/>
    </row>
    <row r="152" spans="1:21" ht="25">
      <c r="A152" s="119" t="s">
        <v>913</v>
      </c>
      <c r="B152" s="141" t="s">
        <v>1005</v>
      </c>
      <c r="C152" s="142" t="s">
        <v>1292</v>
      </c>
      <c r="D152" s="193" t="s">
        <v>686</v>
      </c>
      <c r="E152" s="148"/>
      <c r="F152" s="187" t="s">
        <v>3098</v>
      </c>
      <c r="G152" s="141" t="s">
        <v>1005</v>
      </c>
      <c r="H152" s="142" t="s">
        <v>1292</v>
      </c>
      <c r="I152" s="187"/>
      <c r="J152" s="142" t="s">
        <v>3110</v>
      </c>
      <c r="K152" s="213" t="s">
        <v>3100</v>
      </c>
      <c r="O152" s="184"/>
      <c r="P152" s="184"/>
      <c r="Q152" s="184"/>
      <c r="R152" s="184"/>
      <c r="S152" s="184"/>
      <c r="T152" s="184"/>
      <c r="U152" s="184"/>
    </row>
    <row r="153" spans="1:21" ht="25">
      <c r="A153" s="119" t="s">
        <v>913</v>
      </c>
      <c r="B153" s="141" t="s">
        <v>1007</v>
      </c>
      <c r="C153" s="142" t="s">
        <v>1292</v>
      </c>
      <c r="D153" s="193" t="s">
        <v>686</v>
      </c>
      <c r="E153" s="148"/>
      <c r="F153" s="187" t="s">
        <v>3098</v>
      </c>
      <c r="G153" s="141" t="s">
        <v>1007</v>
      </c>
      <c r="H153" s="142" t="s">
        <v>1292</v>
      </c>
      <c r="I153" s="187"/>
      <c r="J153" s="142" t="s">
        <v>3110</v>
      </c>
      <c r="K153" s="213" t="s">
        <v>3100</v>
      </c>
      <c r="O153" s="184"/>
      <c r="P153" s="184"/>
      <c r="Q153" s="184"/>
      <c r="R153" s="184"/>
      <c r="S153" s="184"/>
      <c r="T153" s="184"/>
      <c r="U153" s="184"/>
    </row>
    <row r="154" spans="1:21" ht="25">
      <c r="A154" s="119" t="s">
        <v>913</v>
      </c>
      <c r="B154" s="141" t="s">
        <v>1009</v>
      </c>
      <c r="C154" s="142" t="s">
        <v>1292</v>
      </c>
      <c r="D154" s="193" t="s">
        <v>686</v>
      </c>
      <c r="E154" s="148"/>
      <c r="F154" s="187" t="s">
        <v>3098</v>
      </c>
      <c r="G154" s="141" t="s">
        <v>1009</v>
      </c>
      <c r="H154" s="142" t="s">
        <v>1292</v>
      </c>
      <c r="I154" s="187"/>
      <c r="J154" s="142" t="s">
        <v>3110</v>
      </c>
      <c r="K154" s="213" t="s">
        <v>3100</v>
      </c>
      <c r="O154" s="184"/>
      <c r="P154" s="184"/>
      <c r="Q154" s="184"/>
      <c r="R154" s="184"/>
      <c r="S154" s="184"/>
      <c r="T154" s="184"/>
      <c r="U154" s="184"/>
    </row>
    <row r="155" spans="1:21" ht="25">
      <c r="A155" s="119" t="s">
        <v>913</v>
      </c>
      <c r="B155" s="141" t="s">
        <v>1011</v>
      </c>
      <c r="C155" s="142" t="s">
        <v>1292</v>
      </c>
      <c r="D155" s="193" t="s">
        <v>686</v>
      </c>
      <c r="E155" s="148"/>
      <c r="F155" s="187" t="s">
        <v>3098</v>
      </c>
      <c r="G155" s="141" t="s">
        <v>1011</v>
      </c>
      <c r="H155" s="142" t="s">
        <v>1292</v>
      </c>
      <c r="I155" s="187"/>
      <c r="J155" s="142" t="s">
        <v>3110</v>
      </c>
      <c r="K155" s="213" t="s">
        <v>3100</v>
      </c>
      <c r="O155" s="184"/>
      <c r="P155" s="184"/>
      <c r="Q155" s="184"/>
      <c r="R155" s="184"/>
      <c r="S155" s="184"/>
      <c r="T155" s="184"/>
      <c r="U155" s="184"/>
    </row>
    <row r="156" spans="1:21" ht="25">
      <c r="A156" s="119" t="s">
        <v>913</v>
      </c>
      <c r="B156" s="141" t="s">
        <v>1013</v>
      </c>
      <c r="C156" s="142" t="s">
        <v>1292</v>
      </c>
      <c r="D156" s="193" t="s">
        <v>686</v>
      </c>
      <c r="E156" s="148"/>
      <c r="F156" s="187" t="s">
        <v>3098</v>
      </c>
      <c r="G156" s="141" t="s">
        <v>1013</v>
      </c>
      <c r="H156" s="142" t="s">
        <v>1292</v>
      </c>
      <c r="I156" s="187"/>
      <c r="J156" s="142" t="s">
        <v>3110</v>
      </c>
      <c r="K156" s="213" t="s">
        <v>3100</v>
      </c>
      <c r="O156" s="184"/>
      <c r="P156" s="184"/>
      <c r="Q156" s="184"/>
      <c r="R156" s="184"/>
      <c r="S156" s="184"/>
      <c r="T156" s="184"/>
      <c r="U156" s="184"/>
    </row>
    <row r="157" spans="1:21" ht="25">
      <c r="A157" s="119" t="s">
        <v>913</v>
      </c>
      <c r="B157" s="141" t="s">
        <v>1015</v>
      </c>
      <c r="C157" s="142" t="s">
        <v>1292</v>
      </c>
      <c r="D157" s="193" t="s">
        <v>686</v>
      </c>
      <c r="E157" s="148"/>
      <c r="F157" s="187" t="s">
        <v>3098</v>
      </c>
      <c r="G157" s="141" t="s">
        <v>1015</v>
      </c>
      <c r="H157" s="142" t="s">
        <v>1292</v>
      </c>
      <c r="I157" s="187"/>
      <c r="J157" s="142" t="s">
        <v>3110</v>
      </c>
      <c r="K157" s="213" t="s">
        <v>3100</v>
      </c>
      <c r="O157" s="184"/>
      <c r="P157" s="184"/>
      <c r="Q157" s="184"/>
      <c r="R157" s="184"/>
      <c r="S157" s="184"/>
      <c r="T157" s="184"/>
      <c r="U157" s="184"/>
    </row>
    <row r="158" spans="1:21" ht="25">
      <c r="A158" s="119" t="s">
        <v>913</v>
      </c>
      <c r="B158" s="141" t="s">
        <v>1017</v>
      </c>
      <c r="C158" s="142" t="s">
        <v>1292</v>
      </c>
      <c r="D158" s="193" t="s">
        <v>686</v>
      </c>
      <c r="E158" s="148"/>
      <c r="F158" s="187" t="s">
        <v>3098</v>
      </c>
      <c r="G158" s="141" t="s">
        <v>1017</v>
      </c>
      <c r="H158" s="142" t="s">
        <v>1292</v>
      </c>
      <c r="I158" s="187"/>
      <c r="J158" s="142" t="s">
        <v>3110</v>
      </c>
      <c r="K158" s="213" t="s">
        <v>3100</v>
      </c>
      <c r="O158" s="184"/>
      <c r="P158" s="184"/>
      <c r="Q158" s="184"/>
      <c r="R158" s="184"/>
      <c r="S158" s="184"/>
      <c r="T158" s="184"/>
      <c r="U158" s="184"/>
    </row>
    <row r="159" spans="1:21" ht="25">
      <c r="A159" s="119" t="s">
        <v>913</v>
      </c>
      <c r="B159" s="141" t="s">
        <v>1019</v>
      </c>
      <c r="C159" s="142" t="s">
        <v>1292</v>
      </c>
      <c r="D159" s="193" t="s">
        <v>686</v>
      </c>
      <c r="E159" s="148"/>
      <c r="F159" s="187" t="s">
        <v>3098</v>
      </c>
      <c r="G159" s="141" t="s">
        <v>1019</v>
      </c>
      <c r="H159" s="142" t="s">
        <v>1292</v>
      </c>
      <c r="I159" s="187"/>
      <c r="J159" s="142" t="s">
        <v>3110</v>
      </c>
      <c r="K159" s="213" t="s">
        <v>3100</v>
      </c>
      <c r="O159" s="184"/>
      <c r="P159" s="184"/>
      <c r="Q159" s="184"/>
      <c r="R159" s="184"/>
      <c r="S159" s="184"/>
      <c r="T159" s="184"/>
      <c r="U159" s="184"/>
    </row>
    <row r="160" spans="1:21" ht="25">
      <c r="A160" s="119" t="s">
        <v>913</v>
      </c>
      <c r="B160" s="141" t="s">
        <v>1021</v>
      </c>
      <c r="C160" s="142" t="s">
        <v>1292</v>
      </c>
      <c r="D160" s="193" t="s">
        <v>686</v>
      </c>
      <c r="E160" s="148"/>
      <c r="F160" s="187" t="s">
        <v>3098</v>
      </c>
      <c r="G160" s="141" t="s">
        <v>1021</v>
      </c>
      <c r="H160" s="142" t="s">
        <v>1292</v>
      </c>
      <c r="I160" s="187"/>
      <c r="J160" s="142" t="s">
        <v>3110</v>
      </c>
      <c r="K160" s="213" t="s">
        <v>3100</v>
      </c>
      <c r="O160" s="184"/>
      <c r="P160" s="184"/>
      <c r="Q160" s="184"/>
      <c r="R160" s="184"/>
      <c r="S160" s="184"/>
      <c r="T160" s="184"/>
      <c r="U160" s="184"/>
    </row>
    <row r="161" spans="1:21" ht="25">
      <c r="A161" s="119" t="s">
        <v>913</v>
      </c>
      <c r="B161" s="141" t="s">
        <v>1102</v>
      </c>
      <c r="C161" s="142" t="s">
        <v>1292</v>
      </c>
      <c r="D161" s="193" t="s">
        <v>686</v>
      </c>
      <c r="E161" s="148"/>
      <c r="F161" s="187" t="s">
        <v>3098</v>
      </c>
      <c r="G161" s="141" t="s">
        <v>1102</v>
      </c>
      <c r="H161" s="142" t="s">
        <v>1292</v>
      </c>
      <c r="I161" s="187"/>
      <c r="J161" s="142" t="s">
        <v>3110</v>
      </c>
      <c r="K161" s="213" t="s">
        <v>3100</v>
      </c>
      <c r="O161" s="184"/>
      <c r="P161" s="184"/>
      <c r="Q161" s="184"/>
      <c r="R161" s="184"/>
      <c r="S161" s="184"/>
      <c r="T161" s="184"/>
      <c r="U161" s="184"/>
    </row>
    <row r="162" spans="1:21" ht="25">
      <c r="A162" s="119" t="s">
        <v>913</v>
      </c>
      <c r="B162" s="141" t="s">
        <v>1104</v>
      </c>
      <c r="C162" s="142" t="s">
        <v>1292</v>
      </c>
      <c r="D162" s="193" t="s">
        <v>686</v>
      </c>
      <c r="E162" s="148"/>
      <c r="F162" s="187" t="s">
        <v>3098</v>
      </c>
      <c r="G162" s="141" t="s">
        <v>1104</v>
      </c>
      <c r="H162" s="142" t="s">
        <v>1292</v>
      </c>
      <c r="I162" s="187"/>
      <c r="J162" s="142" t="s">
        <v>3110</v>
      </c>
      <c r="K162" s="213" t="s">
        <v>3100</v>
      </c>
      <c r="O162" s="184"/>
      <c r="P162" s="184"/>
      <c r="Q162" s="184"/>
      <c r="R162" s="184"/>
      <c r="S162" s="184"/>
      <c r="T162" s="184"/>
      <c r="U162" s="184"/>
    </row>
    <row r="163" spans="1:21" ht="25">
      <c r="A163" s="119" t="s">
        <v>913</v>
      </c>
      <c r="B163" s="141" t="s">
        <v>1106</v>
      </c>
      <c r="C163" s="142" t="s">
        <v>1292</v>
      </c>
      <c r="D163" s="193" t="s">
        <v>686</v>
      </c>
      <c r="E163" s="148"/>
      <c r="F163" s="187" t="s">
        <v>3098</v>
      </c>
      <c r="G163" s="141" t="s">
        <v>1106</v>
      </c>
      <c r="H163" s="142" t="s">
        <v>1292</v>
      </c>
      <c r="I163" s="187"/>
      <c r="J163" s="142" t="s">
        <v>3110</v>
      </c>
      <c r="K163" s="213" t="s">
        <v>3100</v>
      </c>
      <c r="O163" s="184"/>
      <c r="P163" s="184"/>
      <c r="Q163" s="184"/>
      <c r="R163" s="184"/>
      <c r="S163" s="184"/>
      <c r="T163" s="184"/>
      <c r="U163" s="184"/>
    </row>
    <row r="164" spans="1:21" ht="25">
      <c r="A164" s="119" t="s">
        <v>913</v>
      </c>
      <c r="B164" s="141" t="s">
        <v>1108</v>
      </c>
      <c r="C164" s="142" t="s">
        <v>1292</v>
      </c>
      <c r="D164" s="193" t="s">
        <v>686</v>
      </c>
      <c r="E164" s="148"/>
      <c r="F164" s="187" t="s">
        <v>3098</v>
      </c>
      <c r="G164" s="141" t="s">
        <v>1108</v>
      </c>
      <c r="H164" s="142" t="s">
        <v>1292</v>
      </c>
      <c r="I164" s="187"/>
      <c r="J164" s="142" t="s">
        <v>3110</v>
      </c>
      <c r="K164" s="213" t="s">
        <v>3100</v>
      </c>
      <c r="O164" s="184"/>
      <c r="P164" s="184"/>
      <c r="Q164" s="184"/>
      <c r="R164" s="184"/>
      <c r="S164" s="184"/>
      <c r="T164" s="184"/>
      <c r="U164" s="184"/>
    </row>
    <row r="165" spans="1:21" ht="25">
      <c r="A165" s="119" t="s">
        <v>913</v>
      </c>
      <c r="B165" s="141" t="s">
        <v>1023</v>
      </c>
      <c r="C165" s="142" t="s">
        <v>1292</v>
      </c>
      <c r="D165" s="193" t="s">
        <v>686</v>
      </c>
      <c r="E165" s="148"/>
      <c r="F165" s="187" t="s">
        <v>3098</v>
      </c>
      <c r="G165" s="141" t="s">
        <v>1023</v>
      </c>
      <c r="H165" s="142" t="s">
        <v>1292</v>
      </c>
      <c r="I165" s="187"/>
      <c r="J165" s="142" t="s">
        <v>3110</v>
      </c>
      <c r="K165" s="213" t="s">
        <v>3100</v>
      </c>
      <c r="O165" s="184"/>
      <c r="P165" s="184"/>
      <c r="Q165" s="184"/>
      <c r="R165" s="184"/>
      <c r="S165" s="184"/>
      <c r="T165" s="184"/>
      <c r="U165" s="184"/>
    </row>
    <row r="166" spans="1:21" ht="25">
      <c r="A166" s="119" t="s">
        <v>913</v>
      </c>
      <c r="B166" s="141" t="s">
        <v>1025</v>
      </c>
      <c r="C166" s="142" t="s">
        <v>1292</v>
      </c>
      <c r="D166" s="193" t="s">
        <v>686</v>
      </c>
      <c r="E166" s="148"/>
      <c r="F166" s="187" t="s">
        <v>3098</v>
      </c>
      <c r="G166" s="141" t="s">
        <v>1025</v>
      </c>
      <c r="H166" s="142" t="s">
        <v>1292</v>
      </c>
      <c r="I166" s="187"/>
      <c r="J166" s="142" t="s">
        <v>3110</v>
      </c>
      <c r="K166" s="213" t="s">
        <v>3100</v>
      </c>
      <c r="O166" s="184"/>
      <c r="P166" s="184"/>
      <c r="Q166" s="184"/>
      <c r="R166" s="184"/>
      <c r="S166" s="184"/>
      <c r="T166" s="184"/>
      <c r="U166" s="184"/>
    </row>
    <row r="167" spans="1:21" ht="25">
      <c r="A167" s="119" t="s">
        <v>913</v>
      </c>
      <c r="B167" s="141" t="s">
        <v>1027</v>
      </c>
      <c r="C167" s="142" t="s">
        <v>1292</v>
      </c>
      <c r="D167" s="193" t="s">
        <v>686</v>
      </c>
      <c r="E167" s="148"/>
      <c r="F167" s="187" t="s">
        <v>3098</v>
      </c>
      <c r="G167" s="141" t="s">
        <v>1027</v>
      </c>
      <c r="H167" s="142" t="s">
        <v>1292</v>
      </c>
      <c r="I167" s="187"/>
      <c r="J167" s="142" t="s">
        <v>3110</v>
      </c>
      <c r="K167" s="213" t="s">
        <v>3100</v>
      </c>
      <c r="O167" s="184"/>
      <c r="P167" s="184"/>
      <c r="Q167" s="184"/>
      <c r="R167" s="184"/>
      <c r="S167" s="184"/>
      <c r="T167" s="184"/>
      <c r="U167" s="184"/>
    </row>
    <row r="168" spans="1:21" ht="25">
      <c r="A168" s="119" t="s">
        <v>913</v>
      </c>
      <c r="B168" s="141" t="s">
        <v>1029</v>
      </c>
      <c r="C168" s="142" t="s">
        <v>1292</v>
      </c>
      <c r="D168" s="193" t="s">
        <v>686</v>
      </c>
      <c r="E168" s="148"/>
      <c r="F168" s="187" t="s">
        <v>3098</v>
      </c>
      <c r="G168" s="141" t="s">
        <v>1029</v>
      </c>
      <c r="H168" s="142" t="s">
        <v>1292</v>
      </c>
      <c r="I168" s="187"/>
      <c r="J168" s="142" t="s">
        <v>3110</v>
      </c>
      <c r="K168" s="213" t="s">
        <v>3100</v>
      </c>
      <c r="O168" s="184"/>
      <c r="P168" s="184"/>
      <c r="Q168" s="184"/>
      <c r="R168" s="184"/>
      <c r="S168" s="184"/>
      <c r="T168" s="184"/>
      <c r="U168" s="184"/>
    </row>
    <row r="169" spans="1:21" ht="25">
      <c r="A169" s="119" t="s">
        <v>913</v>
      </c>
      <c r="B169" s="141" t="s">
        <v>1031</v>
      </c>
      <c r="C169" s="142" t="s">
        <v>1292</v>
      </c>
      <c r="D169" s="193" t="s">
        <v>686</v>
      </c>
      <c r="E169" s="148"/>
      <c r="F169" s="187" t="s">
        <v>3098</v>
      </c>
      <c r="G169" s="141" t="s">
        <v>1031</v>
      </c>
      <c r="H169" s="142" t="s">
        <v>1292</v>
      </c>
      <c r="I169" s="187"/>
      <c r="J169" s="142" t="s">
        <v>3110</v>
      </c>
      <c r="K169" s="213" t="s">
        <v>3100</v>
      </c>
      <c r="O169" s="184"/>
      <c r="P169" s="184"/>
      <c r="Q169" s="184"/>
      <c r="R169" s="184"/>
      <c r="S169" s="184"/>
      <c r="T169" s="184"/>
      <c r="U169" s="184"/>
    </row>
    <row r="170" spans="1:21" ht="25">
      <c r="A170" s="119" t="s">
        <v>913</v>
      </c>
      <c r="B170" s="141" t="s">
        <v>1033</v>
      </c>
      <c r="C170" s="142" t="s">
        <v>1292</v>
      </c>
      <c r="D170" s="193" t="s">
        <v>686</v>
      </c>
      <c r="E170" s="148"/>
      <c r="F170" s="187" t="s">
        <v>3098</v>
      </c>
      <c r="G170" s="141" t="s">
        <v>1033</v>
      </c>
      <c r="H170" s="142" t="s">
        <v>1292</v>
      </c>
      <c r="I170" s="187"/>
      <c r="J170" s="142" t="s">
        <v>3110</v>
      </c>
      <c r="K170" s="213" t="s">
        <v>3100</v>
      </c>
      <c r="O170" s="184"/>
      <c r="P170" s="184"/>
      <c r="Q170" s="184"/>
      <c r="R170" s="184"/>
      <c r="S170" s="184"/>
      <c r="T170" s="184"/>
      <c r="U170" s="184"/>
    </row>
    <row r="171" spans="1:21" ht="25">
      <c r="A171" s="119" t="s">
        <v>913</v>
      </c>
      <c r="B171" s="141" t="s">
        <v>1035</v>
      </c>
      <c r="C171" s="142" t="s">
        <v>1292</v>
      </c>
      <c r="D171" s="193" t="s">
        <v>686</v>
      </c>
      <c r="E171" s="148"/>
      <c r="F171" s="187" t="s">
        <v>3098</v>
      </c>
      <c r="G171" s="141" t="s">
        <v>1035</v>
      </c>
      <c r="H171" s="142" t="s">
        <v>1292</v>
      </c>
      <c r="I171" s="187"/>
      <c r="J171" s="142" t="s">
        <v>3110</v>
      </c>
      <c r="K171" s="213" t="s">
        <v>3100</v>
      </c>
      <c r="O171" s="184"/>
      <c r="P171" s="184"/>
      <c r="Q171" s="184"/>
      <c r="R171" s="184"/>
      <c r="S171" s="184"/>
      <c r="T171" s="184"/>
      <c r="U171" s="184"/>
    </row>
    <row r="172" spans="1:21" ht="25">
      <c r="A172" s="119" t="s">
        <v>913</v>
      </c>
      <c r="B172" s="141" t="s">
        <v>1037</v>
      </c>
      <c r="C172" s="142" t="s">
        <v>1292</v>
      </c>
      <c r="D172" s="193" t="s">
        <v>686</v>
      </c>
      <c r="E172" s="148"/>
      <c r="F172" s="187" t="s">
        <v>3098</v>
      </c>
      <c r="G172" s="141" t="s">
        <v>1037</v>
      </c>
      <c r="H172" s="142" t="s">
        <v>1292</v>
      </c>
      <c r="I172" s="187"/>
      <c r="J172" s="142" t="s">
        <v>3110</v>
      </c>
      <c r="K172" s="213" t="s">
        <v>3100</v>
      </c>
      <c r="O172" s="184"/>
      <c r="P172" s="184"/>
      <c r="Q172" s="184"/>
      <c r="R172" s="184"/>
      <c r="S172" s="184"/>
      <c r="T172" s="184"/>
      <c r="U172" s="184"/>
    </row>
    <row r="173" spans="1:21" ht="25">
      <c r="A173" s="119" t="s">
        <v>913</v>
      </c>
      <c r="B173" s="141" t="s">
        <v>1039</v>
      </c>
      <c r="C173" s="142" t="s">
        <v>1292</v>
      </c>
      <c r="D173" s="193" t="s">
        <v>686</v>
      </c>
      <c r="E173" s="148"/>
      <c r="F173" s="187" t="s">
        <v>3098</v>
      </c>
      <c r="G173" s="141" t="s">
        <v>1039</v>
      </c>
      <c r="H173" s="142" t="s">
        <v>1292</v>
      </c>
      <c r="I173" s="187"/>
      <c r="J173" s="142" t="s">
        <v>3110</v>
      </c>
      <c r="K173" s="213" t="s">
        <v>3100</v>
      </c>
      <c r="O173" s="184"/>
      <c r="P173" s="184"/>
      <c r="Q173" s="184"/>
      <c r="R173" s="184"/>
      <c r="S173" s="184"/>
      <c r="T173" s="184"/>
      <c r="U173" s="184"/>
    </row>
    <row r="174" spans="1:21" ht="25">
      <c r="A174" s="119" t="s">
        <v>913</v>
      </c>
      <c r="B174" s="141" t="s">
        <v>1041</v>
      </c>
      <c r="C174" s="142" t="s">
        <v>1292</v>
      </c>
      <c r="D174" s="193" t="s">
        <v>686</v>
      </c>
      <c r="E174" s="148"/>
      <c r="F174" s="187" t="s">
        <v>3098</v>
      </c>
      <c r="G174" s="141" t="s">
        <v>1041</v>
      </c>
      <c r="H174" s="142" t="s">
        <v>1292</v>
      </c>
      <c r="I174" s="187"/>
      <c r="J174" s="142" t="s">
        <v>3110</v>
      </c>
      <c r="K174" s="213" t="s">
        <v>3100</v>
      </c>
      <c r="O174" s="184"/>
      <c r="P174" s="184"/>
      <c r="Q174" s="184"/>
      <c r="R174" s="184"/>
      <c r="S174" s="184"/>
      <c r="T174" s="184"/>
      <c r="U174" s="184"/>
    </row>
    <row r="175" spans="1:21" ht="25">
      <c r="A175" s="119" t="s">
        <v>913</v>
      </c>
      <c r="B175" s="141" t="s">
        <v>1043</v>
      </c>
      <c r="C175" s="142" t="s">
        <v>1292</v>
      </c>
      <c r="D175" s="193" t="s">
        <v>686</v>
      </c>
      <c r="E175" s="148"/>
      <c r="F175" s="187" t="s">
        <v>3098</v>
      </c>
      <c r="G175" s="141" t="s">
        <v>1043</v>
      </c>
      <c r="H175" s="142" t="s">
        <v>1292</v>
      </c>
      <c r="I175" s="187"/>
      <c r="J175" s="142" t="s">
        <v>3110</v>
      </c>
      <c r="K175" s="213" t="s">
        <v>3100</v>
      </c>
      <c r="O175" s="184"/>
      <c r="P175" s="184"/>
      <c r="Q175" s="184"/>
      <c r="R175" s="184"/>
      <c r="S175" s="184"/>
      <c r="T175" s="184"/>
      <c r="U175" s="184"/>
    </row>
    <row r="176" spans="1:21" ht="25">
      <c r="A176" s="119" t="s">
        <v>913</v>
      </c>
      <c r="B176" s="141" t="s">
        <v>1045</v>
      </c>
      <c r="C176" s="142" t="s">
        <v>1292</v>
      </c>
      <c r="D176" s="193" t="s">
        <v>686</v>
      </c>
      <c r="E176" s="148"/>
      <c r="F176" s="187" t="s">
        <v>3098</v>
      </c>
      <c r="G176" s="141" t="s">
        <v>1045</v>
      </c>
      <c r="H176" s="142" t="s">
        <v>1292</v>
      </c>
      <c r="I176" s="187"/>
      <c r="J176" s="142" t="s">
        <v>3110</v>
      </c>
      <c r="K176" s="213" t="s">
        <v>3100</v>
      </c>
      <c r="O176" s="184"/>
      <c r="P176" s="184"/>
      <c r="Q176" s="184"/>
      <c r="R176" s="184"/>
      <c r="S176" s="184"/>
      <c r="T176" s="184"/>
      <c r="U176" s="184"/>
    </row>
    <row r="177" spans="1:21" ht="25">
      <c r="A177" s="119" t="s">
        <v>913</v>
      </c>
      <c r="B177" s="141" t="s">
        <v>1047</v>
      </c>
      <c r="C177" s="142" t="s">
        <v>1292</v>
      </c>
      <c r="D177" s="193" t="s">
        <v>686</v>
      </c>
      <c r="E177" s="148"/>
      <c r="F177" s="187" t="s">
        <v>3098</v>
      </c>
      <c r="G177" s="141" t="s">
        <v>1047</v>
      </c>
      <c r="H177" s="142" t="s">
        <v>1292</v>
      </c>
      <c r="I177" s="187"/>
      <c r="J177" s="142" t="s">
        <v>3110</v>
      </c>
      <c r="K177" s="213" t="s">
        <v>3100</v>
      </c>
      <c r="O177" s="184"/>
      <c r="P177" s="184"/>
      <c r="Q177" s="184"/>
      <c r="R177" s="184"/>
      <c r="S177" s="184"/>
      <c r="T177" s="184"/>
      <c r="U177" s="184"/>
    </row>
    <row r="178" spans="1:21" ht="25">
      <c r="A178" s="119" t="s">
        <v>913</v>
      </c>
      <c r="B178" s="141" t="s">
        <v>1049</v>
      </c>
      <c r="C178" s="142" t="s">
        <v>1292</v>
      </c>
      <c r="D178" s="193" t="s">
        <v>686</v>
      </c>
      <c r="E178" s="148"/>
      <c r="F178" s="187" t="s">
        <v>3098</v>
      </c>
      <c r="G178" s="141" t="s">
        <v>1049</v>
      </c>
      <c r="H178" s="142" t="s">
        <v>1292</v>
      </c>
      <c r="I178" s="187"/>
      <c r="J178" s="142" t="s">
        <v>3110</v>
      </c>
      <c r="K178" s="213" t="s">
        <v>3100</v>
      </c>
      <c r="O178" s="184"/>
      <c r="P178" s="184"/>
      <c r="Q178" s="184"/>
      <c r="R178" s="184"/>
      <c r="S178" s="184"/>
      <c r="T178" s="184"/>
      <c r="U178" s="184"/>
    </row>
    <row r="179" spans="1:21" ht="25">
      <c r="A179" s="119" t="s">
        <v>913</v>
      </c>
      <c r="B179" s="141" t="s">
        <v>1051</v>
      </c>
      <c r="C179" s="142" t="s">
        <v>1292</v>
      </c>
      <c r="D179" s="193" t="s">
        <v>686</v>
      </c>
      <c r="E179" s="148"/>
      <c r="F179" s="187" t="s">
        <v>3098</v>
      </c>
      <c r="G179" s="141" t="s">
        <v>1051</v>
      </c>
      <c r="H179" s="142" t="s">
        <v>1292</v>
      </c>
      <c r="I179" s="187"/>
      <c r="J179" s="142" t="s">
        <v>3110</v>
      </c>
      <c r="K179" s="213" t="s">
        <v>3100</v>
      </c>
      <c r="O179" s="184"/>
      <c r="P179" s="184"/>
      <c r="Q179" s="184"/>
      <c r="R179" s="184"/>
      <c r="S179" s="184"/>
      <c r="T179" s="184"/>
      <c r="U179" s="184"/>
    </row>
    <row r="180" spans="1:21" ht="25">
      <c r="A180" s="119" t="s">
        <v>913</v>
      </c>
      <c r="B180" s="141" t="s">
        <v>1053</v>
      </c>
      <c r="C180" s="142" t="s">
        <v>1292</v>
      </c>
      <c r="D180" s="193" t="s">
        <v>686</v>
      </c>
      <c r="E180" s="148"/>
      <c r="F180" s="187" t="s">
        <v>3098</v>
      </c>
      <c r="G180" s="141" t="s">
        <v>1053</v>
      </c>
      <c r="H180" s="142" t="s">
        <v>1292</v>
      </c>
      <c r="I180" s="187"/>
      <c r="J180" s="142" t="s">
        <v>3110</v>
      </c>
      <c r="K180" s="213" t="s">
        <v>3100</v>
      </c>
      <c r="O180" s="184"/>
      <c r="P180" s="184"/>
      <c r="Q180" s="184"/>
      <c r="R180" s="184"/>
      <c r="S180" s="184"/>
      <c r="T180" s="184"/>
      <c r="U180" s="184"/>
    </row>
    <row r="181" spans="1:21" ht="25">
      <c r="A181" s="119" t="s">
        <v>913</v>
      </c>
      <c r="B181" s="141" t="s">
        <v>1055</v>
      </c>
      <c r="C181" s="142" t="s">
        <v>1292</v>
      </c>
      <c r="D181" s="193" t="s">
        <v>686</v>
      </c>
      <c r="E181" s="148"/>
      <c r="F181" s="187" t="s">
        <v>3098</v>
      </c>
      <c r="G181" s="141" t="s">
        <v>1055</v>
      </c>
      <c r="H181" s="142" t="s">
        <v>1292</v>
      </c>
      <c r="I181" s="187"/>
      <c r="J181" s="142" t="s">
        <v>3110</v>
      </c>
      <c r="K181" s="213" t="s">
        <v>3100</v>
      </c>
      <c r="O181" s="184"/>
      <c r="P181" s="184"/>
      <c r="Q181" s="184"/>
      <c r="R181" s="184"/>
      <c r="S181" s="184"/>
      <c r="T181" s="184"/>
      <c r="U181" s="184"/>
    </row>
    <row r="182" spans="1:21" ht="25">
      <c r="A182" s="119" t="s">
        <v>913</v>
      </c>
      <c r="B182" s="141" t="s">
        <v>1057</v>
      </c>
      <c r="C182" s="142" t="s">
        <v>1292</v>
      </c>
      <c r="D182" s="193" t="s">
        <v>686</v>
      </c>
      <c r="E182" s="148"/>
      <c r="F182" s="187" t="s">
        <v>3098</v>
      </c>
      <c r="G182" s="141" t="s">
        <v>1057</v>
      </c>
      <c r="H182" s="142" t="s">
        <v>1292</v>
      </c>
      <c r="I182" s="187"/>
      <c r="J182" s="142" t="s">
        <v>3110</v>
      </c>
      <c r="K182" s="213" t="s">
        <v>3100</v>
      </c>
      <c r="O182" s="184"/>
      <c r="P182" s="184"/>
      <c r="Q182" s="184"/>
      <c r="R182" s="184"/>
      <c r="S182" s="184"/>
      <c r="T182" s="184"/>
      <c r="U182" s="184"/>
    </row>
    <row r="183" spans="1:21" ht="25">
      <c r="A183" s="119" t="s">
        <v>913</v>
      </c>
      <c r="B183" s="141" t="s">
        <v>1059</v>
      </c>
      <c r="C183" s="142" t="s">
        <v>1292</v>
      </c>
      <c r="D183" s="193" t="s">
        <v>686</v>
      </c>
      <c r="E183" s="148"/>
      <c r="F183" s="187" t="s">
        <v>3098</v>
      </c>
      <c r="G183" s="141" t="s">
        <v>1059</v>
      </c>
      <c r="H183" s="142" t="s">
        <v>1292</v>
      </c>
      <c r="I183" s="187"/>
      <c r="J183" s="142" t="s">
        <v>3110</v>
      </c>
      <c r="K183" s="213" t="s">
        <v>3100</v>
      </c>
      <c r="O183" s="184"/>
      <c r="P183" s="184"/>
      <c r="Q183" s="184"/>
      <c r="R183" s="184"/>
      <c r="S183" s="184"/>
      <c r="T183" s="184"/>
      <c r="U183" s="184"/>
    </row>
    <row r="184" spans="1:21" ht="25">
      <c r="A184" s="119" t="s">
        <v>913</v>
      </c>
      <c r="B184" s="141" t="s">
        <v>1061</v>
      </c>
      <c r="C184" s="142" t="s">
        <v>1292</v>
      </c>
      <c r="D184" s="193" t="s">
        <v>686</v>
      </c>
      <c r="E184" s="148"/>
      <c r="F184" s="187" t="s">
        <v>3098</v>
      </c>
      <c r="G184" s="141" t="s">
        <v>1061</v>
      </c>
      <c r="H184" s="142" t="s">
        <v>1292</v>
      </c>
      <c r="I184" s="187"/>
      <c r="J184" s="142" t="s">
        <v>3110</v>
      </c>
      <c r="K184" s="213" t="s">
        <v>3100</v>
      </c>
      <c r="O184" s="184"/>
      <c r="P184" s="184"/>
      <c r="Q184" s="184"/>
      <c r="R184" s="184"/>
      <c r="S184" s="184"/>
      <c r="T184" s="184"/>
      <c r="U184" s="184"/>
    </row>
    <row r="185" spans="1:21" ht="25">
      <c r="A185" s="119" t="s">
        <v>913</v>
      </c>
      <c r="B185" s="141" t="s">
        <v>1063</v>
      </c>
      <c r="C185" s="142" t="s">
        <v>1292</v>
      </c>
      <c r="D185" s="193" t="s">
        <v>686</v>
      </c>
      <c r="E185" s="148"/>
      <c r="F185" s="187" t="s">
        <v>3098</v>
      </c>
      <c r="G185" s="141" t="s">
        <v>1063</v>
      </c>
      <c r="H185" s="142" t="s">
        <v>1292</v>
      </c>
      <c r="I185" s="187"/>
      <c r="J185" s="142" t="s">
        <v>3110</v>
      </c>
      <c r="K185" s="213" t="s">
        <v>3100</v>
      </c>
      <c r="O185" s="184"/>
      <c r="P185" s="184"/>
      <c r="Q185" s="184"/>
      <c r="R185" s="184"/>
      <c r="S185" s="184"/>
      <c r="T185" s="184"/>
      <c r="U185" s="184"/>
    </row>
    <row r="186" spans="1:21" ht="25">
      <c r="A186" s="119" t="s">
        <v>913</v>
      </c>
      <c r="B186" s="141" t="s">
        <v>1065</v>
      </c>
      <c r="C186" s="142" t="s">
        <v>1292</v>
      </c>
      <c r="D186" s="193" t="s">
        <v>686</v>
      </c>
      <c r="E186" s="148"/>
      <c r="F186" s="187" t="s">
        <v>3098</v>
      </c>
      <c r="G186" s="141" t="s">
        <v>1065</v>
      </c>
      <c r="H186" s="142" t="s">
        <v>1292</v>
      </c>
      <c r="I186" s="187"/>
      <c r="J186" s="142" t="s">
        <v>3110</v>
      </c>
      <c r="K186" s="213" t="s">
        <v>3100</v>
      </c>
      <c r="O186" s="184"/>
      <c r="P186" s="184"/>
      <c r="Q186" s="184"/>
      <c r="R186" s="184"/>
      <c r="S186" s="184"/>
      <c r="T186" s="184"/>
      <c r="U186" s="184"/>
    </row>
    <row r="187" spans="1:21" ht="25">
      <c r="A187" s="119" t="s">
        <v>913</v>
      </c>
      <c r="B187" s="141" t="s">
        <v>1067</v>
      </c>
      <c r="C187" s="142" t="s">
        <v>1292</v>
      </c>
      <c r="D187" s="193" t="s">
        <v>686</v>
      </c>
      <c r="E187" s="148"/>
      <c r="F187" s="187" t="s">
        <v>3098</v>
      </c>
      <c r="G187" s="141" t="s">
        <v>1067</v>
      </c>
      <c r="H187" s="142" t="s">
        <v>1292</v>
      </c>
      <c r="I187" s="187"/>
      <c r="J187" s="142" t="s">
        <v>3110</v>
      </c>
      <c r="K187" s="213" t="s">
        <v>3100</v>
      </c>
      <c r="O187" s="184"/>
      <c r="P187" s="184"/>
      <c r="Q187" s="184"/>
      <c r="R187" s="184"/>
      <c r="S187" s="184"/>
      <c r="T187" s="184"/>
      <c r="U187" s="184"/>
    </row>
    <row r="188" spans="1:21" ht="25">
      <c r="A188" s="119" t="s">
        <v>913</v>
      </c>
      <c r="B188" s="141" t="s">
        <v>1069</v>
      </c>
      <c r="C188" s="142" t="s">
        <v>1292</v>
      </c>
      <c r="D188" s="193" t="s">
        <v>686</v>
      </c>
      <c r="E188" s="148"/>
      <c r="F188" s="187" t="s">
        <v>3098</v>
      </c>
      <c r="G188" s="141" t="s">
        <v>1069</v>
      </c>
      <c r="H188" s="142" t="s">
        <v>1292</v>
      </c>
      <c r="I188" s="187"/>
      <c r="J188" s="142" t="s">
        <v>3110</v>
      </c>
      <c r="K188" s="213" t="s">
        <v>3100</v>
      </c>
      <c r="O188" s="184"/>
      <c r="P188" s="184"/>
      <c r="Q188" s="184"/>
      <c r="R188" s="184"/>
      <c r="S188" s="184"/>
      <c r="T188" s="184"/>
      <c r="U188" s="184"/>
    </row>
    <row r="189" spans="1:21" ht="25">
      <c r="A189" s="119" t="s">
        <v>913</v>
      </c>
      <c r="B189" s="141" t="s">
        <v>1071</v>
      </c>
      <c r="C189" s="142" t="s">
        <v>1292</v>
      </c>
      <c r="D189" s="193" t="s">
        <v>686</v>
      </c>
      <c r="E189" s="148"/>
      <c r="F189" s="187" t="s">
        <v>3098</v>
      </c>
      <c r="G189" s="141" t="s">
        <v>1071</v>
      </c>
      <c r="H189" s="142" t="s">
        <v>1292</v>
      </c>
      <c r="I189" s="187"/>
      <c r="J189" s="142" t="s">
        <v>3110</v>
      </c>
      <c r="K189" s="213" t="s">
        <v>3100</v>
      </c>
      <c r="O189" s="184"/>
      <c r="P189" s="184"/>
      <c r="Q189" s="184"/>
      <c r="R189" s="184"/>
      <c r="S189" s="184"/>
      <c r="T189" s="184"/>
      <c r="U189" s="184"/>
    </row>
    <row r="190" spans="1:21" ht="25">
      <c r="A190" s="119" t="s">
        <v>913</v>
      </c>
      <c r="B190" s="141" t="s">
        <v>1073</v>
      </c>
      <c r="C190" s="142" t="s">
        <v>1292</v>
      </c>
      <c r="D190" s="193" t="s">
        <v>686</v>
      </c>
      <c r="E190" s="148"/>
      <c r="F190" s="187" t="s">
        <v>3098</v>
      </c>
      <c r="G190" s="141" t="s">
        <v>1073</v>
      </c>
      <c r="H190" s="142" t="s">
        <v>1292</v>
      </c>
      <c r="I190" s="187"/>
      <c r="J190" s="142" t="s">
        <v>3110</v>
      </c>
      <c r="K190" s="213" t="s">
        <v>3100</v>
      </c>
      <c r="O190" s="184"/>
      <c r="P190" s="184"/>
      <c r="Q190" s="184"/>
      <c r="R190" s="184"/>
      <c r="S190" s="184"/>
      <c r="T190" s="184"/>
      <c r="U190" s="184"/>
    </row>
    <row r="191" spans="1:21" ht="25">
      <c r="A191" s="119" t="s">
        <v>913</v>
      </c>
      <c r="B191" s="141" t="s">
        <v>1075</v>
      </c>
      <c r="C191" s="142" t="s">
        <v>1292</v>
      </c>
      <c r="D191" s="193" t="s">
        <v>686</v>
      </c>
      <c r="E191" s="148"/>
      <c r="F191" s="187" t="s">
        <v>3098</v>
      </c>
      <c r="G191" s="141" t="s">
        <v>1075</v>
      </c>
      <c r="H191" s="142" t="s">
        <v>1292</v>
      </c>
      <c r="I191" s="187"/>
      <c r="J191" s="142" t="s">
        <v>3110</v>
      </c>
      <c r="K191" s="213" t="s">
        <v>3100</v>
      </c>
      <c r="O191" s="184"/>
      <c r="P191" s="184"/>
      <c r="Q191" s="184"/>
      <c r="R191" s="184"/>
      <c r="S191" s="184"/>
      <c r="T191" s="184"/>
      <c r="U191" s="184"/>
    </row>
    <row r="192" spans="1:21" ht="25">
      <c r="A192" s="119" t="s">
        <v>913</v>
      </c>
      <c r="B192" s="141" t="s">
        <v>1077</v>
      </c>
      <c r="C192" s="142" t="s">
        <v>1292</v>
      </c>
      <c r="D192" s="193" t="s">
        <v>686</v>
      </c>
      <c r="E192" s="148"/>
      <c r="F192" s="187" t="s">
        <v>3098</v>
      </c>
      <c r="G192" s="141" t="s">
        <v>1077</v>
      </c>
      <c r="H192" s="142" t="s">
        <v>1292</v>
      </c>
      <c r="I192" s="187"/>
      <c r="J192" s="142" t="s">
        <v>3110</v>
      </c>
      <c r="K192" s="213" t="s">
        <v>3100</v>
      </c>
      <c r="O192" s="184"/>
      <c r="P192" s="184"/>
      <c r="Q192" s="184"/>
      <c r="R192" s="184"/>
      <c r="S192" s="184"/>
      <c r="T192" s="184"/>
      <c r="U192" s="184"/>
    </row>
    <row r="193" spans="1:21" ht="25">
      <c r="A193" s="119" t="s">
        <v>913</v>
      </c>
      <c r="B193" s="141" t="s">
        <v>1079</v>
      </c>
      <c r="C193" s="142" t="s">
        <v>1292</v>
      </c>
      <c r="D193" s="193" t="s">
        <v>686</v>
      </c>
      <c r="E193" s="148"/>
      <c r="F193" s="187" t="s">
        <v>3098</v>
      </c>
      <c r="G193" s="141" t="s">
        <v>1079</v>
      </c>
      <c r="H193" s="142" t="s">
        <v>1292</v>
      </c>
      <c r="I193" s="187"/>
      <c r="J193" s="142" t="s">
        <v>3110</v>
      </c>
      <c r="K193" s="213" t="s">
        <v>3100</v>
      </c>
      <c r="O193" s="184"/>
      <c r="P193" s="184"/>
      <c r="Q193" s="184"/>
      <c r="R193" s="184"/>
      <c r="S193" s="184"/>
      <c r="T193" s="184"/>
      <c r="U193" s="184"/>
    </row>
    <row r="194" spans="1:21" ht="25">
      <c r="A194" s="119" t="s">
        <v>913</v>
      </c>
      <c r="B194" s="141" t="s">
        <v>1081</v>
      </c>
      <c r="C194" s="142" t="s">
        <v>1292</v>
      </c>
      <c r="D194" s="193" t="s">
        <v>686</v>
      </c>
      <c r="E194" s="148"/>
      <c r="F194" s="187" t="s">
        <v>3098</v>
      </c>
      <c r="G194" s="141" t="s">
        <v>1081</v>
      </c>
      <c r="H194" s="142" t="s">
        <v>1292</v>
      </c>
      <c r="I194" s="187"/>
      <c r="J194" s="142" t="s">
        <v>3110</v>
      </c>
      <c r="K194" s="213" t="s">
        <v>3100</v>
      </c>
      <c r="O194" s="184"/>
      <c r="P194" s="184"/>
      <c r="Q194" s="184"/>
      <c r="R194" s="184"/>
      <c r="S194" s="184"/>
      <c r="T194" s="184"/>
      <c r="U194" s="184"/>
    </row>
    <row r="195" spans="1:21" ht="25">
      <c r="A195" s="119" t="s">
        <v>913</v>
      </c>
      <c r="B195" s="141" t="s">
        <v>1083</v>
      </c>
      <c r="C195" s="142" t="s">
        <v>1292</v>
      </c>
      <c r="D195" s="193" t="s">
        <v>686</v>
      </c>
      <c r="E195" s="148"/>
      <c r="F195" s="187" t="s">
        <v>3098</v>
      </c>
      <c r="G195" s="141" t="s">
        <v>1083</v>
      </c>
      <c r="H195" s="142" t="s">
        <v>1292</v>
      </c>
      <c r="I195" s="187"/>
      <c r="J195" s="142" t="s">
        <v>3110</v>
      </c>
      <c r="K195" s="213" t="s">
        <v>3100</v>
      </c>
      <c r="O195" s="184"/>
      <c r="P195" s="184"/>
      <c r="Q195" s="184"/>
      <c r="R195" s="184"/>
      <c r="S195" s="184"/>
      <c r="T195" s="184"/>
      <c r="U195" s="184"/>
    </row>
    <row r="196" spans="1:21" ht="25">
      <c r="A196" s="119" t="s">
        <v>913</v>
      </c>
      <c r="B196" s="141" t="s">
        <v>1085</v>
      </c>
      <c r="C196" s="142" t="s">
        <v>1292</v>
      </c>
      <c r="D196" s="193" t="s">
        <v>686</v>
      </c>
      <c r="E196" s="148"/>
      <c r="F196" s="187" t="s">
        <v>3098</v>
      </c>
      <c r="G196" s="141" t="s">
        <v>1085</v>
      </c>
      <c r="H196" s="142" t="s">
        <v>1292</v>
      </c>
      <c r="I196" s="187"/>
      <c r="J196" s="142" t="s">
        <v>3110</v>
      </c>
      <c r="K196" s="213" t="s">
        <v>3100</v>
      </c>
      <c r="O196" s="184"/>
      <c r="P196" s="184"/>
      <c r="Q196" s="184"/>
      <c r="R196" s="184"/>
      <c r="S196" s="184"/>
      <c r="T196" s="184"/>
      <c r="U196" s="184"/>
    </row>
    <row r="197" spans="1:21" ht="25">
      <c r="A197" s="119" t="s">
        <v>913</v>
      </c>
      <c r="B197" s="141" t="s">
        <v>1098</v>
      </c>
      <c r="C197" s="142" t="s">
        <v>1292</v>
      </c>
      <c r="D197" s="193" t="s">
        <v>686</v>
      </c>
      <c r="E197" s="148"/>
      <c r="F197" s="187" t="s">
        <v>3098</v>
      </c>
      <c r="G197" s="141" t="s">
        <v>1098</v>
      </c>
      <c r="H197" s="142" t="s">
        <v>1292</v>
      </c>
      <c r="I197" s="187"/>
      <c r="J197" s="142" t="s">
        <v>3110</v>
      </c>
      <c r="K197" s="213" t="s">
        <v>3100</v>
      </c>
      <c r="O197" s="184"/>
      <c r="P197" s="184"/>
      <c r="Q197" s="184"/>
      <c r="R197" s="184"/>
      <c r="S197" s="184"/>
      <c r="T197" s="184"/>
      <c r="U197" s="184"/>
    </row>
    <row r="198" spans="1:21" ht="25">
      <c r="A198" s="119" t="s">
        <v>913</v>
      </c>
      <c r="B198" s="141" t="s">
        <v>1100</v>
      </c>
      <c r="C198" s="142" t="s">
        <v>1292</v>
      </c>
      <c r="D198" s="193" t="s">
        <v>686</v>
      </c>
      <c r="E198" s="148"/>
      <c r="F198" s="187" t="s">
        <v>3098</v>
      </c>
      <c r="G198" s="141" t="s">
        <v>1100</v>
      </c>
      <c r="H198" s="142" t="s">
        <v>1292</v>
      </c>
      <c r="I198" s="187"/>
      <c r="J198" s="142" t="s">
        <v>3110</v>
      </c>
      <c r="K198" s="213" t="s">
        <v>3100</v>
      </c>
      <c r="O198" s="184"/>
      <c r="P198" s="184"/>
      <c r="Q198" s="184"/>
      <c r="R198" s="184"/>
      <c r="S198" s="184"/>
      <c r="T198" s="184"/>
      <c r="U198" s="184"/>
    </row>
    <row r="199" spans="1:21" s="179" customFormat="1" ht="25">
      <c r="A199" s="119" t="s">
        <v>913</v>
      </c>
      <c r="B199" s="187" t="s">
        <v>271</v>
      </c>
      <c r="C199" s="193" t="s">
        <v>1292</v>
      </c>
      <c r="D199" s="193" t="s">
        <v>686</v>
      </c>
      <c r="E199" s="148"/>
      <c r="F199" s="187" t="s">
        <v>3098</v>
      </c>
      <c r="G199" s="187" t="s">
        <v>271</v>
      </c>
      <c r="H199" s="193" t="s">
        <v>1292</v>
      </c>
      <c r="I199" s="187"/>
      <c r="J199" s="193" t="s">
        <v>271</v>
      </c>
      <c r="K199" s="213" t="s">
        <v>3100</v>
      </c>
      <c r="L199" s="201"/>
      <c r="M199" s="61"/>
      <c r="N199" s="61"/>
      <c r="O199" s="191"/>
      <c r="P199" s="191"/>
      <c r="Q199" s="191"/>
      <c r="R199" s="191"/>
      <c r="S199" s="191"/>
      <c r="T199" s="191"/>
      <c r="U199" s="191"/>
    </row>
    <row r="200" spans="1:21" ht="52" customHeight="1">
      <c r="A200" s="119" t="s">
        <v>3111</v>
      </c>
      <c r="B200" s="187" t="s">
        <v>3056</v>
      </c>
      <c r="C200" s="187" t="s">
        <v>321</v>
      </c>
      <c r="D200" s="193" t="s">
        <v>686</v>
      </c>
      <c r="E200" s="148"/>
      <c r="F200" s="187" t="s">
        <v>3098</v>
      </c>
      <c r="G200" s="187" t="s">
        <v>290</v>
      </c>
      <c r="H200" s="187" t="s">
        <v>321</v>
      </c>
      <c r="I200" s="187"/>
      <c r="J200" s="142"/>
      <c r="K200" s="206" t="s">
        <v>3112</v>
      </c>
      <c r="O200" s="184"/>
      <c r="P200" s="184"/>
      <c r="Q200" s="184"/>
      <c r="R200" s="184"/>
      <c r="S200" s="184"/>
      <c r="T200" s="184"/>
      <c r="U200" s="184"/>
    </row>
    <row r="201" spans="1:21" ht="52" customHeight="1">
      <c r="A201" s="119" t="s">
        <v>3111</v>
      </c>
      <c r="B201" s="187" t="s">
        <v>3113</v>
      </c>
      <c r="C201" s="187" t="s">
        <v>321</v>
      </c>
      <c r="D201" s="193" t="s">
        <v>686</v>
      </c>
      <c r="E201" s="148"/>
      <c r="F201" s="187" t="s">
        <v>3098</v>
      </c>
      <c r="G201" s="187" t="s">
        <v>3114</v>
      </c>
      <c r="H201" s="187" t="s">
        <v>321</v>
      </c>
      <c r="I201" s="187"/>
      <c r="J201" s="142"/>
      <c r="K201" s="206" t="s">
        <v>3112</v>
      </c>
      <c r="O201" s="184"/>
      <c r="P201" s="184"/>
      <c r="Q201" s="184"/>
      <c r="R201" s="184"/>
      <c r="S201" s="184"/>
      <c r="T201" s="184"/>
      <c r="U201" s="184"/>
    </row>
    <row r="202" spans="1:21" ht="52" customHeight="1">
      <c r="A202" s="119" t="s">
        <v>3111</v>
      </c>
      <c r="B202" s="187" t="s">
        <v>3115</v>
      </c>
      <c r="C202" s="187" t="s">
        <v>321</v>
      </c>
      <c r="D202" s="193" t="s">
        <v>922</v>
      </c>
      <c r="E202" s="148" t="s">
        <v>3116</v>
      </c>
      <c r="F202" s="187" t="s">
        <v>3098</v>
      </c>
      <c r="G202" s="187" t="s">
        <v>3117</v>
      </c>
      <c r="H202" s="187" t="s">
        <v>321</v>
      </c>
      <c r="I202" s="187"/>
      <c r="J202" s="142"/>
      <c r="K202" s="213" t="s">
        <v>3118</v>
      </c>
      <c r="O202" s="184"/>
      <c r="P202" s="184"/>
      <c r="Q202" s="184"/>
      <c r="R202" s="184"/>
      <c r="S202" s="184"/>
      <c r="T202" s="184"/>
      <c r="U202" s="184"/>
    </row>
    <row r="203" spans="1:21" ht="52" customHeight="1">
      <c r="A203" s="119" t="s">
        <v>3111</v>
      </c>
      <c r="B203" s="187" t="s">
        <v>3119</v>
      </c>
      <c r="C203" s="187" t="s">
        <v>321</v>
      </c>
      <c r="D203" s="193" t="s">
        <v>686</v>
      </c>
      <c r="E203" s="148"/>
      <c r="F203" s="187" t="s">
        <v>3098</v>
      </c>
      <c r="G203" s="187" t="s">
        <v>3120</v>
      </c>
      <c r="H203" s="187" t="s">
        <v>321</v>
      </c>
      <c r="I203" s="187"/>
      <c r="J203" s="142"/>
      <c r="K203" s="206" t="s">
        <v>3112</v>
      </c>
      <c r="O203" s="184"/>
      <c r="P203" s="184"/>
      <c r="Q203" s="184"/>
      <c r="R203" s="184"/>
      <c r="S203" s="184"/>
      <c r="T203" s="184"/>
      <c r="U203" s="184"/>
    </row>
    <row r="204" spans="1:21" ht="52" customHeight="1">
      <c r="A204" s="119" t="s">
        <v>3111</v>
      </c>
      <c r="B204" s="187" t="s">
        <v>3121</v>
      </c>
      <c r="C204" s="187" t="s">
        <v>321</v>
      </c>
      <c r="D204" s="193" t="s">
        <v>686</v>
      </c>
      <c r="E204" s="148"/>
      <c r="F204" s="187" t="s">
        <v>3098</v>
      </c>
      <c r="G204" s="187" t="s">
        <v>3121</v>
      </c>
      <c r="H204" s="187" t="s">
        <v>321</v>
      </c>
      <c r="I204" s="187"/>
      <c r="J204" s="142"/>
      <c r="K204" s="206" t="s">
        <v>3112</v>
      </c>
      <c r="O204" s="184"/>
      <c r="P204" s="184"/>
      <c r="Q204" s="184"/>
      <c r="R204" s="184"/>
      <c r="S204" s="184"/>
      <c r="T204" s="184"/>
      <c r="U204" s="184"/>
    </row>
    <row r="205" spans="1:21" ht="52" customHeight="1">
      <c r="A205" s="119" t="s">
        <v>3111</v>
      </c>
      <c r="B205" s="187" t="s">
        <v>3122</v>
      </c>
      <c r="C205" s="187" t="s">
        <v>321</v>
      </c>
      <c r="D205" s="193" t="s">
        <v>922</v>
      </c>
      <c r="E205" s="148" t="s">
        <v>3123</v>
      </c>
      <c r="F205" s="187" t="s">
        <v>3098</v>
      </c>
      <c r="G205" s="187" t="s">
        <v>3124</v>
      </c>
      <c r="H205" s="187" t="s">
        <v>321</v>
      </c>
      <c r="I205" s="187"/>
      <c r="J205" s="142"/>
      <c r="K205" s="213" t="s">
        <v>3118</v>
      </c>
      <c r="O205" s="184"/>
      <c r="P205" s="184"/>
      <c r="Q205" s="184"/>
      <c r="R205" s="184"/>
      <c r="S205" s="184"/>
      <c r="T205" s="184"/>
      <c r="U205" s="184"/>
    </row>
    <row r="206" spans="1:21" ht="52" customHeight="1">
      <c r="A206" s="133" t="s">
        <v>3125</v>
      </c>
      <c r="B206" s="189" t="s">
        <v>3126</v>
      </c>
      <c r="C206" s="189" t="s">
        <v>321</v>
      </c>
      <c r="D206" s="212" t="s">
        <v>686</v>
      </c>
      <c r="E206" s="192"/>
      <c r="F206" s="189" t="s">
        <v>3098</v>
      </c>
      <c r="G206" s="189" t="s">
        <v>3127</v>
      </c>
      <c r="H206" s="189" t="s">
        <v>321</v>
      </c>
      <c r="I206" s="189"/>
      <c r="J206" s="208"/>
      <c r="K206" s="206" t="s">
        <v>3112</v>
      </c>
      <c r="O206" s="184"/>
      <c r="P206" s="184"/>
      <c r="Q206" s="184"/>
      <c r="R206" s="184"/>
      <c r="S206" s="184"/>
      <c r="T206" s="184"/>
      <c r="U206" s="184"/>
    </row>
    <row r="207" spans="1:21" ht="52" customHeight="1">
      <c r="A207" s="119" t="s">
        <v>3111</v>
      </c>
      <c r="B207" s="187" t="s">
        <v>1388</v>
      </c>
      <c r="C207" s="187" t="s">
        <v>321</v>
      </c>
      <c r="D207" s="193" t="s">
        <v>686</v>
      </c>
      <c r="E207" s="148"/>
      <c r="F207" s="187" t="s">
        <v>3098</v>
      </c>
      <c r="G207" s="187" t="s">
        <v>1389</v>
      </c>
      <c r="H207" s="187" t="s">
        <v>321</v>
      </c>
      <c r="I207" s="187"/>
      <c r="J207" s="142"/>
      <c r="K207" s="206" t="s">
        <v>3112</v>
      </c>
      <c r="O207" s="184"/>
      <c r="P207" s="184"/>
      <c r="Q207" s="184"/>
      <c r="R207" s="184"/>
      <c r="S207" s="184"/>
      <c r="T207" s="184"/>
      <c r="U207" s="184"/>
    </row>
    <row r="208" spans="1:21" ht="52" customHeight="1">
      <c r="A208" s="119" t="s">
        <v>3111</v>
      </c>
      <c r="B208" s="187" t="s">
        <v>3128</v>
      </c>
      <c r="C208" s="187" t="s">
        <v>321</v>
      </c>
      <c r="D208" s="193" t="s">
        <v>686</v>
      </c>
      <c r="E208" s="148"/>
      <c r="F208" s="187" t="s">
        <v>3098</v>
      </c>
      <c r="G208" s="187" t="s">
        <v>3129</v>
      </c>
      <c r="H208" s="187" t="s">
        <v>321</v>
      </c>
      <c r="I208" s="187"/>
      <c r="J208" s="142"/>
      <c r="K208" s="206" t="s">
        <v>3112</v>
      </c>
      <c r="O208" s="184"/>
      <c r="P208" s="184"/>
      <c r="Q208" s="184"/>
      <c r="R208" s="184"/>
      <c r="S208" s="184"/>
      <c r="T208" s="184"/>
      <c r="U208" s="184"/>
    </row>
    <row r="209" spans="1:21" ht="52" customHeight="1">
      <c r="A209" s="119" t="s">
        <v>3111</v>
      </c>
      <c r="B209" s="187" t="s">
        <v>2068</v>
      </c>
      <c r="C209" s="187" t="s">
        <v>321</v>
      </c>
      <c r="D209" s="193" t="s">
        <v>686</v>
      </c>
      <c r="E209" s="148"/>
      <c r="F209" s="187" t="s">
        <v>3098</v>
      </c>
      <c r="G209" s="187" t="s">
        <v>3130</v>
      </c>
      <c r="H209" s="187" t="s">
        <v>321</v>
      </c>
      <c r="I209" s="187"/>
      <c r="J209" s="142"/>
      <c r="K209" s="206" t="s">
        <v>3112</v>
      </c>
      <c r="O209" s="184"/>
      <c r="P209" s="184"/>
      <c r="Q209" s="184"/>
      <c r="R209" s="184"/>
      <c r="S209" s="184"/>
      <c r="T209" s="184"/>
      <c r="U209" s="184"/>
    </row>
    <row r="210" spans="1:21" ht="52" customHeight="1">
      <c r="A210" s="119" t="s">
        <v>3111</v>
      </c>
      <c r="B210" s="187" t="s">
        <v>2044</v>
      </c>
      <c r="C210" s="187" t="s">
        <v>321</v>
      </c>
      <c r="D210" s="193" t="s">
        <v>686</v>
      </c>
      <c r="E210" s="148"/>
      <c r="F210" s="187" t="s">
        <v>3098</v>
      </c>
      <c r="G210" s="187" t="s">
        <v>3131</v>
      </c>
      <c r="H210" s="187" t="s">
        <v>321</v>
      </c>
      <c r="I210" s="187"/>
      <c r="J210" s="142"/>
      <c r="K210" s="206" t="s">
        <v>3112</v>
      </c>
      <c r="O210" s="184"/>
      <c r="P210" s="184"/>
      <c r="Q210" s="184"/>
      <c r="R210" s="184"/>
      <c r="S210" s="184"/>
      <c r="T210" s="184"/>
      <c r="U210" s="184"/>
    </row>
    <row r="211" spans="1:21" ht="52" customHeight="1">
      <c r="A211" s="119" t="s">
        <v>3111</v>
      </c>
      <c r="B211" s="187" t="s">
        <v>3132</v>
      </c>
      <c r="C211" s="187" t="s">
        <v>321</v>
      </c>
      <c r="D211" s="193" t="s">
        <v>922</v>
      </c>
      <c r="E211" s="148" t="s">
        <v>3133</v>
      </c>
      <c r="F211" s="187" t="s">
        <v>3098</v>
      </c>
      <c r="G211" s="187" t="s">
        <v>3134</v>
      </c>
      <c r="H211" s="187" t="s">
        <v>321</v>
      </c>
      <c r="I211" s="187"/>
      <c r="J211" s="142"/>
      <c r="K211" s="213" t="s">
        <v>3118</v>
      </c>
      <c r="O211" s="184"/>
      <c r="P211" s="184"/>
      <c r="Q211" s="184"/>
      <c r="R211" s="184"/>
      <c r="S211" s="184"/>
      <c r="T211" s="184"/>
      <c r="U211" s="184"/>
    </row>
    <row r="212" spans="1:21" s="178" customFormat="1" ht="52" customHeight="1">
      <c r="A212" s="119" t="s">
        <v>3111</v>
      </c>
      <c r="B212" s="187" t="s">
        <v>1666</v>
      </c>
      <c r="C212" s="187" t="s">
        <v>321</v>
      </c>
      <c r="D212" s="187" t="s">
        <v>686</v>
      </c>
      <c r="E212" s="119"/>
      <c r="F212" s="187" t="s">
        <v>3098</v>
      </c>
      <c r="G212" s="187" t="s">
        <v>3135</v>
      </c>
      <c r="H212" s="187" t="s">
        <v>321</v>
      </c>
      <c r="I212" s="187"/>
      <c r="J212" s="187"/>
      <c r="K212" s="206" t="s">
        <v>3112</v>
      </c>
      <c r="L212" s="201"/>
      <c r="M212" s="61"/>
      <c r="N212" s="61"/>
    </row>
    <row r="213" spans="1:21" ht="52" customHeight="1">
      <c r="A213" s="119" t="s">
        <v>3111</v>
      </c>
      <c r="B213" s="187" t="s">
        <v>3136</v>
      </c>
      <c r="C213" s="187" t="s">
        <v>321</v>
      </c>
      <c r="D213" s="193" t="s">
        <v>686</v>
      </c>
      <c r="E213" s="148"/>
      <c r="F213" s="187" t="s">
        <v>3098</v>
      </c>
      <c r="G213" s="187" t="s">
        <v>3137</v>
      </c>
      <c r="H213" s="187" t="s">
        <v>321</v>
      </c>
      <c r="I213" s="187"/>
      <c r="J213" s="142"/>
      <c r="K213" s="206" t="s">
        <v>3112</v>
      </c>
      <c r="O213" s="184"/>
      <c r="P213" s="184"/>
      <c r="Q213" s="184"/>
      <c r="R213" s="184"/>
      <c r="S213" s="184"/>
      <c r="T213" s="184"/>
      <c r="U213" s="184"/>
    </row>
    <row r="214" spans="1:21" ht="52" customHeight="1">
      <c r="A214" s="119" t="s">
        <v>3111</v>
      </c>
      <c r="B214" s="187" t="s">
        <v>2042</v>
      </c>
      <c r="C214" s="187" t="s">
        <v>321</v>
      </c>
      <c r="D214" s="193" t="s">
        <v>686</v>
      </c>
      <c r="E214" s="148"/>
      <c r="F214" s="187" t="s">
        <v>3098</v>
      </c>
      <c r="G214" s="187" t="s">
        <v>3138</v>
      </c>
      <c r="H214" s="187" t="s">
        <v>321</v>
      </c>
      <c r="I214" s="187"/>
      <c r="J214" s="142"/>
      <c r="K214" s="206" t="s">
        <v>3112</v>
      </c>
      <c r="O214" s="184"/>
      <c r="P214" s="184"/>
      <c r="Q214" s="184"/>
      <c r="R214" s="184"/>
      <c r="S214" s="184"/>
      <c r="T214" s="184"/>
      <c r="U214" s="184"/>
    </row>
    <row r="215" spans="1:21" ht="52" customHeight="1">
      <c r="A215" s="119" t="s">
        <v>3111</v>
      </c>
      <c r="B215" s="187" t="s">
        <v>1384</v>
      </c>
      <c r="C215" s="187" t="s">
        <v>321</v>
      </c>
      <c r="D215" s="193" t="s">
        <v>686</v>
      </c>
      <c r="E215" s="148"/>
      <c r="F215" s="187" t="s">
        <v>3098</v>
      </c>
      <c r="G215" s="187" t="s">
        <v>3139</v>
      </c>
      <c r="H215" s="187" t="s">
        <v>321</v>
      </c>
      <c r="I215" s="187"/>
      <c r="J215" s="142"/>
      <c r="K215" s="206" t="s">
        <v>3112</v>
      </c>
      <c r="O215" s="184"/>
      <c r="P215" s="184"/>
      <c r="Q215" s="184"/>
      <c r="R215" s="184"/>
      <c r="S215" s="184"/>
      <c r="T215" s="184"/>
      <c r="U215" s="184"/>
    </row>
    <row r="216" spans="1:21" ht="52" customHeight="1">
      <c r="A216" s="119" t="s">
        <v>3111</v>
      </c>
      <c r="B216" s="187" t="s">
        <v>3140</v>
      </c>
      <c r="C216" s="187" t="s">
        <v>321</v>
      </c>
      <c r="D216" s="193" t="s">
        <v>686</v>
      </c>
      <c r="E216" s="148"/>
      <c r="F216" s="187" t="s">
        <v>3098</v>
      </c>
      <c r="G216" s="187" t="s">
        <v>1329</v>
      </c>
      <c r="H216" s="187" t="s">
        <v>321</v>
      </c>
      <c r="I216" s="187"/>
      <c r="J216" s="142"/>
      <c r="K216" s="206" t="s">
        <v>3112</v>
      </c>
      <c r="O216" s="184"/>
      <c r="P216" s="184"/>
      <c r="Q216" s="184"/>
      <c r="R216" s="184"/>
      <c r="S216" s="184"/>
      <c r="T216" s="184"/>
      <c r="U216" s="184"/>
    </row>
    <row r="217" spans="1:21" ht="52" customHeight="1">
      <c r="A217" s="119" t="s">
        <v>3111</v>
      </c>
      <c r="B217" s="187" t="s">
        <v>2047</v>
      </c>
      <c r="C217" s="187" t="s">
        <v>321</v>
      </c>
      <c r="D217" s="193" t="s">
        <v>686</v>
      </c>
      <c r="E217" s="148"/>
      <c r="F217" s="187" t="s">
        <v>3098</v>
      </c>
      <c r="G217" s="187" t="s">
        <v>3141</v>
      </c>
      <c r="H217" s="187" t="s">
        <v>321</v>
      </c>
      <c r="I217" s="187"/>
      <c r="J217" s="142"/>
      <c r="K217" s="206" t="s">
        <v>3112</v>
      </c>
      <c r="O217" s="184"/>
      <c r="P217" s="184"/>
      <c r="Q217" s="184"/>
      <c r="R217" s="184"/>
      <c r="S217" s="184"/>
      <c r="T217" s="184"/>
      <c r="U217" s="184"/>
    </row>
    <row r="218" spans="1:21" ht="52" customHeight="1">
      <c r="A218" s="119" t="s">
        <v>3111</v>
      </c>
      <c r="B218" s="187" t="s">
        <v>2046</v>
      </c>
      <c r="C218" s="187" t="s">
        <v>321</v>
      </c>
      <c r="D218" s="193" t="s">
        <v>686</v>
      </c>
      <c r="E218" s="148"/>
      <c r="F218" s="187" t="s">
        <v>3098</v>
      </c>
      <c r="G218" s="187" t="s">
        <v>3142</v>
      </c>
      <c r="H218" s="187" t="s">
        <v>321</v>
      </c>
      <c r="I218" s="187"/>
      <c r="J218" s="142"/>
      <c r="K218" s="206" t="s">
        <v>3112</v>
      </c>
      <c r="O218" s="184"/>
      <c r="P218" s="184"/>
      <c r="Q218" s="184"/>
      <c r="R218" s="184"/>
      <c r="S218" s="184"/>
      <c r="T218" s="184"/>
      <c r="U218" s="184"/>
    </row>
    <row r="219" spans="1:21" ht="52" customHeight="1">
      <c r="A219" s="119" t="s">
        <v>3111</v>
      </c>
      <c r="B219" s="187" t="s">
        <v>2041</v>
      </c>
      <c r="C219" s="187" t="s">
        <v>321</v>
      </c>
      <c r="D219" s="193" t="s">
        <v>686</v>
      </c>
      <c r="E219" s="148"/>
      <c r="F219" s="187" t="s">
        <v>3098</v>
      </c>
      <c r="G219" s="187" t="s">
        <v>3143</v>
      </c>
      <c r="H219" s="187" t="s">
        <v>321</v>
      </c>
      <c r="I219" s="187"/>
      <c r="J219" s="142"/>
      <c r="K219" s="206" t="s">
        <v>3112</v>
      </c>
      <c r="O219" s="184"/>
      <c r="P219" s="184"/>
      <c r="Q219" s="184"/>
      <c r="R219" s="184"/>
      <c r="S219" s="184"/>
      <c r="T219" s="184"/>
      <c r="U219" s="184"/>
    </row>
    <row r="220" spans="1:21" ht="52" customHeight="1">
      <c r="A220" s="119" t="s">
        <v>3111</v>
      </c>
      <c r="B220" s="187" t="s">
        <v>3144</v>
      </c>
      <c r="C220" s="187" t="s">
        <v>321</v>
      </c>
      <c r="D220" s="193" t="s">
        <v>922</v>
      </c>
      <c r="E220" s="148" t="s">
        <v>3145</v>
      </c>
      <c r="F220" s="187" t="s">
        <v>3098</v>
      </c>
      <c r="G220" s="187" t="s">
        <v>3146</v>
      </c>
      <c r="H220" s="187" t="s">
        <v>321</v>
      </c>
      <c r="I220" s="187"/>
      <c r="J220" s="142"/>
      <c r="K220" s="213" t="s">
        <v>3118</v>
      </c>
      <c r="O220" s="184"/>
      <c r="P220" s="184"/>
      <c r="Q220" s="184"/>
      <c r="R220" s="184"/>
      <c r="S220" s="184"/>
      <c r="T220" s="184"/>
      <c r="U220" s="184"/>
    </row>
    <row r="221" spans="1:21" ht="52" customHeight="1">
      <c r="A221" s="119" t="s">
        <v>3111</v>
      </c>
      <c r="B221" s="187" t="s">
        <v>477</v>
      </c>
      <c r="C221" s="187" t="s">
        <v>321</v>
      </c>
      <c r="D221" s="193" t="s">
        <v>686</v>
      </c>
      <c r="E221" s="148"/>
      <c r="F221" s="187" t="s">
        <v>3098</v>
      </c>
      <c r="G221" s="187" t="s">
        <v>3147</v>
      </c>
      <c r="H221" s="187" t="s">
        <v>321</v>
      </c>
      <c r="I221" s="187"/>
      <c r="J221" s="142"/>
      <c r="K221" s="206" t="s">
        <v>3112</v>
      </c>
      <c r="O221" s="184"/>
      <c r="P221" s="184"/>
      <c r="Q221" s="184"/>
      <c r="R221" s="184"/>
      <c r="S221" s="184"/>
      <c r="T221" s="184"/>
      <c r="U221" s="184"/>
    </row>
    <row r="222" spans="1:21" ht="52" customHeight="1">
      <c r="A222" s="119" t="s">
        <v>3111</v>
      </c>
      <c r="B222" s="187" t="s">
        <v>3148</v>
      </c>
      <c r="C222" s="187" t="s">
        <v>321</v>
      </c>
      <c r="D222" s="193" t="s">
        <v>686</v>
      </c>
      <c r="E222" s="148"/>
      <c r="F222" s="187" t="s">
        <v>3098</v>
      </c>
      <c r="G222" s="187" t="s">
        <v>3149</v>
      </c>
      <c r="H222" s="214" t="s">
        <v>1292</v>
      </c>
      <c r="I222" s="187"/>
      <c r="J222" s="142"/>
      <c r="K222" s="206" t="s">
        <v>3112</v>
      </c>
      <c r="O222" s="184"/>
      <c r="P222" s="184"/>
      <c r="Q222" s="184"/>
      <c r="R222" s="184"/>
      <c r="S222" s="184"/>
      <c r="T222" s="184"/>
      <c r="U222" s="184"/>
    </row>
    <row r="223" spans="1:21" ht="52" customHeight="1">
      <c r="A223" s="119" t="s">
        <v>3111</v>
      </c>
      <c r="B223" s="187" t="s">
        <v>3150</v>
      </c>
      <c r="C223" s="187" t="s">
        <v>321</v>
      </c>
      <c r="D223" s="193" t="s">
        <v>686</v>
      </c>
      <c r="E223" s="148"/>
      <c r="F223" s="187" t="s">
        <v>3098</v>
      </c>
      <c r="G223" s="187" t="s">
        <v>3151</v>
      </c>
      <c r="H223" s="187" t="s">
        <v>321</v>
      </c>
      <c r="I223" s="187"/>
      <c r="J223" s="142"/>
      <c r="K223" s="206" t="s">
        <v>3112</v>
      </c>
      <c r="O223" s="184"/>
      <c r="P223" s="184"/>
      <c r="Q223" s="184"/>
      <c r="R223" s="184"/>
      <c r="S223" s="184"/>
      <c r="T223" s="184"/>
      <c r="U223" s="184"/>
    </row>
    <row r="224" spans="1:21" ht="52" customHeight="1">
      <c r="A224" s="119" t="s">
        <v>3111</v>
      </c>
      <c r="B224" s="187" t="s">
        <v>464</v>
      </c>
      <c r="C224" s="187" t="s">
        <v>321</v>
      </c>
      <c r="D224" s="193" t="s">
        <v>686</v>
      </c>
      <c r="E224" s="148"/>
      <c r="F224" s="187" t="s">
        <v>3098</v>
      </c>
      <c r="G224" s="187" t="s">
        <v>3152</v>
      </c>
      <c r="H224" s="187" t="s">
        <v>321</v>
      </c>
      <c r="I224" s="187"/>
      <c r="J224" s="142"/>
      <c r="K224" s="206" t="s">
        <v>3112</v>
      </c>
      <c r="O224" s="184"/>
      <c r="P224" s="184"/>
      <c r="Q224" s="184"/>
      <c r="R224" s="184"/>
      <c r="S224" s="184"/>
      <c r="T224" s="184"/>
      <c r="U224" s="184"/>
    </row>
    <row r="225" spans="1:21" ht="52" customHeight="1">
      <c r="A225" s="119" t="s">
        <v>3111</v>
      </c>
      <c r="B225" s="187" t="s">
        <v>3153</v>
      </c>
      <c r="C225" s="187" t="s">
        <v>321</v>
      </c>
      <c r="D225" s="193" t="s">
        <v>922</v>
      </c>
      <c r="E225" s="148" t="s">
        <v>3154</v>
      </c>
      <c r="F225" s="187" t="s">
        <v>3098</v>
      </c>
      <c r="G225" s="187" t="s">
        <v>3155</v>
      </c>
      <c r="H225" s="187" t="s">
        <v>321</v>
      </c>
      <c r="I225" s="187"/>
      <c r="J225" s="142"/>
      <c r="K225" s="213" t="s">
        <v>3118</v>
      </c>
      <c r="O225" s="184"/>
      <c r="P225" s="184"/>
      <c r="Q225" s="184"/>
      <c r="R225" s="184"/>
      <c r="S225" s="184"/>
      <c r="T225" s="184"/>
      <c r="U225" s="184"/>
    </row>
    <row r="226" spans="1:21" ht="52" customHeight="1">
      <c r="A226" s="119" t="s">
        <v>3111</v>
      </c>
      <c r="B226" s="187" t="s">
        <v>3156</v>
      </c>
      <c r="C226" s="187" t="s">
        <v>321</v>
      </c>
      <c r="D226" s="193" t="s">
        <v>686</v>
      </c>
      <c r="E226" s="148"/>
      <c r="F226" s="187" t="s">
        <v>3098</v>
      </c>
      <c r="G226" s="187" t="s">
        <v>3157</v>
      </c>
      <c r="H226" s="187" t="s">
        <v>321</v>
      </c>
      <c r="I226" s="187"/>
      <c r="J226" s="142"/>
      <c r="K226" s="206" t="s">
        <v>3112</v>
      </c>
      <c r="O226" s="184"/>
      <c r="P226" s="184"/>
      <c r="Q226" s="184"/>
      <c r="R226" s="184"/>
      <c r="S226" s="184"/>
      <c r="T226" s="184"/>
      <c r="U226" s="184"/>
    </row>
    <row r="227" spans="1:21" ht="52" customHeight="1">
      <c r="A227" s="119" t="s">
        <v>3111</v>
      </c>
      <c r="B227" s="187" t="s">
        <v>3158</v>
      </c>
      <c r="C227" s="187" t="s">
        <v>321</v>
      </c>
      <c r="D227" s="193" t="s">
        <v>686</v>
      </c>
      <c r="E227" s="148"/>
      <c r="F227" s="187" t="s">
        <v>3098</v>
      </c>
      <c r="G227" s="187" t="s">
        <v>3159</v>
      </c>
      <c r="H227" s="187" t="s">
        <v>321</v>
      </c>
      <c r="I227" s="187"/>
      <c r="J227" s="142"/>
      <c r="K227" s="206" t="s">
        <v>3112</v>
      </c>
      <c r="O227" s="184"/>
      <c r="P227" s="184"/>
      <c r="Q227" s="184"/>
      <c r="R227" s="184"/>
      <c r="S227" s="184"/>
      <c r="T227" s="184"/>
      <c r="U227" s="184"/>
    </row>
    <row r="228" spans="1:21" ht="52" customHeight="1">
      <c r="A228" s="119" t="s">
        <v>3111</v>
      </c>
      <c r="B228" s="187" t="s">
        <v>3089</v>
      </c>
      <c r="C228" s="187" t="s">
        <v>321</v>
      </c>
      <c r="D228" s="193" t="s">
        <v>686</v>
      </c>
      <c r="E228" s="148"/>
      <c r="F228" s="187" t="s">
        <v>3098</v>
      </c>
      <c r="G228" s="187" t="s">
        <v>1333</v>
      </c>
      <c r="H228" s="187" t="s">
        <v>321</v>
      </c>
      <c r="I228" s="187"/>
      <c r="J228" s="142"/>
      <c r="K228" s="206" t="s">
        <v>3112</v>
      </c>
      <c r="O228" s="184"/>
      <c r="P228" s="184"/>
      <c r="Q228" s="184"/>
      <c r="R228" s="184"/>
      <c r="S228" s="184"/>
      <c r="T228" s="184"/>
      <c r="U228" s="184"/>
    </row>
    <row r="229" spans="1:21" ht="52" customHeight="1">
      <c r="A229" s="119" t="s">
        <v>3111</v>
      </c>
      <c r="B229" s="187" t="s">
        <v>634</v>
      </c>
      <c r="C229" s="187" t="s">
        <v>321</v>
      </c>
      <c r="D229" s="193" t="s">
        <v>686</v>
      </c>
      <c r="E229" s="148"/>
      <c r="F229" s="187" t="s">
        <v>3098</v>
      </c>
      <c r="G229" s="187" t="s">
        <v>635</v>
      </c>
      <c r="H229" s="187" t="s">
        <v>321</v>
      </c>
      <c r="I229" s="187"/>
      <c r="J229" s="142"/>
      <c r="K229" s="206" t="s">
        <v>3112</v>
      </c>
      <c r="O229" s="184"/>
      <c r="P229" s="184"/>
      <c r="Q229" s="184"/>
      <c r="R229" s="184"/>
      <c r="S229" s="184"/>
      <c r="T229" s="184"/>
      <c r="U229" s="184"/>
    </row>
    <row r="230" spans="1:21" ht="52" customHeight="1">
      <c r="A230" s="119" t="s">
        <v>3111</v>
      </c>
      <c r="B230" s="187" t="s">
        <v>3160</v>
      </c>
      <c r="C230" s="187" t="s">
        <v>321</v>
      </c>
      <c r="D230" s="193" t="s">
        <v>686</v>
      </c>
      <c r="E230" s="148"/>
      <c r="F230" s="187" t="s">
        <v>3098</v>
      </c>
      <c r="G230" s="187" t="s">
        <v>3161</v>
      </c>
      <c r="H230" s="187" t="s">
        <v>321</v>
      </c>
      <c r="I230" s="187"/>
      <c r="J230" s="142"/>
      <c r="K230" s="206" t="s">
        <v>3112</v>
      </c>
      <c r="O230" s="184"/>
      <c r="P230" s="184"/>
      <c r="Q230" s="184"/>
      <c r="R230" s="184"/>
      <c r="S230" s="184"/>
      <c r="T230" s="184"/>
      <c r="U230" s="184"/>
    </row>
    <row r="231" spans="1:21" ht="52" customHeight="1">
      <c r="A231" s="119" t="s">
        <v>3111</v>
      </c>
      <c r="B231" s="187" t="s">
        <v>130</v>
      </c>
      <c r="C231" s="187" t="s">
        <v>321</v>
      </c>
      <c r="D231" s="193" t="s">
        <v>686</v>
      </c>
      <c r="E231" s="148"/>
      <c r="F231" s="187" t="s">
        <v>3098</v>
      </c>
      <c r="G231" s="187" t="s">
        <v>284</v>
      </c>
      <c r="H231" s="187" t="s">
        <v>321</v>
      </c>
      <c r="I231" s="187"/>
      <c r="J231" s="142"/>
      <c r="K231" s="206" t="s">
        <v>3112</v>
      </c>
      <c r="O231" s="184"/>
      <c r="P231" s="184"/>
      <c r="Q231" s="184"/>
      <c r="R231" s="184"/>
      <c r="S231" s="184"/>
      <c r="T231" s="184"/>
      <c r="U231" s="184"/>
    </row>
    <row r="232" spans="1:21" ht="52" customHeight="1">
      <c r="A232" s="119" t="s">
        <v>3111</v>
      </c>
      <c r="B232" s="187" t="s">
        <v>134</v>
      </c>
      <c r="C232" s="187" t="s">
        <v>321</v>
      </c>
      <c r="D232" s="193" t="s">
        <v>686</v>
      </c>
      <c r="E232" s="148"/>
      <c r="F232" s="187" t="s">
        <v>3098</v>
      </c>
      <c r="G232" s="187" t="s">
        <v>286</v>
      </c>
      <c r="H232" s="187" t="s">
        <v>321</v>
      </c>
      <c r="I232" s="187"/>
      <c r="J232" s="142"/>
      <c r="K232" s="206" t="s">
        <v>3112</v>
      </c>
      <c r="O232" s="184"/>
      <c r="P232" s="184"/>
      <c r="Q232" s="184"/>
      <c r="R232" s="184"/>
      <c r="S232" s="184"/>
      <c r="T232" s="184"/>
      <c r="U232" s="184"/>
    </row>
    <row r="233" spans="1:21" ht="52" customHeight="1">
      <c r="A233" s="119" t="s">
        <v>3111</v>
      </c>
      <c r="B233" s="187" t="s">
        <v>128</v>
      </c>
      <c r="C233" s="187" t="s">
        <v>321</v>
      </c>
      <c r="D233" s="193" t="s">
        <v>686</v>
      </c>
      <c r="E233" s="148"/>
      <c r="F233" s="187" t="s">
        <v>3098</v>
      </c>
      <c r="G233" s="187" t="s">
        <v>283</v>
      </c>
      <c r="H233" s="187" t="s">
        <v>321</v>
      </c>
      <c r="I233" s="187"/>
      <c r="J233" s="142"/>
      <c r="K233" s="206" t="s">
        <v>3112</v>
      </c>
      <c r="O233" s="184"/>
      <c r="P233" s="184"/>
      <c r="Q233" s="184"/>
      <c r="R233" s="184"/>
      <c r="S233" s="184"/>
      <c r="T233" s="184"/>
      <c r="U233" s="184"/>
    </row>
    <row r="234" spans="1:21" ht="52" customHeight="1">
      <c r="A234" s="119" t="s">
        <v>3111</v>
      </c>
      <c r="B234" s="187" t="s">
        <v>132</v>
      </c>
      <c r="C234" s="187" t="s">
        <v>321</v>
      </c>
      <c r="D234" s="193" t="s">
        <v>686</v>
      </c>
      <c r="E234" s="148"/>
      <c r="F234" s="187" t="s">
        <v>3098</v>
      </c>
      <c r="G234" s="187" t="s">
        <v>285</v>
      </c>
      <c r="H234" s="187" t="s">
        <v>321</v>
      </c>
      <c r="I234" s="187"/>
      <c r="J234" s="142"/>
      <c r="K234" s="206" t="s">
        <v>3112</v>
      </c>
      <c r="O234" s="184"/>
      <c r="P234" s="184"/>
      <c r="Q234" s="184"/>
      <c r="R234" s="184"/>
      <c r="S234" s="184"/>
      <c r="T234" s="184"/>
      <c r="U234" s="184"/>
    </row>
    <row r="235" spans="1:21" ht="52" customHeight="1">
      <c r="A235" s="119" t="s">
        <v>3111</v>
      </c>
      <c r="B235" s="187" t="s">
        <v>126</v>
      </c>
      <c r="C235" s="187" t="s">
        <v>321</v>
      </c>
      <c r="D235" s="193" t="s">
        <v>686</v>
      </c>
      <c r="E235" s="148"/>
      <c r="F235" s="187" t="s">
        <v>3098</v>
      </c>
      <c r="G235" s="187" t="s">
        <v>282</v>
      </c>
      <c r="H235" s="187" t="s">
        <v>321</v>
      </c>
      <c r="I235" s="187"/>
      <c r="J235" s="142"/>
      <c r="K235" s="206" t="s">
        <v>3112</v>
      </c>
      <c r="O235" s="184"/>
      <c r="P235" s="184"/>
      <c r="Q235" s="184"/>
      <c r="R235" s="184"/>
      <c r="S235" s="184"/>
      <c r="T235" s="184"/>
      <c r="U235" s="184"/>
    </row>
    <row r="236" spans="1:21" ht="52" customHeight="1">
      <c r="A236" s="119" t="s">
        <v>3111</v>
      </c>
      <c r="B236" s="187" t="s">
        <v>141</v>
      </c>
      <c r="C236" s="187" t="s">
        <v>321</v>
      </c>
      <c r="D236" s="193" t="s">
        <v>686</v>
      </c>
      <c r="E236" s="148"/>
      <c r="F236" s="187" t="s">
        <v>3098</v>
      </c>
      <c r="G236" s="187" t="s">
        <v>3162</v>
      </c>
      <c r="H236" s="187" t="s">
        <v>321</v>
      </c>
      <c r="I236" s="187"/>
      <c r="J236" s="142"/>
      <c r="K236" s="206" t="s">
        <v>3112</v>
      </c>
      <c r="O236" s="184"/>
      <c r="P236" s="184"/>
      <c r="Q236" s="184"/>
      <c r="R236" s="184"/>
      <c r="S236" s="184"/>
      <c r="T236" s="184"/>
      <c r="U236" s="184"/>
    </row>
    <row r="237" spans="1:21" ht="52" customHeight="1">
      <c r="A237" s="119" t="s">
        <v>3111</v>
      </c>
      <c r="B237" s="187" t="s">
        <v>3163</v>
      </c>
      <c r="C237" s="187" t="s">
        <v>321</v>
      </c>
      <c r="D237" s="193" t="s">
        <v>686</v>
      </c>
      <c r="E237" s="148"/>
      <c r="F237" s="187" t="s">
        <v>3098</v>
      </c>
      <c r="G237" s="187" t="s">
        <v>3164</v>
      </c>
      <c r="H237" s="187" t="s">
        <v>321</v>
      </c>
      <c r="I237" s="187"/>
      <c r="J237" s="142"/>
      <c r="K237" s="206" t="s">
        <v>3112</v>
      </c>
      <c r="O237" s="184"/>
      <c r="P237" s="184"/>
      <c r="Q237" s="184"/>
      <c r="R237" s="184"/>
      <c r="S237" s="184"/>
      <c r="T237" s="184"/>
      <c r="U237" s="184"/>
    </row>
    <row r="238" spans="1:21" ht="52" customHeight="1">
      <c r="A238" s="119" t="s">
        <v>3111</v>
      </c>
      <c r="B238" s="187" t="s">
        <v>3165</v>
      </c>
      <c r="C238" s="187" t="s">
        <v>321</v>
      </c>
      <c r="D238" s="193" t="s">
        <v>686</v>
      </c>
      <c r="E238" s="148"/>
      <c r="F238" s="187" t="s">
        <v>3098</v>
      </c>
      <c r="G238" s="187" t="s">
        <v>3166</v>
      </c>
      <c r="H238" s="187" t="s">
        <v>321</v>
      </c>
      <c r="I238" s="187"/>
      <c r="J238" s="142"/>
      <c r="K238" s="206" t="s">
        <v>3112</v>
      </c>
      <c r="O238" s="184"/>
      <c r="P238" s="184"/>
      <c r="Q238" s="184"/>
      <c r="R238" s="184"/>
      <c r="S238" s="184"/>
      <c r="T238" s="184"/>
      <c r="U238" s="184"/>
    </row>
    <row r="239" spans="1:21" ht="52" customHeight="1">
      <c r="A239" s="119" t="s">
        <v>3111</v>
      </c>
      <c r="B239" s="187" t="s">
        <v>472</v>
      </c>
      <c r="C239" s="187" t="s">
        <v>321</v>
      </c>
      <c r="D239" s="193" t="s">
        <v>686</v>
      </c>
      <c r="E239" s="148"/>
      <c r="F239" s="187" t="s">
        <v>3098</v>
      </c>
      <c r="G239" s="187" t="s">
        <v>3167</v>
      </c>
      <c r="H239" s="187" t="s">
        <v>321</v>
      </c>
      <c r="I239" s="187"/>
      <c r="J239" s="142"/>
      <c r="K239" s="206" t="s">
        <v>3112</v>
      </c>
      <c r="O239" s="184"/>
      <c r="P239" s="184"/>
      <c r="Q239" s="184"/>
      <c r="R239" s="184"/>
      <c r="S239" s="184"/>
      <c r="T239" s="184"/>
      <c r="U239" s="184"/>
    </row>
    <row r="240" spans="1:21" ht="52" customHeight="1">
      <c r="A240" s="119" t="s">
        <v>3111</v>
      </c>
      <c r="B240" s="187" t="s">
        <v>3168</v>
      </c>
      <c r="C240" s="187" t="s">
        <v>321</v>
      </c>
      <c r="D240" s="193" t="s">
        <v>922</v>
      </c>
      <c r="E240" s="187" t="s">
        <v>3169</v>
      </c>
      <c r="F240" s="187" t="s">
        <v>3098</v>
      </c>
      <c r="G240" s="187" t="s">
        <v>3170</v>
      </c>
      <c r="H240" s="187" t="s">
        <v>321</v>
      </c>
      <c r="I240" s="187"/>
      <c r="J240" s="142"/>
      <c r="K240" s="206" t="s">
        <v>3118</v>
      </c>
      <c r="O240" s="184"/>
      <c r="P240" s="184"/>
      <c r="Q240" s="184"/>
      <c r="R240" s="184"/>
      <c r="S240" s="184"/>
      <c r="T240" s="184"/>
      <c r="U240" s="184"/>
    </row>
    <row r="241" spans="1:21" ht="52" customHeight="1">
      <c r="A241" s="119" t="s">
        <v>3111</v>
      </c>
      <c r="B241" s="187" t="s">
        <v>1624</v>
      </c>
      <c r="C241" s="187" t="s">
        <v>321</v>
      </c>
      <c r="D241" s="193" t="s">
        <v>686</v>
      </c>
      <c r="E241" s="148"/>
      <c r="F241" s="187" t="s">
        <v>3098</v>
      </c>
      <c r="G241" s="187" t="s">
        <v>3171</v>
      </c>
      <c r="H241" s="187" t="s">
        <v>321</v>
      </c>
      <c r="I241" s="187"/>
      <c r="J241" s="142"/>
      <c r="K241" s="206" t="s">
        <v>3112</v>
      </c>
      <c r="O241" s="184"/>
      <c r="P241" s="184"/>
      <c r="Q241" s="184"/>
      <c r="R241" s="184"/>
      <c r="S241" s="184"/>
      <c r="T241" s="184"/>
      <c r="U241" s="184"/>
    </row>
    <row r="242" spans="1:21" ht="52" customHeight="1">
      <c r="A242" s="119" t="s">
        <v>3111</v>
      </c>
      <c r="B242" s="187" t="s">
        <v>3172</v>
      </c>
      <c r="C242" s="187" t="s">
        <v>321</v>
      </c>
      <c r="D242" s="193" t="s">
        <v>686</v>
      </c>
      <c r="E242" s="148"/>
      <c r="F242" s="187" t="s">
        <v>3098</v>
      </c>
      <c r="G242" s="187" t="s">
        <v>3173</v>
      </c>
      <c r="H242" s="187" t="s">
        <v>321</v>
      </c>
      <c r="I242" s="187"/>
      <c r="J242" s="142"/>
      <c r="K242" s="206" t="s">
        <v>3112</v>
      </c>
      <c r="O242" s="184"/>
      <c r="P242" s="184"/>
      <c r="Q242" s="184"/>
      <c r="R242" s="184"/>
      <c r="S242" s="184"/>
      <c r="T242" s="184"/>
      <c r="U242" s="184"/>
    </row>
    <row r="243" spans="1:21" ht="52" customHeight="1">
      <c r="A243" s="119" t="s">
        <v>3111</v>
      </c>
      <c r="B243" s="187" t="s">
        <v>3174</v>
      </c>
      <c r="C243" s="187" t="s">
        <v>321</v>
      </c>
      <c r="D243" s="193" t="s">
        <v>686</v>
      </c>
      <c r="E243" s="148"/>
      <c r="F243" s="187" t="s">
        <v>3098</v>
      </c>
      <c r="G243" s="187" t="s">
        <v>3175</v>
      </c>
      <c r="H243" s="187" t="s">
        <v>321</v>
      </c>
      <c r="I243" s="187"/>
      <c r="J243" s="142"/>
      <c r="K243" s="206" t="s">
        <v>3112</v>
      </c>
      <c r="O243" s="184"/>
      <c r="P243" s="184"/>
      <c r="Q243" s="184"/>
      <c r="R243" s="184"/>
      <c r="S243" s="184"/>
      <c r="T243" s="184"/>
      <c r="U243" s="184"/>
    </row>
    <row r="244" spans="1:21" ht="52" customHeight="1">
      <c r="A244" s="119" t="s">
        <v>3111</v>
      </c>
      <c r="B244" s="187" t="s">
        <v>2050</v>
      </c>
      <c r="C244" s="187" t="s">
        <v>321</v>
      </c>
      <c r="D244" s="193" t="s">
        <v>686</v>
      </c>
      <c r="E244" s="148"/>
      <c r="F244" s="187" t="s">
        <v>3098</v>
      </c>
      <c r="G244" s="187" t="s">
        <v>3176</v>
      </c>
      <c r="H244" s="187" t="s">
        <v>321</v>
      </c>
      <c r="I244" s="187"/>
      <c r="J244" s="142"/>
      <c r="K244" s="206" t="s">
        <v>3112</v>
      </c>
      <c r="O244" s="184"/>
      <c r="P244" s="184"/>
      <c r="Q244" s="184"/>
      <c r="R244" s="184"/>
      <c r="S244" s="184"/>
      <c r="T244" s="184"/>
      <c r="U244" s="184"/>
    </row>
    <row r="245" spans="1:21" ht="52" customHeight="1">
      <c r="A245" s="119" t="s">
        <v>3111</v>
      </c>
      <c r="B245" s="187" t="s">
        <v>140</v>
      </c>
      <c r="C245" s="187" t="s">
        <v>321</v>
      </c>
      <c r="D245" s="193" t="s">
        <v>686</v>
      </c>
      <c r="E245" s="148"/>
      <c r="F245" s="187" t="s">
        <v>3098</v>
      </c>
      <c r="G245" s="187" t="s">
        <v>289</v>
      </c>
      <c r="H245" s="187" t="s">
        <v>321</v>
      </c>
      <c r="I245" s="187"/>
      <c r="J245" s="142"/>
      <c r="K245" s="206" t="s">
        <v>3112</v>
      </c>
      <c r="O245" s="184"/>
      <c r="P245" s="184"/>
      <c r="Q245" s="184"/>
      <c r="R245" s="184"/>
      <c r="S245" s="184"/>
      <c r="T245" s="184"/>
      <c r="U245" s="184"/>
    </row>
    <row r="246" spans="1:21" ht="52" customHeight="1">
      <c r="A246" s="119" t="s">
        <v>3111</v>
      </c>
      <c r="B246" s="187" t="s">
        <v>2049</v>
      </c>
      <c r="C246" s="187" t="s">
        <v>321</v>
      </c>
      <c r="D246" s="193" t="s">
        <v>686</v>
      </c>
      <c r="E246" s="148"/>
      <c r="F246" s="187" t="s">
        <v>3098</v>
      </c>
      <c r="G246" s="187" t="s">
        <v>3177</v>
      </c>
      <c r="H246" s="187" t="s">
        <v>321</v>
      </c>
      <c r="I246" s="187"/>
      <c r="J246" s="142"/>
      <c r="K246" s="206" t="s">
        <v>3112</v>
      </c>
      <c r="O246" s="184"/>
      <c r="P246" s="184"/>
      <c r="Q246" s="184"/>
      <c r="R246" s="184"/>
      <c r="S246" s="184"/>
      <c r="T246" s="184"/>
      <c r="U246" s="184"/>
    </row>
    <row r="247" spans="1:21" ht="52" customHeight="1">
      <c r="A247" s="119" t="s">
        <v>3111</v>
      </c>
      <c r="B247" s="187" t="s">
        <v>138</v>
      </c>
      <c r="C247" s="187" t="s">
        <v>321</v>
      </c>
      <c r="D247" s="193" t="s">
        <v>686</v>
      </c>
      <c r="E247" s="148"/>
      <c r="F247" s="187" t="s">
        <v>3098</v>
      </c>
      <c r="G247" s="187" t="s">
        <v>288</v>
      </c>
      <c r="H247" s="187" t="s">
        <v>321</v>
      </c>
      <c r="I247" s="187"/>
      <c r="J247" s="142"/>
      <c r="K247" s="206" t="s">
        <v>3112</v>
      </c>
      <c r="O247" s="184"/>
      <c r="P247" s="184"/>
      <c r="Q247" s="184"/>
      <c r="R247" s="184"/>
      <c r="S247" s="184"/>
      <c r="T247" s="184"/>
      <c r="U247" s="184"/>
    </row>
    <row r="248" spans="1:21" ht="52" customHeight="1">
      <c r="A248" s="119" t="s">
        <v>3111</v>
      </c>
      <c r="B248" s="187" t="s">
        <v>2048</v>
      </c>
      <c r="C248" s="187" t="s">
        <v>321</v>
      </c>
      <c r="D248" s="193" t="s">
        <v>686</v>
      </c>
      <c r="E248" s="148"/>
      <c r="F248" s="187" t="s">
        <v>3098</v>
      </c>
      <c r="G248" s="187" t="s">
        <v>3178</v>
      </c>
      <c r="H248" s="187" t="s">
        <v>321</v>
      </c>
      <c r="I248" s="187"/>
      <c r="J248" s="142"/>
      <c r="K248" s="206" t="s">
        <v>3112</v>
      </c>
      <c r="O248" s="184"/>
      <c r="P248" s="184"/>
      <c r="Q248" s="184"/>
      <c r="R248" s="184"/>
      <c r="S248" s="184"/>
      <c r="T248" s="184"/>
      <c r="U248" s="184"/>
    </row>
    <row r="249" spans="1:21" ht="52" customHeight="1">
      <c r="A249" s="119" t="s">
        <v>3111</v>
      </c>
      <c r="B249" s="187" t="s">
        <v>136</v>
      </c>
      <c r="C249" s="187" t="s">
        <v>321</v>
      </c>
      <c r="D249" s="193" t="s">
        <v>686</v>
      </c>
      <c r="E249" s="148"/>
      <c r="F249" s="187" t="s">
        <v>3098</v>
      </c>
      <c r="G249" s="187" t="s">
        <v>287</v>
      </c>
      <c r="H249" s="187" t="s">
        <v>321</v>
      </c>
      <c r="I249" s="187"/>
      <c r="J249" s="142"/>
      <c r="K249" s="206" t="s">
        <v>3112</v>
      </c>
      <c r="O249" s="184"/>
      <c r="P249" s="184"/>
      <c r="Q249" s="184"/>
      <c r="R249" s="184"/>
      <c r="S249" s="184"/>
      <c r="T249" s="184"/>
      <c r="U249" s="184"/>
    </row>
    <row r="250" spans="1:21" ht="52" customHeight="1">
      <c r="A250" s="119" t="s">
        <v>3111</v>
      </c>
      <c r="B250" s="187" t="s">
        <v>2067</v>
      </c>
      <c r="C250" s="187" t="s">
        <v>321</v>
      </c>
      <c r="D250" s="193" t="s">
        <v>686</v>
      </c>
      <c r="E250" s="148"/>
      <c r="F250" s="187" t="s">
        <v>3098</v>
      </c>
      <c r="G250" s="187" t="s">
        <v>3179</v>
      </c>
      <c r="H250" s="187" t="s">
        <v>321</v>
      </c>
      <c r="I250" s="187"/>
      <c r="J250" s="142"/>
      <c r="K250" s="206" t="s">
        <v>3112</v>
      </c>
      <c r="O250" s="184"/>
      <c r="P250" s="184"/>
      <c r="Q250" s="184"/>
      <c r="R250" s="184"/>
      <c r="S250" s="184"/>
      <c r="T250" s="184"/>
      <c r="U250" s="184"/>
    </row>
    <row r="251" spans="1:21" ht="52" customHeight="1">
      <c r="A251" s="119" t="s">
        <v>3111</v>
      </c>
      <c r="B251" s="187" t="s">
        <v>3180</v>
      </c>
      <c r="C251" s="187" t="s">
        <v>321</v>
      </c>
      <c r="D251" s="193" t="s">
        <v>686</v>
      </c>
      <c r="E251" s="148"/>
      <c r="F251" s="187" t="s">
        <v>3098</v>
      </c>
      <c r="G251" s="187" t="s">
        <v>3181</v>
      </c>
      <c r="H251" s="187" t="s">
        <v>321</v>
      </c>
      <c r="I251" s="187"/>
      <c r="J251" s="142"/>
      <c r="K251" s="206" t="s">
        <v>3112</v>
      </c>
      <c r="O251" s="184"/>
      <c r="P251" s="184"/>
      <c r="Q251" s="184"/>
      <c r="R251" s="184"/>
      <c r="S251" s="184"/>
      <c r="T251" s="184"/>
      <c r="U251" s="184"/>
    </row>
    <row r="252" spans="1:21" ht="52" customHeight="1">
      <c r="A252" s="119" t="s">
        <v>3111</v>
      </c>
      <c r="B252" s="187" t="s">
        <v>3182</v>
      </c>
      <c r="C252" s="187" t="s">
        <v>321</v>
      </c>
      <c r="D252" s="193" t="s">
        <v>686</v>
      </c>
      <c r="E252" s="148"/>
      <c r="F252" s="187" t="s">
        <v>3098</v>
      </c>
      <c r="G252" s="187" t="s">
        <v>3183</v>
      </c>
      <c r="H252" s="187" t="s">
        <v>321</v>
      </c>
      <c r="I252" s="187"/>
      <c r="J252" s="142"/>
      <c r="K252" s="206" t="s">
        <v>3112</v>
      </c>
      <c r="O252" s="184"/>
      <c r="P252" s="184"/>
      <c r="Q252" s="184"/>
      <c r="R252" s="184"/>
      <c r="S252" s="184"/>
      <c r="T252" s="184"/>
      <c r="U252" s="184"/>
    </row>
    <row r="253" spans="1:21" ht="52" customHeight="1">
      <c r="A253" s="119" t="s">
        <v>3111</v>
      </c>
      <c r="B253" s="187" t="s">
        <v>3184</v>
      </c>
      <c r="C253" s="187" t="s">
        <v>321</v>
      </c>
      <c r="D253" s="193" t="s">
        <v>686</v>
      </c>
      <c r="E253" s="148"/>
      <c r="F253" s="187" t="s">
        <v>3098</v>
      </c>
      <c r="G253" s="187" t="s">
        <v>3185</v>
      </c>
      <c r="H253" s="187" t="s">
        <v>321</v>
      </c>
      <c r="I253" s="187"/>
      <c r="J253" s="142"/>
      <c r="K253" s="206" t="s">
        <v>3112</v>
      </c>
      <c r="O253" s="184"/>
      <c r="P253" s="184"/>
      <c r="Q253" s="184"/>
      <c r="R253" s="184"/>
      <c r="S253" s="184"/>
      <c r="T253" s="184"/>
      <c r="U253" s="184"/>
    </row>
    <row r="254" spans="1:21" ht="52" customHeight="1">
      <c r="A254" s="119" t="s">
        <v>3111</v>
      </c>
      <c r="B254" s="187" t="s">
        <v>3186</v>
      </c>
      <c r="C254" s="187" t="s">
        <v>321</v>
      </c>
      <c r="D254" s="193" t="s">
        <v>686</v>
      </c>
      <c r="E254" s="148"/>
      <c r="F254" s="187" t="s">
        <v>3098</v>
      </c>
      <c r="G254" s="187" t="s">
        <v>3187</v>
      </c>
      <c r="H254" s="187" t="s">
        <v>321</v>
      </c>
      <c r="I254" s="187"/>
      <c r="J254" s="142"/>
      <c r="K254" s="206" t="s">
        <v>3112</v>
      </c>
      <c r="O254" s="184"/>
      <c r="P254" s="184"/>
      <c r="Q254" s="184"/>
      <c r="R254" s="184"/>
      <c r="S254" s="184"/>
      <c r="T254" s="184"/>
      <c r="U254" s="184"/>
    </row>
    <row r="255" spans="1:21" ht="52" customHeight="1">
      <c r="A255" s="119" t="s">
        <v>3111</v>
      </c>
      <c r="B255" s="187" t="s">
        <v>3188</v>
      </c>
      <c r="C255" s="187" t="s">
        <v>321</v>
      </c>
      <c r="D255" s="193" t="s">
        <v>686</v>
      </c>
      <c r="E255" s="148"/>
      <c r="F255" s="187" t="s">
        <v>3098</v>
      </c>
      <c r="G255" s="187" t="s">
        <v>3189</v>
      </c>
      <c r="H255" s="187" t="s">
        <v>321</v>
      </c>
      <c r="I255" s="187"/>
      <c r="J255" s="142"/>
      <c r="K255" s="206" t="s">
        <v>3112</v>
      </c>
      <c r="O255" s="184"/>
      <c r="P255" s="184"/>
      <c r="Q255" s="184"/>
      <c r="R255" s="184"/>
      <c r="S255" s="184"/>
      <c r="T255" s="184"/>
      <c r="U255" s="184"/>
    </row>
    <row r="256" spans="1:21" ht="52" customHeight="1">
      <c r="A256" s="119" t="s">
        <v>3111</v>
      </c>
      <c r="B256" s="187" t="s">
        <v>2069</v>
      </c>
      <c r="C256" s="187" t="s">
        <v>321</v>
      </c>
      <c r="D256" s="193" t="s">
        <v>686</v>
      </c>
      <c r="E256" s="148"/>
      <c r="F256" s="187" t="s">
        <v>3098</v>
      </c>
      <c r="G256" s="187" t="s">
        <v>3190</v>
      </c>
      <c r="H256" s="187" t="s">
        <v>321</v>
      </c>
      <c r="I256" s="187"/>
      <c r="J256" s="142"/>
      <c r="K256" s="206" t="s">
        <v>3112</v>
      </c>
      <c r="O256" s="184"/>
      <c r="P256" s="184"/>
      <c r="Q256" s="184"/>
      <c r="R256" s="184"/>
      <c r="S256" s="184"/>
      <c r="T256" s="184"/>
      <c r="U256" s="184"/>
    </row>
    <row r="257" spans="1:21" ht="52" customHeight="1">
      <c r="A257" s="119" t="s">
        <v>3111</v>
      </c>
      <c r="B257" s="187" t="s">
        <v>3191</v>
      </c>
      <c r="C257" s="187" t="s">
        <v>321</v>
      </c>
      <c r="D257" s="193" t="s">
        <v>686</v>
      </c>
      <c r="E257" s="148"/>
      <c r="F257" s="187" t="s">
        <v>3098</v>
      </c>
      <c r="G257" s="187" t="s">
        <v>3192</v>
      </c>
      <c r="H257" s="187" t="s">
        <v>321</v>
      </c>
      <c r="I257" s="187"/>
      <c r="J257" s="142"/>
      <c r="K257" s="206" t="s">
        <v>3112</v>
      </c>
      <c r="O257" s="184"/>
      <c r="P257" s="184"/>
      <c r="Q257" s="184"/>
      <c r="R257" s="184"/>
      <c r="S257" s="184"/>
      <c r="T257" s="184"/>
      <c r="U257" s="184"/>
    </row>
    <row r="258" spans="1:21" ht="52" customHeight="1">
      <c r="A258" s="119" t="s">
        <v>3111</v>
      </c>
      <c r="B258" s="187" t="s">
        <v>3193</v>
      </c>
      <c r="C258" s="187" t="s">
        <v>321</v>
      </c>
      <c r="D258" s="193" t="s">
        <v>686</v>
      </c>
      <c r="E258" s="148"/>
      <c r="F258" s="187" t="s">
        <v>3098</v>
      </c>
      <c r="G258" s="187" t="s">
        <v>3194</v>
      </c>
      <c r="H258" s="187" t="s">
        <v>321</v>
      </c>
      <c r="I258" s="187"/>
      <c r="J258" s="142"/>
      <c r="K258" s="206" t="s">
        <v>3112</v>
      </c>
      <c r="O258" s="184"/>
      <c r="P258" s="184"/>
      <c r="Q258" s="184"/>
      <c r="R258" s="184"/>
      <c r="S258" s="184"/>
      <c r="T258" s="184"/>
      <c r="U258" s="184"/>
    </row>
    <row r="259" spans="1:21" ht="52" customHeight="1">
      <c r="A259" s="119" t="s">
        <v>3111</v>
      </c>
      <c r="B259" s="187" t="s">
        <v>3195</v>
      </c>
      <c r="C259" s="187" t="s">
        <v>321</v>
      </c>
      <c r="D259" s="193" t="s">
        <v>686</v>
      </c>
      <c r="E259" s="148"/>
      <c r="F259" s="187" t="s">
        <v>3098</v>
      </c>
      <c r="G259" s="187" t="s">
        <v>3196</v>
      </c>
      <c r="H259" s="187" t="s">
        <v>321</v>
      </c>
      <c r="I259" s="187"/>
      <c r="J259" s="142"/>
      <c r="K259" s="206" t="s">
        <v>3112</v>
      </c>
      <c r="O259" s="184"/>
      <c r="P259" s="184"/>
      <c r="Q259" s="184"/>
      <c r="R259" s="184"/>
      <c r="S259" s="184"/>
      <c r="T259" s="184"/>
      <c r="U259" s="184"/>
    </row>
    <row r="260" spans="1:21" ht="52" customHeight="1">
      <c r="A260" s="119" t="s">
        <v>3111</v>
      </c>
      <c r="B260" s="187" t="s">
        <v>3197</v>
      </c>
      <c r="C260" s="187" t="s">
        <v>321</v>
      </c>
      <c r="D260" s="193" t="s">
        <v>686</v>
      </c>
      <c r="E260" s="148"/>
      <c r="F260" s="187" t="s">
        <v>3098</v>
      </c>
      <c r="G260" s="187" t="s">
        <v>3198</v>
      </c>
      <c r="H260" s="187" t="s">
        <v>321</v>
      </c>
      <c r="I260" s="187"/>
      <c r="J260" s="142"/>
      <c r="K260" s="206" t="s">
        <v>3112</v>
      </c>
      <c r="O260" s="184"/>
      <c r="P260" s="184"/>
      <c r="Q260" s="184"/>
      <c r="R260" s="184"/>
      <c r="S260" s="184"/>
      <c r="T260" s="184"/>
      <c r="U260" s="184"/>
    </row>
    <row r="261" spans="1:21" ht="52" customHeight="1">
      <c r="A261" s="119" t="s">
        <v>3111</v>
      </c>
      <c r="B261" s="187" t="s">
        <v>3199</v>
      </c>
      <c r="C261" s="187" t="s">
        <v>321</v>
      </c>
      <c r="D261" s="193" t="s">
        <v>686</v>
      </c>
      <c r="E261" s="148"/>
      <c r="F261" s="187" t="s">
        <v>3098</v>
      </c>
      <c r="G261" s="187" t="s">
        <v>3200</v>
      </c>
      <c r="H261" s="187" t="s">
        <v>321</v>
      </c>
      <c r="I261" s="187"/>
      <c r="J261" s="142"/>
      <c r="K261" s="206" t="s">
        <v>3112</v>
      </c>
      <c r="O261" s="184"/>
      <c r="P261" s="184"/>
      <c r="Q261" s="184"/>
      <c r="R261" s="184"/>
      <c r="S261" s="184"/>
      <c r="T261" s="184"/>
      <c r="U261" s="184"/>
    </row>
    <row r="262" spans="1:21" ht="52" customHeight="1">
      <c r="A262" s="119" t="s">
        <v>3111</v>
      </c>
      <c r="B262" s="187" t="s">
        <v>1673</v>
      </c>
      <c r="C262" s="187" t="s">
        <v>321</v>
      </c>
      <c r="D262" s="193" t="s">
        <v>686</v>
      </c>
      <c r="E262" s="148"/>
      <c r="F262" s="187" t="s">
        <v>3098</v>
      </c>
      <c r="G262" s="187" t="s">
        <v>3201</v>
      </c>
      <c r="H262" s="187" t="s">
        <v>321</v>
      </c>
      <c r="I262" s="187"/>
      <c r="J262" s="142"/>
      <c r="K262" s="206" t="s">
        <v>3112</v>
      </c>
      <c r="O262" s="184"/>
      <c r="P262" s="184"/>
      <c r="Q262" s="184"/>
      <c r="R262" s="184"/>
      <c r="S262" s="184"/>
      <c r="T262" s="184"/>
      <c r="U262" s="184"/>
    </row>
    <row r="263" spans="1:21" ht="52" customHeight="1">
      <c r="A263" s="119" t="s">
        <v>3111</v>
      </c>
      <c r="B263" s="187" t="s">
        <v>3202</v>
      </c>
      <c r="C263" s="187" t="s">
        <v>321</v>
      </c>
      <c r="D263" s="193" t="s">
        <v>686</v>
      </c>
      <c r="E263" s="148"/>
      <c r="F263" s="187" t="s">
        <v>3098</v>
      </c>
      <c r="G263" s="187" t="s">
        <v>3203</v>
      </c>
      <c r="H263" s="187" t="s">
        <v>321</v>
      </c>
      <c r="I263" s="187"/>
      <c r="J263" s="142"/>
      <c r="K263" s="206" t="s">
        <v>3112</v>
      </c>
      <c r="O263" s="184"/>
      <c r="P263" s="184"/>
      <c r="Q263" s="184"/>
      <c r="R263" s="184"/>
      <c r="S263" s="184"/>
      <c r="T263" s="184"/>
      <c r="U263" s="184"/>
    </row>
    <row r="264" spans="1:21" ht="52" customHeight="1">
      <c r="A264" s="119" t="s">
        <v>3111</v>
      </c>
      <c r="B264" s="187" t="s">
        <v>3204</v>
      </c>
      <c r="C264" s="187" t="s">
        <v>321</v>
      </c>
      <c r="D264" s="193" t="s">
        <v>686</v>
      </c>
      <c r="E264" s="148"/>
      <c r="F264" s="187" t="s">
        <v>3098</v>
      </c>
      <c r="G264" s="187" t="s">
        <v>3205</v>
      </c>
      <c r="H264" s="187" t="s">
        <v>321</v>
      </c>
      <c r="I264" s="187"/>
      <c r="J264" s="142"/>
      <c r="K264" s="206" t="s">
        <v>3112</v>
      </c>
      <c r="O264" s="184"/>
      <c r="P264" s="184"/>
      <c r="Q264" s="184"/>
      <c r="R264" s="184"/>
      <c r="S264" s="184"/>
      <c r="T264" s="184"/>
      <c r="U264" s="184"/>
    </row>
    <row r="265" spans="1:21" ht="52" customHeight="1">
      <c r="A265" s="119" t="s">
        <v>3206</v>
      </c>
      <c r="B265" s="187" t="s">
        <v>3207</v>
      </c>
      <c r="C265" s="187" t="s">
        <v>321</v>
      </c>
      <c r="D265" s="193" t="s">
        <v>263</v>
      </c>
      <c r="E265" s="119" t="s">
        <v>3208</v>
      </c>
      <c r="F265" s="187" t="s">
        <v>3098</v>
      </c>
      <c r="G265" s="187" t="s">
        <v>3209</v>
      </c>
      <c r="H265" s="187" t="s">
        <v>321</v>
      </c>
      <c r="I265" s="187"/>
      <c r="J265" s="142"/>
      <c r="K265" s="213" t="s">
        <v>3118</v>
      </c>
      <c r="O265" s="184"/>
      <c r="P265" s="184"/>
      <c r="Q265" s="184"/>
      <c r="R265" s="184"/>
      <c r="S265" s="184"/>
      <c r="T265" s="184"/>
      <c r="U265" s="184"/>
    </row>
    <row r="266" spans="1:21" ht="52" customHeight="1">
      <c r="A266" s="119" t="s">
        <v>3111</v>
      </c>
      <c r="B266" s="187" t="s">
        <v>3210</v>
      </c>
      <c r="C266" s="187" t="s">
        <v>321</v>
      </c>
      <c r="D266" s="193"/>
      <c r="E266" s="119"/>
      <c r="F266" s="187" t="s">
        <v>3098</v>
      </c>
      <c r="G266" s="187" t="s">
        <v>3211</v>
      </c>
      <c r="H266" s="187" t="s">
        <v>321</v>
      </c>
      <c r="I266" s="187"/>
      <c r="J266" s="142"/>
      <c r="K266" s="213" t="s">
        <v>3118</v>
      </c>
      <c r="O266" s="184"/>
      <c r="P266" s="184"/>
      <c r="Q266" s="184"/>
      <c r="R266" s="184"/>
      <c r="S266" s="184"/>
      <c r="T266" s="184"/>
      <c r="U266" s="184"/>
    </row>
    <row r="267" spans="1:21" ht="52" customHeight="1">
      <c r="A267" s="119" t="s">
        <v>3212</v>
      </c>
      <c r="B267" s="187" t="s">
        <v>3213</v>
      </c>
      <c r="C267" s="187" t="s">
        <v>321</v>
      </c>
      <c r="D267" s="193" t="s">
        <v>263</v>
      </c>
      <c r="E267" s="119" t="s">
        <v>3214</v>
      </c>
      <c r="F267" s="187" t="s">
        <v>3098</v>
      </c>
      <c r="G267" s="187" t="s">
        <v>3215</v>
      </c>
      <c r="H267" s="187" t="s">
        <v>321</v>
      </c>
      <c r="I267" s="187"/>
      <c r="J267" s="142"/>
      <c r="K267" s="206" t="s">
        <v>2988</v>
      </c>
      <c r="O267" s="184"/>
      <c r="P267" s="184"/>
      <c r="Q267" s="184"/>
      <c r="R267" s="184"/>
      <c r="S267" s="184"/>
      <c r="T267" s="184"/>
      <c r="U267" s="184"/>
    </row>
    <row r="268" spans="1:21" ht="52" customHeight="1">
      <c r="A268" s="119" t="s">
        <v>3216</v>
      </c>
      <c r="B268" s="187" t="s">
        <v>3217</v>
      </c>
      <c r="C268" s="187" t="s">
        <v>321</v>
      </c>
      <c r="D268" s="193" t="s">
        <v>263</v>
      </c>
      <c r="E268" s="148" t="s">
        <v>3218</v>
      </c>
      <c r="F268" s="187" t="s">
        <v>3098</v>
      </c>
      <c r="G268" s="187" t="s">
        <v>3219</v>
      </c>
      <c r="H268" s="187" t="s">
        <v>321</v>
      </c>
      <c r="I268" s="187"/>
      <c r="J268" s="142"/>
      <c r="K268" s="206" t="s">
        <v>2988</v>
      </c>
      <c r="O268" s="184"/>
      <c r="P268" s="184"/>
      <c r="Q268" s="184"/>
      <c r="R268" s="184"/>
      <c r="S268" s="184"/>
      <c r="T268" s="184"/>
      <c r="U268" s="184"/>
    </row>
    <row r="269" spans="1:21" ht="52" customHeight="1">
      <c r="A269" s="119" t="s">
        <v>3111</v>
      </c>
      <c r="B269" s="187" t="s">
        <v>3220</v>
      </c>
      <c r="C269" s="187" t="s">
        <v>321</v>
      </c>
      <c r="D269" s="193" t="s">
        <v>263</v>
      </c>
      <c r="E269" s="148" t="s">
        <v>3221</v>
      </c>
      <c r="F269" s="187" t="s">
        <v>3098</v>
      </c>
      <c r="G269" s="187" t="s">
        <v>3222</v>
      </c>
      <c r="H269" s="193" t="s">
        <v>321</v>
      </c>
      <c r="I269" s="187"/>
      <c r="J269" s="193"/>
      <c r="K269" s="206" t="s">
        <v>2988</v>
      </c>
      <c r="O269" s="184"/>
      <c r="P269" s="184"/>
      <c r="Q269" s="184"/>
      <c r="R269" s="184"/>
      <c r="S269" s="184"/>
      <c r="T269" s="184"/>
      <c r="U269" s="184"/>
    </row>
    <row r="270" spans="1:21" ht="52" customHeight="1">
      <c r="A270" s="119" t="s">
        <v>3111</v>
      </c>
      <c r="B270" s="187" t="s">
        <v>464</v>
      </c>
      <c r="C270" s="187" t="s">
        <v>321</v>
      </c>
      <c r="D270" s="193"/>
      <c r="E270" s="148"/>
      <c r="F270" s="187" t="s">
        <v>3098</v>
      </c>
      <c r="G270" s="187" t="s">
        <v>3223</v>
      </c>
      <c r="H270" s="193" t="s">
        <v>321</v>
      </c>
      <c r="I270" s="187"/>
      <c r="J270" s="193"/>
      <c r="K270" s="206" t="s">
        <v>3112</v>
      </c>
      <c r="O270" s="184"/>
      <c r="P270" s="184"/>
      <c r="Q270" s="184"/>
      <c r="R270" s="184"/>
      <c r="S270" s="184"/>
      <c r="T270" s="184"/>
      <c r="U270" s="184"/>
    </row>
    <row r="271" spans="1:21" ht="52" customHeight="1">
      <c r="A271" s="119" t="s">
        <v>3111</v>
      </c>
      <c r="B271" s="187" t="s">
        <v>3224</v>
      </c>
      <c r="C271" s="187" t="s">
        <v>321</v>
      </c>
      <c r="D271" s="193" t="s">
        <v>263</v>
      </c>
      <c r="E271" s="148" t="s">
        <v>3225</v>
      </c>
      <c r="F271" s="187" t="s">
        <v>3098</v>
      </c>
      <c r="G271" s="187" t="s">
        <v>3226</v>
      </c>
      <c r="H271" s="193" t="s">
        <v>321</v>
      </c>
      <c r="I271" s="187"/>
      <c r="J271" s="187"/>
      <c r="K271" s="206" t="s">
        <v>2988</v>
      </c>
      <c r="O271" s="184"/>
      <c r="P271" s="184"/>
      <c r="Q271" s="184"/>
      <c r="R271" s="184"/>
      <c r="S271" s="184"/>
      <c r="T271" s="184"/>
      <c r="U271" s="184"/>
    </row>
    <row r="272" spans="1:21" ht="52" customHeight="1">
      <c r="A272" s="119" t="s">
        <v>3111</v>
      </c>
      <c r="B272" s="187"/>
      <c r="C272" s="187" t="s">
        <v>321</v>
      </c>
      <c r="D272" s="193" t="s">
        <v>263</v>
      </c>
      <c r="E272" s="148" t="s">
        <v>3227</v>
      </c>
      <c r="F272" s="187" t="s">
        <v>3098</v>
      </c>
      <c r="G272" s="187" t="s">
        <v>3228</v>
      </c>
      <c r="H272" s="193" t="s">
        <v>321</v>
      </c>
      <c r="I272" s="187"/>
      <c r="J272" s="193"/>
      <c r="K272" s="206" t="s">
        <v>2988</v>
      </c>
      <c r="O272" s="184"/>
      <c r="P272" s="184"/>
      <c r="Q272" s="184"/>
      <c r="R272" s="184"/>
      <c r="S272" s="184"/>
      <c r="T272" s="184"/>
      <c r="U272" s="184"/>
    </row>
    <row r="273" spans="1:21" ht="52" customHeight="1">
      <c r="A273" s="204" t="s">
        <v>3229</v>
      </c>
      <c r="B273" s="215" t="s">
        <v>1384</v>
      </c>
      <c r="C273" s="215" t="s">
        <v>321</v>
      </c>
      <c r="D273" s="216" t="s">
        <v>686</v>
      </c>
      <c r="E273" s="205"/>
      <c r="F273" s="215" t="s">
        <v>3098</v>
      </c>
      <c r="G273" s="215" t="s">
        <v>1386</v>
      </c>
      <c r="H273" s="216" t="s">
        <v>321</v>
      </c>
      <c r="I273" s="215"/>
      <c r="J273" s="216"/>
      <c r="K273" s="215" t="s">
        <v>3112</v>
      </c>
      <c r="O273" s="184"/>
      <c r="P273" s="184"/>
      <c r="Q273" s="184"/>
      <c r="R273" s="184"/>
      <c r="S273" s="184"/>
      <c r="T273" s="184"/>
      <c r="U273" s="184"/>
    </row>
    <row r="274" spans="1:21" ht="52" customHeight="1">
      <c r="A274" s="119" t="s">
        <v>3230</v>
      </c>
      <c r="B274" s="187"/>
      <c r="C274" s="187" t="s">
        <v>321</v>
      </c>
      <c r="D274" s="187" t="s">
        <v>3231</v>
      </c>
      <c r="E274" s="119" t="s">
        <v>3232</v>
      </c>
      <c r="F274" s="187" t="s">
        <v>3098</v>
      </c>
      <c r="G274" s="187" t="s">
        <v>3233</v>
      </c>
      <c r="H274" s="193" t="s">
        <v>321</v>
      </c>
      <c r="I274" s="187"/>
      <c r="J274" s="193"/>
      <c r="K274" s="206" t="s">
        <v>2988</v>
      </c>
      <c r="O274" s="184"/>
      <c r="P274" s="184"/>
      <c r="Q274" s="184"/>
      <c r="R274" s="184"/>
      <c r="S274" s="184"/>
      <c r="T274" s="184"/>
      <c r="U274" s="184"/>
    </row>
    <row r="275" spans="1:21" ht="52" customHeight="1">
      <c r="A275" s="119" t="s">
        <v>3111</v>
      </c>
      <c r="B275" s="187"/>
      <c r="C275" s="187" t="s">
        <v>321</v>
      </c>
      <c r="D275" s="193" t="s">
        <v>263</v>
      </c>
      <c r="E275" s="148" t="s">
        <v>3234</v>
      </c>
      <c r="F275" s="187" t="s">
        <v>3098</v>
      </c>
      <c r="G275" s="187" t="s">
        <v>3235</v>
      </c>
      <c r="H275" s="193" t="s">
        <v>321</v>
      </c>
      <c r="I275" s="187"/>
      <c r="J275" s="187"/>
      <c r="K275" s="206" t="s">
        <v>2988</v>
      </c>
      <c r="O275" s="184"/>
      <c r="P275" s="184"/>
      <c r="Q275" s="184"/>
      <c r="R275" s="184"/>
      <c r="S275" s="184"/>
      <c r="T275" s="184"/>
      <c r="U275" s="184"/>
    </row>
    <row r="276" spans="1:21" ht="52" customHeight="1">
      <c r="A276" s="119" t="s">
        <v>3111</v>
      </c>
      <c r="B276" s="187" t="s">
        <v>2067</v>
      </c>
      <c r="C276" s="187" t="s">
        <v>321</v>
      </c>
      <c r="D276" s="193" t="s">
        <v>263</v>
      </c>
      <c r="E276" s="148" t="s">
        <v>3236</v>
      </c>
      <c r="F276" s="187" t="s">
        <v>3098</v>
      </c>
      <c r="G276" s="187" t="s">
        <v>3237</v>
      </c>
      <c r="H276" s="193" t="s">
        <v>321</v>
      </c>
      <c r="I276" s="187"/>
      <c r="J276" s="193"/>
      <c r="K276" s="206" t="s">
        <v>2988</v>
      </c>
      <c r="O276" s="184"/>
      <c r="P276" s="184"/>
      <c r="Q276" s="184"/>
      <c r="R276" s="184"/>
      <c r="S276" s="184"/>
      <c r="T276" s="184"/>
      <c r="U276" s="184"/>
    </row>
    <row r="277" spans="1:21" ht="52" customHeight="1">
      <c r="A277" s="119"/>
      <c r="B277" s="187"/>
      <c r="C277" s="187"/>
      <c r="D277" s="193" t="s">
        <v>263</v>
      </c>
      <c r="E277" s="148">
        <v>0</v>
      </c>
      <c r="F277" s="187" t="s">
        <v>3098</v>
      </c>
      <c r="G277" s="187" t="s">
        <v>3238</v>
      </c>
      <c r="H277" s="193" t="s">
        <v>321</v>
      </c>
      <c r="I277" s="187"/>
      <c r="J277" s="193"/>
      <c r="K277" s="206" t="s">
        <v>2988</v>
      </c>
      <c r="O277" s="184"/>
      <c r="P277" s="184"/>
      <c r="Q277" s="184"/>
      <c r="R277" s="184"/>
      <c r="S277" s="184"/>
      <c r="T277" s="184"/>
      <c r="U277" s="184"/>
    </row>
    <row r="278" spans="1:21" ht="52" customHeight="1">
      <c r="A278" s="119" t="s">
        <v>3111</v>
      </c>
      <c r="B278" s="187" t="s">
        <v>2068</v>
      </c>
      <c r="C278" s="187" t="s">
        <v>321</v>
      </c>
      <c r="D278" s="193" t="s">
        <v>263</v>
      </c>
      <c r="E278" s="148" t="s">
        <v>3239</v>
      </c>
      <c r="F278" s="187" t="s">
        <v>3098</v>
      </c>
      <c r="G278" s="187" t="s">
        <v>3240</v>
      </c>
      <c r="H278" s="193" t="s">
        <v>321</v>
      </c>
      <c r="I278" s="187"/>
      <c r="J278" s="193"/>
      <c r="K278" s="206" t="s">
        <v>2988</v>
      </c>
      <c r="O278" s="184"/>
      <c r="P278" s="184"/>
      <c r="Q278" s="184"/>
      <c r="R278" s="184"/>
      <c r="S278" s="184"/>
      <c r="T278" s="184"/>
      <c r="U278" s="184"/>
    </row>
    <row r="279" spans="1:21" ht="52" customHeight="1">
      <c r="A279" s="119" t="s">
        <v>3241</v>
      </c>
      <c r="B279" s="187"/>
      <c r="C279" s="187" t="s">
        <v>321</v>
      </c>
      <c r="D279" s="193" t="s">
        <v>263</v>
      </c>
      <c r="E279" s="148" t="s">
        <v>3242</v>
      </c>
      <c r="F279" s="187" t="s">
        <v>3098</v>
      </c>
      <c r="G279" s="187" t="s">
        <v>3243</v>
      </c>
      <c r="H279" s="193" t="s">
        <v>321</v>
      </c>
      <c r="I279" s="187"/>
      <c r="J279" s="193"/>
      <c r="K279" s="206" t="s">
        <v>2988</v>
      </c>
      <c r="O279" s="184"/>
      <c r="P279" s="184"/>
      <c r="Q279" s="184"/>
      <c r="R279" s="184"/>
      <c r="S279" s="184"/>
      <c r="T279" s="184"/>
      <c r="U279" s="184"/>
    </row>
    <row r="280" spans="1:21" ht="52" customHeight="1">
      <c r="A280" s="119" t="s">
        <v>3230</v>
      </c>
      <c r="B280" s="187"/>
      <c r="C280" s="187" t="s">
        <v>321</v>
      </c>
      <c r="D280" s="193" t="s">
        <v>263</v>
      </c>
      <c r="E280" s="148" t="s">
        <v>3244</v>
      </c>
      <c r="F280" s="187" t="s">
        <v>3098</v>
      </c>
      <c r="G280" s="187" t="s">
        <v>3245</v>
      </c>
      <c r="H280" s="193" t="s">
        <v>321</v>
      </c>
      <c r="I280" s="187"/>
      <c r="J280" s="193"/>
      <c r="K280" s="206" t="s">
        <v>2988</v>
      </c>
      <c r="O280" s="184"/>
      <c r="P280" s="184"/>
      <c r="Q280" s="184"/>
      <c r="R280" s="184"/>
      <c r="S280" s="184"/>
      <c r="T280" s="184"/>
      <c r="U280" s="184"/>
    </row>
    <row r="281" spans="1:21" ht="52" customHeight="1">
      <c r="A281" s="119" t="s">
        <v>3111</v>
      </c>
      <c r="B281" s="187"/>
      <c r="C281" s="187" t="s">
        <v>321</v>
      </c>
      <c r="D281" s="193" t="s">
        <v>263</v>
      </c>
      <c r="E281" s="148" t="s">
        <v>3246</v>
      </c>
      <c r="F281" s="187" t="s">
        <v>3098</v>
      </c>
      <c r="G281" s="187" t="s">
        <v>3247</v>
      </c>
      <c r="H281" s="193" t="s">
        <v>321</v>
      </c>
      <c r="I281" s="187"/>
      <c r="J281" s="193"/>
      <c r="K281" s="206" t="s">
        <v>2988</v>
      </c>
      <c r="O281" s="184"/>
      <c r="P281" s="184"/>
      <c r="Q281" s="184"/>
      <c r="R281" s="184"/>
      <c r="S281" s="184"/>
      <c r="T281" s="184"/>
      <c r="U281" s="184"/>
    </row>
    <row r="282" spans="1:21" ht="52" customHeight="1">
      <c r="A282" s="119" t="s">
        <v>3248</v>
      </c>
      <c r="B282" s="187"/>
      <c r="C282" s="187" t="s">
        <v>321</v>
      </c>
      <c r="D282" s="193" t="s">
        <v>263</v>
      </c>
      <c r="E282" s="148" t="s">
        <v>3249</v>
      </c>
      <c r="F282" s="187" t="s">
        <v>3098</v>
      </c>
      <c r="G282" s="187" t="s">
        <v>3250</v>
      </c>
      <c r="H282" s="193" t="s">
        <v>321</v>
      </c>
      <c r="I282" s="187"/>
      <c r="J282" s="193"/>
      <c r="K282" s="206" t="s">
        <v>2988</v>
      </c>
      <c r="O282" s="184"/>
      <c r="P282" s="184"/>
      <c r="Q282" s="184"/>
      <c r="R282" s="184"/>
      <c r="S282" s="184"/>
      <c r="T282" s="184"/>
      <c r="U282" s="184"/>
    </row>
    <row r="283" spans="1:21" ht="52" customHeight="1">
      <c r="A283" s="119" t="s">
        <v>3251</v>
      </c>
      <c r="B283" s="187"/>
      <c r="C283" s="187" t="s">
        <v>321</v>
      </c>
      <c r="D283" s="193" t="s">
        <v>263</v>
      </c>
      <c r="E283" s="148" t="s">
        <v>3252</v>
      </c>
      <c r="F283" s="187" t="s">
        <v>3098</v>
      </c>
      <c r="G283" s="187" t="s">
        <v>3253</v>
      </c>
      <c r="H283" s="193" t="s">
        <v>321</v>
      </c>
      <c r="I283" s="187"/>
      <c r="J283" s="193"/>
      <c r="K283" s="206" t="s">
        <v>2988</v>
      </c>
      <c r="O283" s="184"/>
      <c r="P283" s="184"/>
      <c r="Q283" s="184"/>
      <c r="R283" s="184"/>
      <c r="S283" s="184"/>
      <c r="T283" s="184"/>
      <c r="U283" s="184"/>
    </row>
    <row r="284" spans="1:21" ht="52" customHeight="1">
      <c r="A284" s="119" t="s">
        <v>3111</v>
      </c>
      <c r="B284" s="187" t="s">
        <v>3254</v>
      </c>
      <c r="C284" s="187" t="s">
        <v>321</v>
      </c>
      <c r="D284" s="193" t="s">
        <v>263</v>
      </c>
      <c r="E284" s="148" t="s">
        <v>3255</v>
      </c>
      <c r="F284" s="187" t="s">
        <v>3098</v>
      </c>
      <c r="G284" s="187" t="s">
        <v>3256</v>
      </c>
      <c r="H284" s="187" t="s">
        <v>321</v>
      </c>
      <c r="I284" s="187"/>
      <c r="J284" s="142"/>
      <c r="K284" s="206" t="s">
        <v>2988</v>
      </c>
      <c r="O284" s="184"/>
      <c r="P284" s="184"/>
      <c r="Q284" s="184"/>
      <c r="R284" s="184"/>
      <c r="S284" s="184"/>
      <c r="T284" s="184"/>
      <c r="U284" s="184"/>
    </row>
    <row r="285" spans="1:21" ht="52" customHeight="1">
      <c r="A285" s="119" t="s">
        <v>3111</v>
      </c>
      <c r="B285" s="187"/>
      <c r="C285" s="187" t="s">
        <v>321</v>
      </c>
      <c r="D285" s="193" t="s">
        <v>263</v>
      </c>
      <c r="E285" s="119" t="s">
        <v>3257</v>
      </c>
      <c r="F285" s="187" t="s">
        <v>3098</v>
      </c>
      <c r="G285" s="187" t="s">
        <v>3258</v>
      </c>
      <c r="H285" s="187" t="s">
        <v>321</v>
      </c>
      <c r="I285" s="187"/>
      <c r="J285" s="142"/>
      <c r="K285" s="206" t="s">
        <v>2988</v>
      </c>
      <c r="O285" s="184"/>
      <c r="P285" s="184"/>
      <c r="Q285" s="184"/>
      <c r="R285" s="184"/>
      <c r="S285" s="184"/>
      <c r="T285" s="184"/>
      <c r="U285" s="184"/>
    </row>
    <row r="286" spans="1:21" ht="52" customHeight="1">
      <c r="A286" s="119" t="s">
        <v>3259</v>
      </c>
      <c r="B286" s="187"/>
      <c r="C286" s="187" t="s">
        <v>321</v>
      </c>
      <c r="D286" s="193" t="s">
        <v>263</v>
      </c>
      <c r="E286" s="119" t="s">
        <v>3260</v>
      </c>
      <c r="F286" s="187" t="s">
        <v>3098</v>
      </c>
      <c r="G286" s="187" t="s">
        <v>3261</v>
      </c>
      <c r="H286" s="187" t="s">
        <v>321</v>
      </c>
      <c r="I286" s="187"/>
      <c r="J286" s="142"/>
      <c r="K286" s="206" t="s">
        <v>2988</v>
      </c>
      <c r="O286" s="184"/>
      <c r="P286" s="184"/>
      <c r="Q286" s="184"/>
      <c r="R286" s="184"/>
      <c r="S286" s="184"/>
      <c r="T286" s="184"/>
      <c r="U286" s="184"/>
    </row>
    <row r="287" spans="1:21" ht="52" customHeight="1">
      <c r="A287" s="119" t="s">
        <v>3251</v>
      </c>
      <c r="B287" s="187"/>
      <c r="C287" s="187" t="s">
        <v>321</v>
      </c>
      <c r="D287" s="193" t="s">
        <v>263</v>
      </c>
      <c r="E287" s="119" t="s">
        <v>3262</v>
      </c>
      <c r="F287" s="187" t="s">
        <v>3098</v>
      </c>
      <c r="G287" s="187" t="s">
        <v>3263</v>
      </c>
      <c r="H287" s="187" t="s">
        <v>321</v>
      </c>
      <c r="I287" s="187"/>
      <c r="J287" s="142"/>
      <c r="K287" s="206" t="s">
        <v>2988</v>
      </c>
      <c r="O287" s="184"/>
      <c r="P287" s="184"/>
      <c r="Q287" s="184"/>
      <c r="R287" s="184"/>
      <c r="S287" s="184"/>
      <c r="T287" s="184"/>
      <c r="U287" s="184"/>
    </row>
    <row r="288" spans="1:21" ht="52" customHeight="1">
      <c r="A288" s="119" t="s">
        <v>3251</v>
      </c>
      <c r="B288" s="187"/>
      <c r="C288" s="187" t="s">
        <v>321</v>
      </c>
      <c r="D288" s="193" t="s">
        <v>263</v>
      </c>
      <c r="E288" s="119" t="s">
        <v>3264</v>
      </c>
      <c r="F288" s="187" t="s">
        <v>3098</v>
      </c>
      <c r="G288" s="187" t="s">
        <v>3265</v>
      </c>
      <c r="H288" s="187" t="s">
        <v>321</v>
      </c>
      <c r="I288" s="187"/>
      <c r="J288" s="142"/>
      <c r="K288" s="206" t="s">
        <v>2988</v>
      </c>
      <c r="O288" s="184"/>
      <c r="P288" s="184"/>
      <c r="Q288" s="184"/>
      <c r="R288" s="184"/>
      <c r="S288" s="184"/>
      <c r="T288" s="184"/>
      <c r="U288" s="184"/>
    </row>
    <row r="289" spans="1:61" ht="52" customHeight="1">
      <c r="A289" s="119" t="s">
        <v>3266</v>
      </c>
      <c r="B289" s="187"/>
      <c r="C289" s="187" t="s">
        <v>321</v>
      </c>
      <c r="D289" s="193" t="s">
        <v>263</v>
      </c>
      <c r="E289" s="119" t="s">
        <v>3267</v>
      </c>
      <c r="F289" s="187" t="s">
        <v>3098</v>
      </c>
      <c r="G289" s="187" t="s">
        <v>3268</v>
      </c>
      <c r="H289" s="187" t="s">
        <v>321</v>
      </c>
      <c r="I289" s="187"/>
      <c r="J289" s="142"/>
      <c r="K289" s="206" t="s">
        <v>2988</v>
      </c>
      <c r="O289" s="184"/>
      <c r="P289" s="184"/>
      <c r="Q289" s="184"/>
      <c r="R289" s="184"/>
      <c r="S289" s="184"/>
      <c r="T289" s="184"/>
      <c r="U289" s="184"/>
    </row>
    <row r="290" spans="1:61" ht="52" customHeight="1">
      <c r="A290" s="119" t="s">
        <v>3251</v>
      </c>
      <c r="B290" s="187"/>
      <c r="C290" s="187" t="s">
        <v>321</v>
      </c>
      <c r="D290" s="193" t="s">
        <v>263</v>
      </c>
      <c r="E290" s="119" t="s">
        <v>3269</v>
      </c>
      <c r="F290" s="187" t="s">
        <v>3098</v>
      </c>
      <c r="G290" s="187" t="s">
        <v>3270</v>
      </c>
      <c r="H290" s="187" t="s">
        <v>321</v>
      </c>
      <c r="I290" s="187"/>
      <c r="J290" s="142"/>
      <c r="K290" s="206" t="s">
        <v>2988</v>
      </c>
      <c r="O290" s="184"/>
      <c r="P290" s="184"/>
      <c r="Q290" s="184"/>
      <c r="R290" s="184"/>
      <c r="S290" s="184"/>
      <c r="T290" s="184"/>
      <c r="U290" s="184"/>
    </row>
    <row r="291" spans="1:61" ht="52" customHeight="1">
      <c r="A291" s="119" t="s">
        <v>3271</v>
      </c>
      <c r="B291" s="187"/>
      <c r="C291" s="187" t="s">
        <v>321</v>
      </c>
      <c r="D291" s="193" t="s">
        <v>263</v>
      </c>
      <c r="E291" s="119" t="s">
        <v>3272</v>
      </c>
      <c r="F291" s="187" t="s">
        <v>3098</v>
      </c>
      <c r="G291" s="187" t="s">
        <v>3273</v>
      </c>
      <c r="H291" s="187" t="s">
        <v>321</v>
      </c>
      <c r="I291" s="187"/>
      <c r="J291" s="142"/>
      <c r="K291" s="206" t="s">
        <v>2988</v>
      </c>
      <c r="O291" s="184"/>
      <c r="P291" s="184"/>
      <c r="Q291" s="184"/>
      <c r="R291" s="184"/>
      <c r="S291" s="184"/>
      <c r="T291" s="184"/>
      <c r="U291" s="184"/>
    </row>
    <row r="292" spans="1:61" ht="262.5">
      <c r="A292" s="119" t="s">
        <v>3271</v>
      </c>
      <c r="B292" s="187"/>
      <c r="C292" s="187" t="s">
        <v>321</v>
      </c>
      <c r="D292" s="193" t="s">
        <v>686</v>
      </c>
      <c r="E292" s="148" t="s">
        <v>3274</v>
      </c>
      <c r="F292" s="187" t="s">
        <v>3098</v>
      </c>
      <c r="G292" s="187" t="s">
        <v>3275</v>
      </c>
      <c r="H292" s="187" t="s">
        <v>321</v>
      </c>
      <c r="I292" s="187"/>
      <c r="J292" s="142"/>
      <c r="K292" s="206" t="s">
        <v>3031</v>
      </c>
      <c r="O292" s="184"/>
      <c r="P292" s="184"/>
      <c r="Q292" s="184"/>
      <c r="R292" s="184"/>
      <c r="S292" s="184"/>
      <c r="T292" s="184"/>
      <c r="U292" s="184"/>
    </row>
    <row r="293" spans="1:61" ht="52" customHeight="1">
      <c r="A293" s="119" t="s">
        <v>3271</v>
      </c>
      <c r="B293" s="187"/>
      <c r="C293" s="187" t="s">
        <v>321</v>
      </c>
      <c r="D293" s="193" t="s">
        <v>686</v>
      </c>
      <c r="E293" s="148" t="s">
        <v>3276</v>
      </c>
      <c r="F293" s="187" t="s">
        <v>3098</v>
      </c>
      <c r="G293" s="187" t="s">
        <v>3277</v>
      </c>
      <c r="H293" s="187" t="s">
        <v>321</v>
      </c>
      <c r="I293" s="187"/>
      <c r="J293" s="142"/>
      <c r="K293" s="206" t="s">
        <v>3031</v>
      </c>
      <c r="O293" s="184"/>
      <c r="P293" s="184"/>
      <c r="Q293" s="184"/>
      <c r="R293" s="184"/>
      <c r="S293" s="184"/>
      <c r="T293" s="184"/>
      <c r="U293" s="184"/>
    </row>
    <row r="294" spans="1:61" ht="52" customHeight="1">
      <c r="A294" s="119" t="s">
        <v>3271</v>
      </c>
      <c r="B294" s="187"/>
      <c r="C294" s="187" t="s">
        <v>321</v>
      </c>
      <c r="D294" s="193" t="s">
        <v>686</v>
      </c>
      <c r="E294" s="148" t="s">
        <v>3278</v>
      </c>
      <c r="F294" s="187" t="s">
        <v>3098</v>
      </c>
      <c r="G294" s="187" t="s">
        <v>3279</v>
      </c>
      <c r="H294" s="187" t="s">
        <v>321</v>
      </c>
      <c r="I294" s="187"/>
      <c r="J294" s="142"/>
      <c r="K294" s="206" t="s">
        <v>3031</v>
      </c>
      <c r="O294" s="184"/>
      <c r="P294" s="184"/>
      <c r="Q294" s="184"/>
      <c r="R294" s="184"/>
      <c r="S294" s="184"/>
      <c r="T294" s="184"/>
      <c r="U294" s="184"/>
    </row>
    <row r="295" spans="1:61" ht="52" customHeight="1">
      <c r="A295" s="119" t="s">
        <v>3271</v>
      </c>
      <c r="B295" s="187"/>
      <c r="C295" s="187" t="s">
        <v>321</v>
      </c>
      <c r="D295" s="193" t="s">
        <v>686</v>
      </c>
      <c r="E295" s="148" t="s">
        <v>3280</v>
      </c>
      <c r="F295" s="187" t="s">
        <v>3098</v>
      </c>
      <c r="G295" s="187" t="s">
        <v>3281</v>
      </c>
      <c r="H295" s="187" t="s">
        <v>321</v>
      </c>
      <c r="I295" s="187"/>
      <c r="J295" s="142"/>
      <c r="K295" s="206" t="s">
        <v>3031</v>
      </c>
      <c r="O295" s="184"/>
      <c r="P295" s="184"/>
      <c r="Q295" s="184"/>
      <c r="R295" s="184"/>
      <c r="S295" s="184"/>
      <c r="T295" s="184"/>
      <c r="U295" s="184"/>
    </row>
    <row r="296" spans="1:61" ht="52" customHeight="1">
      <c r="A296" s="119" t="s">
        <v>3271</v>
      </c>
      <c r="B296" s="187"/>
      <c r="C296" s="187" t="s">
        <v>321</v>
      </c>
      <c r="D296" s="193" t="s">
        <v>686</v>
      </c>
      <c r="E296" s="148" t="s">
        <v>3282</v>
      </c>
      <c r="F296" s="187" t="s">
        <v>3098</v>
      </c>
      <c r="G296" s="187" t="s">
        <v>3283</v>
      </c>
      <c r="H296" s="187" t="s">
        <v>321</v>
      </c>
      <c r="I296" s="187"/>
      <c r="J296" s="142"/>
      <c r="K296" s="206" t="s">
        <v>3031</v>
      </c>
      <c r="O296" s="184"/>
      <c r="P296" s="184"/>
      <c r="Q296" s="184"/>
      <c r="R296" s="184"/>
      <c r="S296" s="184"/>
      <c r="T296" s="184"/>
      <c r="U296" s="184"/>
    </row>
    <row r="297" spans="1:61" s="196" customFormat="1" ht="52" customHeight="1">
      <c r="A297" s="119" t="s">
        <v>3284</v>
      </c>
      <c r="B297" s="187"/>
      <c r="C297" s="187" t="s">
        <v>321</v>
      </c>
      <c r="D297" s="193" t="s">
        <v>263</v>
      </c>
      <c r="E297" s="148" t="s">
        <v>3285</v>
      </c>
      <c r="F297" s="187" t="s">
        <v>3098</v>
      </c>
      <c r="G297" s="187" t="s">
        <v>3286</v>
      </c>
      <c r="H297" s="187" t="s">
        <v>321</v>
      </c>
      <c r="I297" s="194"/>
      <c r="J297" s="193"/>
      <c r="K297" s="206" t="s">
        <v>2988</v>
      </c>
      <c r="L297" s="201"/>
      <c r="M297" s="61"/>
      <c r="N297" s="61"/>
      <c r="O297" s="184"/>
      <c r="P297" s="184"/>
      <c r="Q297" s="184"/>
      <c r="R297" s="184"/>
      <c r="S297" s="184"/>
      <c r="T297" s="184"/>
      <c r="U297" s="184"/>
      <c r="V297" s="195"/>
      <c r="W297" s="195"/>
      <c r="X297" s="195"/>
      <c r="Y297" s="195"/>
      <c r="Z297" s="195"/>
      <c r="AA297" s="195"/>
      <c r="AB297" s="195"/>
      <c r="AC297" s="195"/>
      <c r="AD297" s="195"/>
      <c r="AE297" s="195"/>
      <c r="AF297" s="195"/>
      <c r="AG297" s="195"/>
      <c r="AH297" s="195"/>
      <c r="AI297" s="195"/>
      <c r="AJ297" s="195"/>
      <c r="AK297" s="195"/>
      <c r="AL297" s="195"/>
      <c r="AM297" s="195"/>
      <c r="AN297" s="195"/>
      <c r="AO297" s="195"/>
      <c r="AP297" s="195"/>
      <c r="AQ297" s="195"/>
      <c r="AR297" s="195"/>
      <c r="AS297" s="195"/>
      <c r="AT297" s="195"/>
      <c r="AU297" s="195"/>
      <c r="AV297" s="195"/>
      <c r="AW297" s="195"/>
      <c r="AX297" s="195"/>
      <c r="AY297" s="195"/>
      <c r="AZ297" s="195"/>
      <c r="BA297" s="195"/>
      <c r="BB297" s="195"/>
      <c r="BC297" s="195"/>
      <c r="BD297" s="195"/>
      <c r="BE297" s="195"/>
      <c r="BF297" s="195"/>
      <c r="BG297" s="195"/>
      <c r="BH297" s="195"/>
      <c r="BI297" s="195"/>
    </row>
    <row r="298" spans="1:61" s="196" customFormat="1" ht="52" customHeight="1">
      <c r="A298" s="119" t="s">
        <v>3287</v>
      </c>
      <c r="B298" s="187"/>
      <c r="C298" s="187" t="s">
        <v>321</v>
      </c>
      <c r="D298" s="193" t="s">
        <v>263</v>
      </c>
      <c r="E298" s="148" t="s">
        <v>3285</v>
      </c>
      <c r="F298" s="187" t="s">
        <v>3098</v>
      </c>
      <c r="G298" s="187" t="s">
        <v>3288</v>
      </c>
      <c r="H298" s="187" t="s">
        <v>321</v>
      </c>
      <c r="I298" s="194"/>
      <c r="J298" s="193"/>
      <c r="K298" s="206" t="s">
        <v>2988</v>
      </c>
      <c r="L298" s="201"/>
      <c r="M298" s="61"/>
      <c r="N298" s="61"/>
      <c r="O298" s="184"/>
      <c r="P298" s="184"/>
      <c r="Q298" s="184"/>
      <c r="R298" s="184"/>
      <c r="S298" s="184"/>
      <c r="T298" s="184"/>
      <c r="U298" s="184"/>
      <c r="V298" s="195"/>
      <c r="W298" s="195"/>
      <c r="X298" s="195"/>
      <c r="Y298" s="195"/>
      <c r="Z298" s="195"/>
      <c r="AA298" s="195"/>
      <c r="AB298" s="195"/>
      <c r="AC298" s="195"/>
      <c r="AD298" s="195"/>
      <c r="AE298" s="195"/>
      <c r="AF298" s="195"/>
      <c r="AG298" s="195"/>
      <c r="AH298" s="195"/>
      <c r="AI298" s="195"/>
      <c r="AJ298" s="195"/>
      <c r="AK298" s="195"/>
      <c r="AL298" s="195"/>
      <c r="AM298" s="195"/>
      <c r="AN298" s="195"/>
      <c r="AO298" s="195"/>
      <c r="AP298" s="195"/>
      <c r="AQ298" s="195"/>
      <c r="AR298" s="195"/>
      <c r="AS298" s="195"/>
      <c r="AT298" s="195"/>
      <c r="AU298" s="195"/>
      <c r="AV298" s="195"/>
      <c r="AW298" s="195"/>
      <c r="AX298" s="195"/>
      <c r="AY298" s="195"/>
      <c r="AZ298" s="195"/>
      <c r="BA298" s="195"/>
      <c r="BB298" s="195"/>
      <c r="BC298" s="195"/>
      <c r="BD298" s="195"/>
      <c r="BE298" s="195"/>
      <c r="BF298" s="195"/>
      <c r="BG298" s="195"/>
      <c r="BH298" s="195"/>
      <c r="BI298" s="195"/>
    </row>
    <row r="299" spans="1:61" s="196" customFormat="1" ht="52" customHeight="1">
      <c r="A299" s="119" t="s">
        <v>3289</v>
      </c>
      <c r="B299" s="187"/>
      <c r="C299" s="187" t="s">
        <v>321</v>
      </c>
      <c r="D299" s="193" t="s">
        <v>263</v>
      </c>
      <c r="E299" s="148" t="s">
        <v>3290</v>
      </c>
      <c r="F299" s="187" t="s">
        <v>3098</v>
      </c>
      <c r="G299" s="187" t="s">
        <v>3291</v>
      </c>
      <c r="H299" s="187" t="s">
        <v>321</v>
      </c>
      <c r="I299" s="194"/>
      <c r="J299" s="193"/>
      <c r="K299" s="206" t="s">
        <v>2988</v>
      </c>
      <c r="L299" s="201"/>
      <c r="M299" s="61"/>
      <c r="N299" s="61"/>
      <c r="O299" s="184"/>
      <c r="P299" s="184"/>
      <c r="Q299" s="184"/>
      <c r="R299" s="184"/>
      <c r="S299" s="184"/>
      <c r="T299" s="184"/>
      <c r="U299" s="184"/>
      <c r="V299" s="195"/>
      <c r="W299" s="195"/>
      <c r="X299" s="195"/>
      <c r="Y299" s="195"/>
      <c r="Z299" s="195"/>
      <c r="AA299" s="195"/>
      <c r="AB299" s="195"/>
      <c r="AC299" s="195"/>
      <c r="AD299" s="195"/>
      <c r="AE299" s="195"/>
      <c r="AF299" s="195"/>
      <c r="AG299" s="195"/>
      <c r="AH299" s="195"/>
      <c r="AI299" s="195"/>
      <c r="AJ299" s="195"/>
      <c r="AK299" s="195"/>
      <c r="AL299" s="195"/>
      <c r="AM299" s="195"/>
      <c r="AN299" s="195"/>
      <c r="AO299" s="195"/>
      <c r="AP299" s="195"/>
      <c r="AQ299" s="195"/>
      <c r="AR299" s="195"/>
      <c r="AS299" s="195"/>
      <c r="AT299" s="195"/>
      <c r="AU299" s="195"/>
      <c r="AV299" s="195"/>
      <c r="AW299" s="195"/>
      <c r="AX299" s="195"/>
      <c r="AY299" s="195"/>
      <c r="AZ299" s="195"/>
      <c r="BA299" s="195"/>
      <c r="BB299" s="195"/>
      <c r="BC299" s="195"/>
      <c r="BD299" s="195"/>
      <c r="BE299" s="195"/>
      <c r="BF299" s="195"/>
      <c r="BG299" s="195"/>
      <c r="BH299" s="195"/>
      <c r="BI299" s="195"/>
    </row>
    <row r="300" spans="1:61" ht="52" customHeight="1">
      <c r="A300" s="119" t="s">
        <v>3292</v>
      </c>
      <c r="B300" s="187"/>
      <c r="C300" s="187" t="s">
        <v>321</v>
      </c>
      <c r="D300" s="193" t="s">
        <v>93</v>
      </c>
      <c r="E300" s="148" t="s">
        <v>3293</v>
      </c>
      <c r="F300" s="187" t="s">
        <v>3098</v>
      </c>
      <c r="G300" s="187" t="s">
        <v>3294</v>
      </c>
      <c r="H300" s="187" t="s">
        <v>321</v>
      </c>
      <c r="I300" s="187"/>
      <c r="J300" s="142"/>
      <c r="K300" s="206" t="s">
        <v>3112</v>
      </c>
      <c r="O300" s="184"/>
      <c r="P300" s="184"/>
      <c r="Q300" s="184"/>
      <c r="R300" s="184"/>
      <c r="S300" s="184"/>
      <c r="T300" s="184"/>
      <c r="U300" s="184"/>
    </row>
    <row r="301" spans="1:61" ht="52" customHeight="1">
      <c r="A301" s="119" t="s">
        <v>3292</v>
      </c>
      <c r="B301" s="141"/>
      <c r="C301" s="142" t="s">
        <v>1292</v>
      </c>
      <c r="D301" s="193" t="s">
        <v>93</v>
      </c>
      <c r="E301" s="172" t="s">
        <v>1171</v>
      </c>
      <c r="F301" s="187" t="s">
        <v>3098</v>
      </c>
      <c r="G301" s="141" t="s">
        <v>1171</v>
      </c>
      <c r="H301" s="142" t="s">
        <v>1292</v>
      </c>
      <c r="I301" s="141"/>
      <c r="J301" s="142"/>
      <c r="K301" s="213" t="s">
        <v>3100</v>
      </c>
    </row>
    <row r="302" spans="1:61" ht="52" customHeight="1">
      <c r="A302" s="119" t="s">
        <v>3295</v>
      </c>
      <c r="B302" s="187" t="s">
        <v>3049</v>
      </c>
      <c r="C302" s="142" t="s">
        <v>267</v>
      </c>
      <c r="D302" s="193" t="s">
        <v>93</v>
      </c>
      <c r="E302" s="172"/>
      <c r="F302" s="187" t="s">
        <v>3098</v>
      </c>
      <c r="G302" s="187" t="s">
        <v>3049</v>
      </c>
      <c r="H302" s="142" t="s">
        <v>267</v>
      </c>
      <c r="I302" s="141"/>
      <c r="J302" s="142"/>
      <c r="K302" s="206" t="s">
        <v>3296</v>
      </c>
    </row>
    <row r="303" spans="1:61" ht="52" customHeight="1">
      <c r="A303" s="119" t="s">
        <v>3295</v>
      </c>
      <c r="B303" s="187" t="s">
        <v>3052</v>
      </c>
      <c r="C303" s="142" t="s">
        <v>267</v>
      </c>
      <c r="D303" s="193" t="s">
        <v>93</v>
      </c>
      <c r="E303" s="172"/>
      <c r="F303" s="187" t="s">
        <v>3098</v>
      </c>
      <c r="G303" s="187" t="s">
        <v>3052</v>
      </c>
      <c r="H303" s="142" t="s">
        <v>267</v>
      </c>
      <c r="I303" s="141"/>
      <c r="J303" s="142"/>
      <c r="K303" s="206" t="s">
        <v>3296</v>
      </c>
    </row>
    <row r="304" spans="1:61" ht="52" customHeight="1">
      <c r="A304" s="119" t="s">
        <v>3295</v>
      </c>
      <c r="B304" s="187" t="s">
        <v>3054</v>
      </c>
      <c r="C304" s="142" t="s">
        <v>321</v>
      </c>
      <c r="D304" s="193" t="s">
        <v>93</v>
      </c>
      <c r="E304" s="172"/>
      <c r="F304" s="187" t="s">
        <v>3098</v>
      </c>
      <c r="G304" s="187" t="s">
        <v>3054</v>
      </c>
      <c r="H304" s="142" t="s">
        <v>321</v>
      </c>
      <c r="I304" s="141"/>
      <c r="J304" s="142"/>
      <c r="K304" s="206" t="s">
        <v>3296</v>
      </c>
    </row>
    <row r="305" spans="1:21" ht="52" customHeight="1">
      <c r="A305" s="119" t="s">
        <v>3297</v>
      </c>
      <c r="B305" s="187" t="s">
        <v>3065</v>
      </c>
      <c r="C305" s="142" t="s">
        <v>321</v>
      </c>
      <c r="D305" s="193" t="s">
        <v>93</v>
      </c>
      <c r="E305" s="172"/>
      <c r="F305" s="187" t="s">
        <v>3098</v>
      </c>
      <c r="G305" s="187" t="s">
        <v>3065</v>
      </c>
      <c r="H305" s="142" t="s">
        <v>321</v>
      </c>
      <c r="I305" s="141"/>
      <c r="J305" s="142"/>
      <c r="K305" s="206" t="s">
        <v>3296</v>
      </c>
    </row>
    <row r="306" spans="1:21" ht="52" customHeight="1">
      <c r="A306" s="119" t="s">
        <v>3295</v>
      </c>
      <c r="B306" s="187" t="s">
        <v>3068</v>
      </c>
      <c r="C306" s="142" t="s">
        <v>321</v>
      </c>
      <c r="D306" s="193" t="s">
        <v>93</v>
      </c>
      <c r="E306" s="172"/>
      <c r="F306" s="187" t="s">
        <v>3098</v>
      </c>
      <c r="G306" s="187" t="s">
        <v>3068</v>
      </c>
      <c r="H306" s="142" t="s">
        <v>321</v>
      </c>
      <c r="I306" s="141"/>
      <c r="J306" s="142"/>
      <c r="K306" s="206" t="s">
        <v>3296</v>
      </c>
    </row>
    <row r="307" spans="1:21" ht="52" customHeight="1">
      <c r="A307" s="119" t="s">
        <v>3297</v>
      </c>
      <c r="B307" s="187" t="s">
        <v>3072</v>
      </c>
      <c r="C307" s="142" t="s">
        <v>321</v>
      </c>
      <c r="D307" s="193" t="s">
        <v>93</v>
      </c>
      <c r="E307" s="172"/>
      <c r="F307" s="187" t="s">
        <v>3098</v>
      </c>
      <c r="G307" s="187" t="s">
        <v>3072</v>
      </c>
      <c r="H307" s="142" t="s">
        <v>321</v>
      </c>
      <c r="I307" s="141"/>
      <c r="J307" s="142"/>
      <c r="K307" s="206" t="s">
        <v>3296</v>
      </c>
    </row>
    <row r="308" spans="1:21" ht="52" customHeight="1">
      <c r="A308" s="119" t="s">
        <v>3295</v>
      </c>
      <c r="B308" s="187" t="s">
        <v>464</v>
      </c>
      <c r="C308" s="142" t="s">
        <v>321</v>
      </c>
      <c r="D308" s="193" t="s">
        <v>93</v>
      </c>
      <c r="E308" s="172"/>
      <c r="F308" s="187" t="s">
        <v>3098</v>
      </c>
      <c r="G308" s="217" t="s">
        <v>3298</v>
      </c>
      <c r="H308" s="142" t="s">
        <v>321</v>
      </c>
      <c r="I308" s="141"/>
      <c r="J308" s="142"/>
      <c r="K308" s="206" t="s">
        <v>3296</v>
      </c>
    </row>
    <row r="309" spans="1:21" ht="52" customHeight="1">
      <c r="A309" s="119" t="s">
        <v>3295</v>
      </c>
      <c r="B309" s="187" t="s">
        <v>2043</v>
      </c>
      <c r="C309" s="142" t="s">
        <v>321</v>
      </c>
      <c r="D309" s="193" t="s">
        <v>93</v>
      </c>
      <c r="E309" s="172"/>
      <c r="F309" s="187" t="s">
        <v>3098</v>
      </c>
      <c r="G309" s="187" t="s">
        <v>2043</v>
      </c>
      <c r="H309" s="142" t="s">
        <v>321</v>
      </c>
      <c r="I309" s="141"/>
      <c r="J309" s="142"/>
      <c r="K309" s="206" t="s">
        <v>3296</v>
      </c>
    </row>
    <row r="310" spans="1:21" s="197" customFormat="1" ht="52" customHeight="1">
      <c r="A310" s="119" t="s">
        <v>3295</v>
      </c>
      <c r="B310" s="187" t="s">
        <v>1666</v>
      </c>
      <c r="C310" s="193" t="s">
        <v>321</v>
      </c>
      <c r="D310" s="193" t="s">
        <v>93</v>
      </c>
      <c r="E310" s="148"/>
      <c r="F310" s="187" t="s">
        <v>3098</v>
      </c>
      <c r="G310" s="218" t="s">
        <v>3299</v>
      </c>
      <c r="H310" s="193" t="s">
        <v>321</v>
      </c>
      <c r="I310" s="187"/>
      <c r="J310" s="193"/>
      <c r="K310" s="206" t="s">
        <v>3296</v>
      </c>
      <c r="L310" s="201"/>
      <c r="M310" s="61"/>
      <c r="N310" s="61"/>
    </row>
    <row r="311" spans="1:21" ht="52" customHeight="1">
      <c r="A311" s="119" t="s">
        <v>3297</v>
      </c>
      <c r="B311" s="187" t="s">
        <v>3095</v>
      </c>
      <c r="C311" s="142" t="s">
        <v>321</v>
      </c>
      <c r="D311" s="193" t="s">
        <v>93</v>
      </c>
      <c r="E311" s="172"/>
      <c r="F311" s="187" t="s">
        <v>3098</v>
      </c>
      <c r="G311" s="187" t="s">
        <v>3095</v>
      </c>
      <c r="H311" s="142" t="s">
        <v>321</v>
      </c>
      <c r="I311" s="141"/>
      <c r="J311" s="142"/>
      <c r="K311" s="206" t="s">
        <v>3296</v>
      </c>
    </row>
    <row r="312" spans="1:21">
      <c r="A312" s="198"/>
      <c r="B312" s="198"/>
      <c r="C312" s="198"/>
      <c r="D312" s="198"/>
      <c r="E312" s="198"/>
      <c r="F312" s="198"/>
      <c r="G312" s="198"/>
      <c r="H312" s="198"/>
      <c r="I312" s="198"/>
      <c r="J312" s="198"/>
      <c r="K312" s="198"/>
    </row>
    <row r="313" spans="1:21" ht="15.5">
      <c r="A313" s="541" t="s">
        <v>1136</v>
      </c>
      <c r="B313" s="560"/>
      <c r="C313" s="560"/>
      <c r="D313" s="560"/>
      <c r="E313" s="560"/>
      <c r="F313" s="560"/>
      <c r="G313" s="560"/>
      <c r="H313" s="560"/>
      <c r="I313" s="560"/>
      <c r="J313" s="560"/>
      <c r="K313" s="560"/>
    </row>
    <row r="314" spans="1:21" ht="124.4" customHeight="1">
      <c r="A314" s="542" t="s">
        <v>3300</v>
      </c>
      <c r="B314" s="542"/>
      <c r="C314" s="542"/>
      <c r="D314" s="201"/>
      <c r="E314" s="201"/>
      <c r="F314" s="201"/>
      <c r="G314" s="201"/>
      <c r="H314" s="201"/>
      <c r="I314" s="201"/>
      <c r="J314" s="201"/>
      <c r="K314" s="201"/>
    </row>
    <row r="315" spans="1:21">
      <c r="A315" s="198"/>
      <c r="B315" s="198"/>
      <c r="C315" s="198"/>
      <c r="D315" s="198"/>
      <c r="E315" s="198"/>
      <c r="F315" s="198"/>
      <c r="G315" s="198"/>
      <c r="H315" s="198"/>
      <c r="I315" s="198"/>
      <c r="J315" s="198"/>
      <c r="K315" s="198"/>
    </row>
    <row r="316" spans="1:21" ht="2.5" customHeight="1">
      <c r="A316" s="198"/>
      <c r="B316" s="198"/>
      <c r="C316" s="198"/>
      <c r="D316" s="198"/>
      <c r="E316" s="198"/>
      <c r="F316" s="198"/>
      <c r="G316" s="198"/>
      <c r="H316" s="198"/>
      <c r="I316" s="198"/>
      <c r="J316" s="198"/>
      <c r="K316" s="198"/>
    </row>
    <row r="317" spans="1:21" hidden="1">
      <c r="A317" s="198"/>
      <c r="B317" s="198"/>
      <c r="C317" s="198"/>
      <c r="D317" s="198"/>
      <c r="E317" s="198"/>
      <c r="F317" s="198"/>
      <c r="G317" s="198"/>
      <c r="H317" s="198"/>
      <c r="I317" s="198"/>
      <c r="J317" s="198"/>
      <c r="K317" s="198"/>
    </row>
    <row r="318" spans="1:21" ht="26">
      <c r="A318" s="183" t="s">
        <v>73</v>
      </c>
      <c r="B318" s="186" t="s">
        <v>74</v>
      </c>
      <c r="C318" s="185" t="s">
        <v>75</v>
      </c>
      <c r="D318" s="185" t="s">
        <v>76</v>
      </c>
      <c r="E318" s="153" t="s">
        <v>77</v>
      </c>
      <c r="F318" s="186" t="s">
        <v>78</v>
      </c>
      <c r="G318" s="186" t="s">
        <v>79</v>
      </c>
      <c r="H318" s="185" t="s">
        <v>80</v>
      </c>
      <c r="I318" s="186" t="s">
        <v>683</v>
      </c>
      <c r="J318" s="185" t="s">
        <v>260</v>
      </c>
      <c r="K318" s="185" t="s">
        <v>261</v>
      </c>
    </row>
    <row r="319" spans="1:21">
      <c r="A319" s="133" t="s">
        <v>3301</v>
      </c>
      <c r="B319" s="189" t="s">
        <v>3302</v>
      </c>
      <c r="C319" s="212" t="s">
        <v>262</v>
      </c>
      <c r="D319" s="212" t="s">
        <v>686</v>
      </c>
      <c r="E319" s="192"/>
      <c r="F319" s="189" t="s">
        <v>1136</v>
      </c>
      <c r="G319" s="189" t="s">
        <v>3099</v>
      </c>
      <c r="H319" s="212" t="s">
        <v>262</v>
      </c>
      <c r="I319" s="189" t="s">
        <v>3303</v>
      </c>
      <c r="J319" s="208"/>
      <c r="K319" s="213" t="s">
        <v>3100</v>
      </c>
      <c r="O319" s="184"/>
      <c r="P319" s="184"/>
      <c r="Q319" s="184"/>
      <c r="R319" s="184"/>
      <c r="S319" s="184"/>
      <c r="T319" s="184"/>
      <c r="U319" s="184"/>
    </row>
    <row r="320" spans="1:21">
      <c r="A320" s="133" t="s">
        <v>3301</v>
      </c>
      <c r="B320" s="189" t="s">
        <v>3304</v>
      </c>
      <c r="C320" s="212" t="s">
        <v>267</v>
      </c>
      <c r="D320" s="212" t="s">
        <v>686</v>
      </c>
      <c r="E320" s="192"/>
      <c r="F320" s="189" t="s">
        <v>1136</v>
      </c>
      <c r="G320" s="189" t="s">
        <v>3102</v>
      </c>
      <c r="H320" s="212" t="s">
        <v>267</v>
      </c>
      <c r="I320" s="189" t="s">
        <v>3305</v>
      </c>
      <c r="J320" s="208"/>
      <c r="K320" s="213" t="s">
        <v>3100</v>
      </c>
      <c r="O320" s="184"/>
      <c r="P320" s="184"/>
      <c r="Q320" s="184"/>
      <c r="R320" s="184"/>
      <c r="S320" s="184"/>
      <c r="T320" s="184"/>
      <c r="U320" s="184"/>
    </row>
    <row r="321" spans="1:21">
      <c r="A321" s="133" t="s">
        <v>3301</v>
      </c>
      <c r="B321" s="189" t="s">
        <v>3104</v>
      </c>
      <c r="C321" s="212" t="s">
        <v>267</v>
      </c>
      <c r="D321" s="212" t="s">
        <v>686</v>
      </c>
      <c r="E321" s="192"/>
      <c r="F321" s="189" t="s">
        <v>1136</v>
      </c>
      <c r="G321" s="189" t="s">
        <v>916</v>
      </c>
      <c r="H321" s="212" t="s">
        <v>267</v>
      </c>
      <c r="I321" s="189" t="s">
        <v>917</v>
      </c>
      <c r="J321" s="208"/>
      <c r="K321" s="213" t="s">
        <v>3100</v>
      </c>
      <c r="O321" s="184"/>
      <c r="P321" s="184"/>
      <c r="Q321" s="184"/>
      <c r="R321" s="184"/>
      <c r="S321" s="184"/>
      <c r="T321" s="184"/>
      <c r="U321" s="184"/>
    </row>
    <row r="322" spans="1:21">
      <c r="A322" s="133" t="s">
        <v>3301</v>
      </c>
      <c r="B322" s="189" t="s">
        <v>3105</v>
      </c>
      <c r="C322" s="212" t="s">
        <v>267</v>
      </c>
      <c r="D322" s="212" t="s">
        <v>686</v>
      </c>
      <c r="E322" s="192"/>
      <c r="F322" s="189" t="s">
        <v>1136</v>
      </c>
      <c r="G322" s="189" t="s">
        <v>914</v>
      </c>
      <c r="H322" s="212" t="s">
        <v>267</v>
      </c>
      <c r="I322" s="189" t="s">
        <v>915</v>
      </c>
      <c r="J322" s="208"/>
      <c r="K322" s="213" t="s">
        <v>3100</v>
      </c>
      <c r="O322" s="184"/>
      <c r="P322" s="184"/>
      <c r="Q322" s="184"/>
      <c r="R322" s="184"/>
      <c r="S322" s="184"/>
      <c r="T322" s="184"/>
      <c r="U322" s="184"/>
    </row>
    <row r="323" spans="1:21">
      <c r="A323" s="133" t="s">
        <v>3301</v>
      </c>
      <c r="B323" s="189" t="s">
        <v>3107</v>
      </c>
      <c r="C323" s="212" t="s">
        <v>267</v>
      </c>
      <c r="D323" s="212" t="s">
        <v>686</v>
      </c>
      <c r="E323" s="192"/>
      <c r="F323" s="189" t="s">
        <v>1136</v>
      </c>
      <c r="G323" s="189" t="s">
        <v>927</v>
      </c>
      <c r="H323" s="212" t="s">
        <v>267</v>
      </c>
      <c r="I323" s="189" t="s">
        <v>928</v>
      </c>
      <c r="J323" s="208"/>
      <c r="K323" s="213" t="s">
        <v>3100</v>
      </c>
      <c r="O323" s="184"/>
      <c r="P323" s="184"/>
      <c r="Q323" s="184"/>
      <c r="R323" s="184"/>
      <c r="S323" s="184"/>
      <c r="T323" s="184"/>
      <c r="U323" s="184"/>
    </row>
    <row r="324" spans="1:21">
      <c r="A324" s="133" t="s">
        <v>3301</v>
      </c>
      <c r="B324" s="189" t="s">
        <v>3108</v>
      </c>
      <c r="C324" s="212" t="s">
        <v>267</v>
      </c>
      <c r="D324" s="212" t="s">
        <v>686</v>
      </c>
      <c r="E324" s="192"/>
      <c r="F324" s="189" t="s">
        <v>1136</v>
      </c>
      <c r="G324" s="189" t="s">
        <v>924</v>
      </c>
      <c r="H324" s="212" t="s">
        <v>267</v>
      </c>
      <c r="I324" s="189" t="s">
        <v>925</v>
      </c>
      <c r="J324" s="208"/>
      <c r="K324" s="213" t="s">
        <v>3100</v>
      </c>
      <c r="O324" s="184"/>
      <c r="P324" s="184"/>
      <c r="Q324" s="184"/>
      <c r="R324" s="184"/>
      <c r="S324" s="184"/>
      <c r="T324" s="184"/>
      <c r="U324" s="184"/>
    </row>
    <row r="325" spans="1:21">
      <c r="A325" s="133" t="s">
        <v>3301</v>
      </c>
      <c r="B325" s="189" t="s">
        <v>92</v>
      </c>
      <c r="C325" s="212" t="s">
        <v>267</v>
      </c>
      <c r="D325" s="212" t="s">
        <v>686</v>
      </c>
      <c r="E325" s="192"/>
      <c r="F325" s="189" t="s">
        <v>1136</v>
      </c>
      <c r="G325" s="189" t="s">
        <v>310</v>
      </c>
      <c r="H325" s="212" t="s">
        <v>267</v>
      </c>
      <c r="I325" s="189" t="s">
        <v>1110</v>
      </c>
      <c r="J325" s="208"/>
      <c r="K325" s="213" t="s">
        <v>3100</v>
      </c>
      <c r="O325" s="184"/>
      <c r="P325" s="184"/>
      <c r="Q325" s="184"/>
      <c r="R325" s="184"/>
      <c r="S325" s="184"/>
      <c r="T325" s="184"/>
      <c r="U325" s="184"/>
    </row>
    <row r="326" spans="1:21">
      <c r="A326" s="133" t="s">
        <v>3301</v>
      </c>
      <c r="B326" s="189" t="s">
        <v>95</v>
      </c>
      <c r="C326" s="212" t="s">
        <v>267</v>
      </c>
      <c r="D326" s="212" t="s">
        <v>686</v>
      </c>
      <c r="E326" s="192"/>
      <c r="F326" s="189" t="s">
        <v>1136</v>
      </c>
      <c r="G326" s="189" t="s">
        <v>312</v>
      </c>
      <c r="H326" s="212" t="s">
        <v>267</v>
      </c>
      <c r="I326" s="189" t="s">
        <v>1111</v>
      </c>
      <c r="J326" s="208"/>
      <c r="K326" s="213" t="s">
        <v>3100</v>
      </c>
      <c r="O326" s="184"/>
      <c r="P326" s="184"/>
      <c r="Q326" s="184"/>
      <c r="R326" s="184"/>
      <c r="S326" s="184"/>
      <c r="T326" s="184"/>
      <c r="U326" s="184"/>
    </row>
    <row r="327" spans="1:21">
      <c r="A327" s="133" t="s">
        <v>3301</v>
      </c>
      <c r="B327" s="181" t="s">
        <v>929</v>
      </c>
      <c r="C327" s="208" t="s">
        <v>1292</v>
      </c>
      <c r="D327" s="212" t="s">
        <v>686</v>
      </c>
      <c r="E327" s="192"/>
      <c r="F327" s="189" t="s">
        <v>1136</v>
      </c>
      <c r="G327" s="181" t="s">
        <v>929</v>
      </c>
      <c r="H327" s="208" t="s">
        <v>1292</v>
      </c>
      <c r="I327" s="189" t="s">
        <v>930</v>
      </c>
      <c r="J327" s="208"/>
      <c r="K327" s="213" t="s">
        <v>3100</v>
      </c>
      <c r="O327" s="184"/>
      <c r="P327" s="184"/>
      <c r="Q327" s="184"/>
      <c r="R327" s="184"/>
      <c r="S327" s="184"/>
      <c r="T327" s="184"/>
      <c r="U327" s="184"/>
    </row>
    <row r="328" spans="1:21">
      <c r="A328" s="133" t="s">
        <v>3301</v>
      </c>
      <c r="B328" s="181" t="s">
        <v>931</v>
      </c>
      <c r="C328" s="208" t="s">
        <v>1292</v>
      </c>
      <c r="D328" s="212" t="s">
        <v>686</v>
      </c>
      <c r="E328" s="192"/>
      <c r="F328" s="189" t="s">
        <v>1136</v>
      </c>
      <c r="G328" s="181" t="s">
        <v>931</v>
      </c>
      <c r="H328" s="208" t="s">
        <v>1292</v>
      </c>
      <c r="I328" s="189" t="s">
        <v>932</v>
      </c>
      <c r="J328" s="208"/>
      <c r="K328" s="213" t="s">
        <v>3100</v>
      </c>
      <c r="O328" s="184"/>
      <c r="P328" s="184"/>
      <c r="Q328" s="184"/>
      <c r="R328" s="184"/>
      <c r="S328" s="184"/>
      <c r="T328" s="184"/>
      <c r="U328" s="184"/>
    </row>
    <row r="329" spans="1:21">
      <c r="A329" s="119" t="s">
        <v>3301</v>
      </c>
      <c r="B329" s="187" t="s">
        <v>933</v>
      </c>
      <c r="C329" s="187" t="s">
        <v>1292</v>
      </c>
      <c r="D329" s="187" t="s">
        <v>686</v>
      </c>
      <c r="E329" s="119"/>
      <c r="F329" s="187" t="s">
        <v>1136</v>
      </c>
      <c r="G329" s="187" t="s">
        <v>933</v>
      </c>
      <c r="H329" s="187" t="s">
        <v>1292</v>
      </c>
      <c r="I329" s="189" t="s">
        <v>934</v>
      </c>
      <c r="J329" s="187"/>
      <c r="K329" s="213" t="s">
        <v>3100</v>
      </c>
      <c r="O329" s="184"/>
      <c r="P329" s="184"/>
      <c r="Q329" s="184"/>
      <c r="R329" s="184"/>
      <c r="S329" s="184"/>
      <c r="T329" s="184"/>
      <c r="U329" s="184"/>
    </row>
    <row r="330" spans="1:21">
      <c r="A330" s="119" t="s">
        <v>3301</v>
      </c>
      <c r="B330" s="187" t="s">
        <v>935</v>
      </c>
      <c r="C330" s="187" t="s">
        <v>1292</v>
      </c>
      <c r="D330" s="187" t="s">
        <v>686</v>
      </c>
      <c r="E330" s="119"/>
      <c r="F330" s="187" t="s">
        <v>1136</v>
      </c>
      <c r="G330" s="187" t="s">
        <v>935</v>
      </c>
      <c r="H330" s="187" t="s">
        <v>1292</v>
      </c>
      <c r="I330" s="189" t="s">
        <v>936</v>
      </c>
      <c r="J330" s="187"/>
      <c r="K330" s="213" t="s">
        <v>3100</v>
      </c>
      <c r="O330" s="184"/>
      <c r="P330" s="184"/>
      <c r="Q330" s="184"/>
      <c r="R330" s="184"/>
      <c r="S330" s="184"/>
      <c r="T330" s="184"/>
      <c r="U330" s="184"/>
    </row>
    <row r="331" spans="1:21">
      <c r="A331" s="119" t="s">
        <v>3301</v>
      </c>
      <c r="B331" s="187" t="s">
        <v>937</v>
      </c>
      <c r="C331" s="187" t="s">
        <v>1292</v>
      </c>
      <c r="D331" s="187" t="s">
        <v>686</v>
      </c>
      <c r="E331" s="119"/>
      <c r="F331" s="187" t="s">
        <v>1136</v>
      </c>
      <c r="G331" s="187" t="s">
        <v>937</v>
      </c>
      <c r="H331" s="187" t="s">
        <v>1292</v>
      </c>
      <c r="I331" s="189" t="s">
        <v>938</v>
      </c>
      <c r="J331" s="187"/>
      <c r="K331" s="213" t="s">
        <v>3100</v>
      </c>
      <c r="O331" s="184"/>
      <c r="P331" s="184"/>
      <c r="Q331" s="184"/>
      <c r="R331" s="184"/>
      <c r="S331" s="184"/>
      <c r="T331" s="184"/>
      <c r="U331" s="184"/>
    </row>
    <row r="332" spans="1:21">
      <c r="A332" s="119" t="s">
        <v>3301</v>
      </c>
      <c r="B332" s="187" t="s">
        <v>939</v>
      </c>
      <c r="C332" s="187" t="s">
        <v>1292</v>
      </c>
      <c r="D332" s="187" t="s">
        <v>686</v>
      </c>
      <c r="E332" s="119"/>
      <c r="F332" s="187" t="s">
        <v>1136</v>
      </c>
      <c r="G332" s="187" t="s">
        <v>939</v>
      </c>
      <c r="H332" s="187" t="s">
        <v>1292</v>
      </c>
      <c r="I332" s="189" t="s">
        <v>940</v>
      </c>
      <c r="J332" s="187"/>
      <c r="K332" s="213" t="s">
        <v>3100</v>
      </c>
      <c r="O332" s="184"/>
      <c r="P332" s="184"/>
      <c r="Q332" s="184"/>
      <c r="R332" s="184"/>
      <c r="S332" s="184"/>
      <c r="T332" s="184"/>
      <c r="U332" s="184"/>
    </row>
    <row r="333" spans="1:21">
      <c r="A333" s="119" t="s">
        <v>3301</v>
      </c>
      <c r="B333" s="187" t="s">
        <v>941</v>
      </c>
      <c r="C333" s="187" t="s">
        <v>1292</v>
      </c>
      <c r="D333" s="187" t="s">
        <v>686</v>
      </c>
      <c r="E333" s="119"/>
      <c r="F333" s="187" t="s">
        <v>1136</v>
      </c>
      <c r="G333" s="187" t="s">
        <v>941</v>
      </c>
      <c r="H333" s="187" t="s">
        <v>1292</v>
      </c>
      <c r="I333" s="189" t="s">
        <v>942</v>
      </c>
      <c r="J333" s="187"/>
      <c r="K333" s="213" t="s">
        <v>3100</v>
      </c>
      <c r="O333" s="184"/>
      <c r="P333" s="184"/>
      <c r="Q333" s="184"/>
      <c r="R333" s="184"/>
      <c r="S333" s="184"/>
      <c r="T333" s="184"/>
      <c r="U333" s="184"/>
    </row>
    <row r="334" spans="1:21">
      <c r="A334" s="119" t="s">
        <v>3301</v>
      </c>
      <c r="B334" s="187" t="s">
        <v>943</v>
      </c>
      <c r="C334" s="187" t="s">
        <v>1292</v>
      </c>
      <c r="D334" s="187" t="s">
        <v>686</v>
      </c>
      <c r="E334" s="119"/>
      <c r="F334" s="187" t="s">
        <v>1136</v>
      </c>
      <c r="G334" s="187" t="s">
        <v>943</v>
      </c>
      <c r="H334" s="187" t="s">
        <v>1292</v>
      </c>
      <c r="I334" s="189" t="s">
        <v>944</v>
      </c>
      <c r="J334" s="187"/>
      <c r="K334" s="213" t="s">
        <v>3100</v>
      </c>
      <c r="O334" s="184"/>
      <c r="P334" s="184"/>
      <c r="Q334" s="184"/>
      <c r="R334" s="184"/>
      <c r="S334" s="184"/>
      <c r="T334" s="184"/>
      <c r="U334" s="184"/>
    </row>
    <row r="335" spans="1:21">
      <c r="A335" s="119" t="s">
        <v>3301</v>
      </c>
      <c r="B335" s="187" t="s">
        <v>1094</v>
      </c>
      <c r="C335" s="187" t="s">
        <v>1292</v>
      </c>
      <c r="D335" s="187" t="s">
        <v>686</v>
      </c>
      <c r="E335" s="119"/>
      <c r="F335" s="187" t="s">
        <v>1136</v>
      </c>
      <c r="G335" s="187" t="s">
        <v>1094</v>
      </c>
      <c r="H335" s="187" t="s">
        <v>1292</v>
      </c>
      <c r="I335" s="189" t="s">
        <v>1095</v>
      </c>
      <c r="J335" s="187"/>
      <c r="K335" s="213" t="s">
        <v>3100</v>
      </c>
      <c r="O335" s="184"/>
      <c r="P335" s="184"/>
      <c r="Q335" s="184"/>
      <c r="R335" s="184"/>
      <c r="S335" s="184"/>
      <c r="T335" s="184"/>
      <c r="U335" s="184"/>
    </row>
    <row r="336" spans="1:21">
      <c r="A336" s="119" t="s">
        <v>3301</v>
      </c>
      <c r="B336" s="187" t="s">
        <v>1096</v>
      </c>
      <c r="C336" s="187" t="s">
        <v>1292</v>
      </c>
      <c r="D336" s="187" t="s">
        <v>686</v>
      </c>
      <c r="E336" s="119"/>
      <c r="F336" s="187" t="s">
        <v>1136</v>
      </c>
      <c r="G336" s="187" t="s">
        <v>1096</v>
      </c>
      <c r="H336" s="187" t="s">
        <v>1292</v>
      </c>
      <c r="I336" s="189" t="s">
        <v>1097</v>
      </c>
      <c r="J336" s="187"/>
      <c r="K336" s="213" t="s">
        <v>3100</v>
      </c>
      <c r="O336" s="184"/>
      <c r="P336" s="184"/>
      <c r="Q336" s="184"/>
      <c r="R336" s="184"/>
      <c r="S336" s="184"/>
      <c r="T336" s="184"/>
      <c r="U336" s="184"/>
    </row>
    <row r="337" spans="1:21" ht="25">
      <c r="A337" s="119" t="s">
        <v>3301</v>
      </c>
      <c r="B337" s="187" t="s">
        <v>945</v>
      </c>
      <c r="C337" s="187" t="s">
        <v>1292</v>
      </c>
      <c r="D337" s="187" t="s">
        <v>686</v>
      </c>
      <c r="E337" s="119"/>
      <c r="F337" s="187" t="s">
        <v>1136</v>
      </c>
      <c r="G337" s="187" t="s">
        <v>945</v>
      </c>
      <c r="H337" s="187" t="s">
        <v>1292</v>
      </c>
      <c r="I337" s="189" t="s">
        <v>946</v>
      </c>
      <c r="J337" s="187"/>
      <c r="K337" s="213" t="s">
        <v>3100</v>
      </c>
      <c r="O337" s="184"/>
      <c r="P337" s="184"/>
      <c r="Q337" s="184"/>
      <c r="R337" s="184"/>
      <c r="S337" s="184"/>
      <c r="T337" s="184"/>
      <c r="U337" s="184"/>
    </row>
    <row r="338" spans="1:21">
      <c r="A338" s="119" t="s">
        <v>3301</v>
      </c>
      <c r="B338" s="187" t="s">
        <v>947</v>
      </c>
      <c r="C338" s="187" t="s">
        <v>1292</v>
      </c>
      <c r="D338" s="187" t="s">
        <v>686</v>
      </c>
      <c r="E338" s="119"/>
      <c r="F338" s="187" t="s">
        <v>1136</v>
      </c>
      <c r="G338" s="187" t="s">
        <v>947</v>
      </c>
      <c r="H338" s="187" t="s">
        <v>1292</v>
      </c>
      <c r="I338" s="189" t="s">
        <v>948</v>
      </c>
      <c r="J338" s="187"/>
      <c r="K338" s="213" t="s">
        <v>3100</v>
      </c>
      <c r="O338" s="184"/>
      <c r="P338" s="184"/>
      <c r="Q338" s="184"/>
      <c r="R338" s="184"/>
      <c r="S338" s="184"/>
      <c r="T338" s="184"/>
      <c r="U338" s="184"/>
    </row>
    <row r="339" spans="1:21" ht="25">
      <c r="A339" s="119" t="s">
        <v>3301</v>
      </c>
      <c r="B339" s="187" t="s">
        <v>949</v>
      </c>
      <c r="C339" s="187" t="s">
        <v>1292</v>
      </c>
      <c r="D339" s="187" t="s">
        <v>686</v>
      </c>
      <c r="E339" s="119"/>
      <c r="F339" s="187" t="s">
        <v>1136</v>
      </c>
      <c r="G339" s="187" t="s">
        <v>949</v>
      </c>
      <c r="H339" s="187" t="s">
        <v>1292</v>
      </c>
      <c r="I339" s="189" t="s">
        <v>950</v>
      </c>
      <c r="J339" s="187"/>
      <c r="K339" s="213" t="s">
        <v>3100</v>
      </c>
      <c r="O339" s="184"/>
      <c r="P339" s="184"/>
      <c r="Q339" s="184"/>
      <c r="R339" s="184"/>
      <c r="S339" s="184"/>
      <c r="T339" s="184"/>
      <c r="U339" s="184"/>
    </row>
    <row r="340" spans="1:21">
      <c r="A340" s="119" t="s">
        <v>3301</v>
      </c>
      <c r="B340" s="187" t="s">
        <v>951</v>
      </c>
      <c r="C340" s="187" t="s">
        <v>1292</v>
      </c>
      <c r="D340" s="187" t="s">
        <v>686</v>
      </c>
      <c r="E340" s="119"/>
      <c r="F340" s="187" t="s">
        <v>1136</v>
      </c>
      <c r="G340" s="187" t="s">
        <v>951</v>
      </c>
      <c r="H340" s="187" t="s">
        <v>1292</v>
      </c>
      <c r="I340" s="189" t="s">
        <v>952</v>
      </c>
      <c r="J340" s="187"/>
      <c r="K340" s="213" t="s">
        <v>3100</v>
      </c>
      <c r="O340" s="184"/>
      <c r="P340" s="184"/>
      <c r="Q340" s="184"/>
      <c r="R340" s="184"/>
      <c r="S340" s="184"/>
      <c r="T340" s="184"/>
      <c r="U340" s="184"/>
    </row>
    <row r="341" spans="1:21" ht="25">
      <c r="A341" s="119" t="s">
        <v>3301</v>
      </c>
      <c r="B341" s="187" t="s">
        <v>953</v>
      </c>
      <c r="C341" s="187" t="s">
        <v>1292</v>
      </c>
      <c r="D341" s="187" t="s">
        <v>686</v>
      </c>
      <c r="E341" s="119"/>
      <c r="F341" s="187" t="s">
        <v>1136</v>
      </c>
      <c r="G341" s="187" t="s">
        <v>953</v>
      </c>
      <c r="H341" s="187" t="s">
        <v>1292</v>
      </c>
      <c r="I341" s="189" t="s">
        <v>954</v>
      </c>
      <c r="J341" s="187"/>
      <c r="K341" s="213" t="s">
        <v>3100</v>
      </c>
      <c r="O341" s="184"/>
      <c r="P341" s="184"/>
      <c r="Q341" s="184"/>
      <c r="R341" s="184"/>
      <c r="S341" s="184"/>
      <c r="T341" s="184"/>
      <c r="U341" s="184"/>
    </row>
    <row r="342" spans="1:21">
      <c r="A342" s="119" t="s">
        <v>3301</v>
      </c>
      <c r="B342" s="187" t="s">
        <v>955</v>
      </c>
      <c r="C342" s="187" t="s">
        <v>1292</v>
      </c>
      <c r="D342" s="187" t="s">
        <v>686</v>
      </c>
      <c r="E342" s="119"/>
      <c r="F342" s="187" t="s">
        <v>1136</v>
      </c>
      <c r="G342" s="187" t="s">
        <v>955</v>
      </c>
      <c r="H342" s="187" t="s">
        <v>1292</v>
      </c>
      <c r="I342" s="189" t="s">
        <v>956</v>
      </c>
      <c r="J342" s="187"/>
      <c r="K342" s="213" t="s">
        <v>3100</v>
      </c>
      <c r="O342" s="184"/>
      <c r="P342" s="184"/>
      <c r="Q342" s="184"/>
      <c r="R342" s="184"/>
      <c r="S342" s="184"/>
      <c r="T342" s="184"/>
      <c r="U342" s="184"/>
    </row>
    <row r="343" spans="1:21" ht="25">
      <c r="A343" s="119" t="s">
        <v>3301</v>
      </c>
      <c r="B343" s="187" t="s">
        <v>957</v>
      </c>
      <c r="C343" s="187" t="s">
        <v>1292</v>
      </c>
      <c r="D343" s="187" t="s">
        <v>686</v>
      </c>
      <c r="E343" s="119"/>
      <c r="F343" s="187" t="s">
        <v>1136</v>
      </c>
      <c r="G343" s="187" t="s">
        <v>957</v>
      </c>
      <c r="H343" s="187" t="s">
        <v>1292</v>
      </c>
      <c r="I343" s="189" t="s">
        <v>958</v>
      </c>
      <c r="J343" s="187"/>
      <c r="K343" s="213" t="s">
        <v>3100</v>
      </c>
      <c r="O343" s="184"/>
      <c r="P343" s="184"/>
      <c r="Q343" s="184"/>
      <c r="R343" s="184"/>
      <c r="S343" s="184"/>
      <c r="T343" s="184"/>
      <c r="U343" s="184"/>
    </row>
    <row r="344" spans="1:21">
      <c r="A344" s="119" t="s">
        <v>3301</v>
      </c>
      <c r="B344" s="187" t="s">
        <v>959</v>
      </c>
      <c r="C344" s="187" t="s">
        <v>1292</v>
      </c>
      <c r="D344" s="187" t="s">
        <v>686</v>
      </c>
      <c r="E344" s="119"/>
      <c r="F344" s="187" t="s">
        <v>1136</v>
      </c>
      <c r="G344" s="187" t="s">
        <v>959</v>
      </c>
      <c r="H344" s="187" t="s">
        <v>1292</v>
      </c>
      <c r="I344" s="189" t="s">
        <v>960</v>
      </c>
      <c r="J344" s="187"/>
      <c r="K344" s="213" t="s">
        <v>3100</v>
      </c>
      <c r="O344" s="184"/>
      <c r="P344" s="184"/>
      <c r="Q344" s="184"/>
      <c r="R344" s="184"/>
      <c r="S344" s="184"/>
      <c r="T344" s="184"/>
      <c r="U344" s="184"/>
    </row>
    <row r="345" spans="1:21" ht="25">
      <c r="A345" s="119" t="s">
        <v>3301</v>
      </c>
      <c r="B345" s="187" t="s">
        <v>961</v>
      </c>
      <c r="C345" s="187" t="s">
        <v>1292</v>
      </c>
      <c r="D345" s="187" t="s">
        <v>686</v>
      </c>
      <c r="E345" s="119"/>
      <c r="F345" s="187" t="s">
        <v>1136</v>
      </c>
      <c r="G345" s="187" t="s">
        <v>961</v>
      </c>
      <c r="H345" s="187" t="s">
        <v>1292</v>
      </c>
      <c r="I345" s="189" t="s">
        <v>962</v>
      </c>
      <c r="J345" s="187"/>
      <c r="K345" s="213" t="s">
        <v>3100</v>
      </c>
      <c r="O345" s="184"/>
      <c r="P345" s="184"/>
      <c r="Q345" s="184"/>
      <c r="R345" s="184"/>
      <c r="S345" s="184"/>
      <c r="T345" s="184"/>
      <c r="U345" s="184"/>
    </row>
    <row r="346" spans="1:21">
      <c r="A346" s="119" t="s">
        <v>3301</v>
      </c>
      <c r="B346" s="187" t="s">
        <v>963</v>
      </c>
      <c r="C346" s="187" t="s">
        <v>1292</v>
      </c>
      <c r="D346" s="187" t="s">
        <v>686</v>
      </c>
      <c r="E346" s="119"/>
      <c r="F346" s="187" t="s">
        <v>1136</v>
      </c>
      <c r="G346" s="187" t="s">
        <v>963</v>
      </c>
      <c r="H346" s="187" t="s">
        <v>1292</v>
      </c>
      <c r="I346" s="189" t="s">
        <v>964</v>
      </c>
      <c r="J346" s="187"/>
      <c r="K346" s="213" t="s">
        <v>3100</v>
      </c>
      <c r="O346" s="184"/>
      <c r="P346" s="184"/>
      <c r="Q346" s="184"/>
      <c r="R346" s="184"/>
      <c r="S346" s="184"/>
      <c r="T346" s="184"/>
      <c r="U346" s="184"/>
    </row>
    <row r="347" spans="1:21" ht="25">
      <c r="A347" s="119" t="s">
        <v>3301</v>
      </c>
      <c r="B347" s="187" t="s">
        <v>965</v>
      </c>
      <c r="C347" s="187" t="s">
        <v>1292</v>
      </c>
      <c r="D347" s="187" t="s">
        <v>686</v>
      </c>
      <c r="E347" s="119"/>
      <c r="F347" s="187" t="s">
        <v>1136</v>
      </c>
      <c r="G347" s="187" t="s">
        <v>965</v>
      </c>
      <c r="H347" s="187" t="s">
        <v>1292</v>
      </c>
      <c r="I347" s="189" t="s">
        <v>966</v>
      </c>
      <c r="J347" s="187"/>
      <c r="K347" s="213" t="s">
        <v>3100</v>
      </c>
      <c r="O347" s="184"/>
      <c r="P347" s="184"/>
      <c r="Q347" s="184"/>
      <c r="R347" s="184"/>
      <c r="S347" s="184"/>
      <c r="T347" s="184"/>
      <c r="U347" s="184"/>
    </row>
    <row r="348" spans="1:21">
      <c r="A348" s="119" t="s">
        <v>3301</v>
      </c>
      <c r="B348" s="187" t="s">
        <v>967</v>
      </c>
      <c r="C348" s="187" t="s">
        <v>1292</v>
      </c>
      <c r="D348" s="187" t="s">
        <v>686</v>
      </c>
      <c r="E348" s="119"/>
      <c r="F348" s="187" t="s">
        <v>1136</v>
      </c>
      <c r="G348" s="187" t="s">
        <v>967</v>
      </c>
      <c r="H348" s="187" t="s">
        <v>1292</v>
      </c>
      <c r="I348" s="189" t="s">
        <v>968</v>
      </c>
      <c r="J348" s="187"/>
      <c r="K348" s="213" t="s">
        <v>3100</v>
      </c>
      <c r="O348" s="184"/>
      <c r="P348" s="184"/>
      <c r="Q348" s="184"/>
      <c r="R348" s="184"/>
      <c r="S348" s="184"/>
      <c r="T348" s="184"/>
      <c r="U348" s="184"/>
    </row>
    <row r="349" spans="1:21">
      <c r="A349" s="119" t="s">
        <v>3301</v>
      </c>
      <c r="B349" s="187" t="s">
        <v>969</v>
      </c>
      <c r="C349" s="187" t="s">
        <v>1292</v>
      </c>
      <c r="D349" s="187" t="s">
        <v>686</v>
      </c>
      <c r="E349" s="119"/>
      <c r="F349" s="187" t="s">
        <v>1136</v>
      </c>
      <c r="G349" s="187" t="s">
        <v>969</v>
      </c>
      <c r="H349" s="187" t="s">
        <v>1292</v>
      </c>
      <c r="I349" s="189" t="s">
        <v>970</v>
      </c>
      <c r="J349" s="187"/>
      <c r="K349" s="213" t="s">
        <v>3100</v>
      </c>
      <c r="O349" s="184"/>
      <c r="P349" s="184"/>
      <c r="Q349" s="184"/>
      <c r="R349" s="184"/>
      <c r="S349" s="184"/>
      <c r="T349" s="184"/>
      <c r="U349" s="184"/>
    </row>
    <row r="350" spans="1:21" ht="25">
      <c r="A350" s="119" t="s">
        <v>3301</v>
      </c>
      <c r="B350" s="187" t="s">
        <v>971</v>
      </c>
      <c r="C350" s="187" t="s">
        <v>1292</v>
      </c>
      <c r="D350" s="187" t="s">
        <v>686</v>
      </c>
      <c r="E350" s="119"/>
      <c r="F350" s="187" t="s">
        <v>1136</v>
      </c>
      <c r="G350" s="187" t="s">
        <v>971</v>
      </c>
      <c r="H350" s="187" t="s">
        <v>1292</v>
      </c>
      <c r="I350" s="189" t="s">
        <v>972</v>
      </c>
      <c r="J350" s="187"/>
      <c r="K350" s="213" t="s">
        <v>3100</v>
      </c>
      <c r="O350" s="184"/>
      <c r="P350" s="184"/>
      <c r="Q350" s="184"/>
      <c r="R350" s="184"/>
      <c r="S350" s="184"/>
      <c r="T350" s="184"/>
      <c r="U350" s="184"/>
    </row>
    <row r="351" spans="1:21">
      <c r="A351" s="119" t="s">
        <v>3301</v>
      </c>
      <c r="B351" s="187" t="s">
        <v>973</v>
      </c>
      <c r="C351" s="187" t="s">
        <v>1292</v>
      </c>
      <c r="D351" s="187" t="s">
        <v>686</v>
      </c>
      <c r="E351" s="119"/>
      <c r="F351" s="187" t="s">
        <v>1136</v>
      </c>
      <c r="G351" s="187" t="s">
        <v>973</v>
      </c>
      <c r="H351" s="187" t="s">
        <v>1292</v>
      </c>
      <c r="I351" s="189" t="s">
        <v>974</v>
      </c>
      <c r="J351" s="187"/>
      <c r="K351" s="213" t="s">
        <v>3100</v>
      </c>
      <c r="O351" s="184"/>
      <c r="P351" s="184"/>
      <c r="Q351" s="184"/>
      <c r="R351" s="184"/>
      <c r="S351" s="184"/>
      <c r="T351" s="184"/>
      <c r="U351" s="184"/>
    </row>
    <row r="352" spans="1:21" ht="25">
      <c r="A352" s="119" t="s">
        <v>3301</v>
      </c>
      <c r="B352" s="187" t="s">
        <v>975</v>
      </c>
      <c r="C352" s="187" t="s">
        <v>1292</v>
      </c>
      <c r="D352" s="187" t="s">
        <v>686</v>
      </c>
      <c r="E352" s="119"/>
      <c r="F352" s="187" t="s">
        <v>1136</v>
      </c>
      <c r="G352" s="187" t="s">
        <v>975</v>
      </c>
      <c r="H352" s="187" t="s">
        <v>1292</v>
      </c>
      <c r="I352" s="189" t="s">
        <v>976</v>
      </c>
      <c r="J352" s="187"/>
      <c r="K352" s="213" t="s">
        <v>3100</v>
      </c>
      <c r="O352" s="184"/>
      <c r="P352" s="184"/>
      <c r="Q352" s="184"/>
      <c r="R352" s="184"/>
      <c r="S352" s="184"/>
      <c r="T352" s="184"/>
      <c r="U352" s="184"/>
    </row>
    <row r="353" spans="1:21">
      <c r="A353" s="119" t="s">
        <v>3301</v>
      </c>
      <c r="B353" s="187" t="s">
        <v>977</v>
      </c>
      <c r="C353" s="187" t="s">
        <v>1292</v>
      </c>
      <c r="D353" s="187" t="s">
        <v>686</v>
      </c>
      <c r="E353" s="119"/>
      <c r="F353" s="187" t="s">
        <v>1136</v>
      </c>
      <c r="G353" s="187" t="s">
        <v>977</v>
      </c>
      <c r="H353" s="187" t="s">
        <v>1292</v>
      </c>
      <c r="I353" s="189" t="s">
        <v>978</v>
      </c>
      <c r="J353" s="187"/>
      <c r="K353" s="213" t="s">
        <v>3100</v>
      </c>
      <c r="O353" s="184"/>
      <c r="P353" s="184"/>
      <c r="Q353" s="184"/>
      <c r="R353" s="184"/>
      <c r="S353" s="184"/>
      <c r="T353" s="184"/>
      <c r="U353" s="184"/>
    </row>
    <row r="354" spans="1:21">
      <c r="A354" s="119" t="s">
        <v>3301</v>
      </c>
      <c r="B354" s="187" t="s">
        <v>979</v>
      </c>
      <c r="C354" s="187" t="s">
        <v>1292</v>
      </c>
      <c r="D354" s="187" t="s">
        <v>686</v>
      </c>
      <c r="E354" s="119"/>
      <c r="F354" s="187" t="s">
        <v>1136</v>
      </c>
      <c r="G354" s="187" t="s">
        <v>979</v>
      </c>
      <c r="H354" s="187" t="s">
        <v>1292</v>
      </c>
      <c r="I354" s="189" t="s">
        <v>980</v>
      </c>
      <c r="J354" s="187"/>
      <c r="K354" s="213" t="s">
        <v>3100</v>
      </c>
      <c r="O354" s="184"/>
      <c r="P354" s="184"/>
      <c r="Q354" s="184"/>
      <c r="R354" s="184"/>
      <c r="S354" s="184"/>
      <c r="T354" s="184"/>
      <c r="U354" s="184"/>
    </row>
    <row r="355" spans="1:21">
      <c r="A355" s="119" t="s">
        <v>3301</v>
      </c>
      <c r="B355" s="187" t="s">
        <v>981</v>
      </c>
      <c r="C355" s="187" t="s">
        <v>1292</v>
      </c>
      <c r="D355" s="187" t="s">
        <v>686</v>
      </c>
      <c r="E355" s="119"/>
      <c r="F355" s="187" t="s">
        <v>1136</v>
      </c>
      <c r="G355" s="187" t="s">
        <v>981</v>
      </c>
      <c r="H355" s="187" t="s">
        <v>1292</v>
      </c>
      <c r="I355" s="189" t="s">
        <v>982</v>
      </c>
      <c r="J355" s="187"/>
      <c r="K355" s="213" t="s">
        <v>3100</v>
      </c>
      <c r="O355" s="184"/>
      <c r="P355" s="184"/>
      <c r="Q355" s="184"/>
      <c r="R355" s="184"/>
      <c r="S355" s="184"/>
      <c r="T355" s="184"/>
      <c r="U355" s="184"/>
    </row>
    <row r="356" spans="1:21">
      <c r="A356" s="119" t="s">
        <v>3301</v>
      </c>
      <c r="B356" s="187" t="s">
        <v>983</v>
      </c>
      <c r="C356" s="187" t="s">
        <v>1292</v>
      </c>
      <c r="D356" s="187" t="s">
        <v>686</v>
      </c>
      <c r="E356" s="119"/>
      <c r="F356" s="187" t="s">
        <v>1136</v>
      </c>
      <c r="G356" s="187" t="s">
        <v>983</v>
      </c>
      <c r="H356" s="187" t="s">
        <v>1292</v>
      </c>
      <c r="I356" s="189" t="s">
        <v>984</v>
      </c>
      <c r="J356" s="187"/>
      <c r="K356" s="213" t="s">
        <v>3100</v>
      </c>
      <c r="O356" s="184"/>
      <c r="P356" s="184"/>
      <c r="Q356" s="184"/>
      <c r="R356" s="184"/>
      <c r="S356" s="184"/>
      <c r="T356" s="184"/>
      <c r="U356" s="184"/>
    </row>
    <row r="357" spans="1:21">
      <c r="A357" s="119" t="s">
        <v>3301</v>
      </c>
      <c r="B357" s="187" t="s">
        <v>985</v>
      </c>
      <c r="C357" s="187" t="s">
        <v>1292</v>
      </c>
      <c r="D357" s="187" t="s">
        <v>686</v>
      </c>
      <c r="E357" s="119"/>
      <c r="F357" s="187" t="s">
        <v>1136</v>
      </c>
      <c r="G357" s="187" t="s">
        <v>985</v>
      </c>
      <c r="H357" s="187" t="s">
        <v>1292</v>
      </c>
      <c r="I357" s="189" t="s">
        <v>986</v>
      </c>
      <c r="J357" s="187"/>
      <c r="K357" s="213" t="s">
        <v>3100</v>
      </c>
      <c r="O357" s="184"/>
      <c r="P357" s="184"/>
      <c r="Q357" s="184"/>
      <c r="R357" s="184"/>
      <c r="S357" s="184"/>
      <c r="T357" s="184"/>
      <c r="U357" s="184"/>
    </row>
    <row r="358" spans="1:21">
      <c r="A358" s="119" t="s">
        <v>3301</v>
      </c>
      <c r="B358" s="187" t="s">
        <v>987</v>
      </c>
      <c r="C358" s="187" t="s">
        <v>1292</v>
      </c>
      <c r="D358" s="187" t="s">
        <v>686</v>
      </c>
      <c r="E358" s="119"/>
      <c r="F358" s="187" t="s">
        <v>1136</v>
      </c>
      <c r="G358" s="187" t="s">
        <v>987</v>
      </c>
      <c r="H358" s="187" t="s">
        <v>1292</v>
      </c>
      <c r="I358" s="189" t="s">
        <v>988</v>
      </c>
      <c r="J358" s="187"/>
      <c r="K358" s="213" t="s">
        <v>3100</v>
      </c>
      <c r="O358" s="184"/>
      <c r="P358" s="184"/>
      <c r="Q358" s="184"/>
      <c r="R358" s="184"/>
      <c r="S358" s="184"/>
      <c r="T358" s="184"/>
      <c r="U358" s="184"/>
    </row>
    <row r="359" spans="1:21">
      <c r="A359" s="119" t="s">
        <v>3301</v>
      </c>
      <c r="B359" s="187" t="s">
        <v>989</v>
      </c>
      <c r="C359" s="187" t="s">
        <v>1292</v>
      </c>
      <c r="D359" s="187" t="s">
        <v>686</v>
      </c>
      <c r="E359" s="119"/>
      <c r="F359" s="187" t="s">
        <v>1136</v>
      </c>
      <c r="G359" s="187" t="s">
        <v>989</v>
      </c>
      <c r="H359" s="187" t="s">
        <v>1292</v>
      </c>
      <c r="I359" s="189" t="s">
        <v>990</v>
      </c>
      <c r="J359" s="187"/>
      <c r="K359" s="213" t="s">
        <v>3100</v>
      </c>
      <c r="O359" s="184"/>
      <c r="P359" s="184"/>
      <c r="Q359" s="184"/>
      <c r="R359" s="184"/>
      <c r="S359" s="184"/>
      <c r="T359" s="184"/>
      <c r="U359" s="184"/>
    </row>
    <row r="360" spans="1:21" ht="25">
      <c r="A360" s="119" t="s">
        <v>3301</v>
      </c>
      <c r="B360" s="187" t="s">
        <v>991</v>
      </c>
      <c r="C360" s="187" t="s">
        <v>1292</v>
      </c>
      <c r="D360" s="187" t="s">
        <v>686</v>
      </c>
      <c r="E360" s="119"/>
      <c r="F360" s="187" t="s">
        <v>1136</v>
      </c>
      <c r="G360" s="187" t="s">
        <v>991</v>
      </c>
      <c r="H360" s="187" t="s">
        <v>1292</v>
      </c>
      <c r="I360" s="189" t="s">
        <v>992</v>
      </c>
      <c r="J360" s="187"/>
      <c r="K360" s="213" t="s">
        <v>3100</v>
      </c>
      <c r="O360" s="184"/>
      <c r="P360" s="184"/>
      <c r="Q360" s="184"/>
      <c r="R360" s="184"/>
      <c r="S360" s="184"/>
      <c r="T360" s="184"/>
      <c r="U360" s="184"/>
    </row>
    <row r="361" spans="1:21">
      <c r="A361" s="119" t="s">
        <v>3301</v>
      </c>
      <c r="B361" s="187" t="s">
        <v>993</v>
      </c>
      <c r="C361" s="187" t="s">
        <v>1292</v>
      </c>
      <c r="D361" s="187" t="s">
        <v>686</v>
      </c>
      <c r="E361" s="119"/>
      <c r="F361" s="187" t="s">
        <v>1136</v>
      </c>
      <c r="G361" s="187" t="s">
        <v>993</v>
      </c>
      <c r="H361" s="187" t="s">
        <v>1292</v>
      </c>
      <c r="I361" s="189" t="s">
        <v>994</v>
      </c>
      <c r="J361" s="187"/>
      <c r="K361" s="213" t="s">
        <v>3100</v>
      </c>
      <c r="O361" s="184"/>
      <c r="P361" s="184"/>
      <c r="Q361" s="184"/>
      <c r="R361" s="184"/>
      <c r="S361" s="184"/>
      <c r="T361" s="184"/>
      <c r="U361" s="184"/>
    </row>
    <row r="362" spans="1:21">
      <c r="A362" s="119" t="s">
        <v>3301</v>
      </c>
      <c r="B362" s="187" t="s">
        <v>995</v>
      </c>
      <c r="C362" s="187" t="s">
        <v>1292</v>
      </c>
      <c r="D362" s="187" t="s">
        <v>686</v>
      </c>
      <c r="E362" s="119"/>
      <c r="F362" s="187" t="s">
        <v>1136</v>
      </c>
      <c r="G362" s="187" t="s">
        <v>995</v>
      </c>
      <c r="H362" s="187" t="s">
        <v>1292</v>
      </c>
      <c r="I362" s="189" t="s">
        <v>996</v>
      </c>
      <c r="J362" s="187"/>
      <c r="K362" s="213" t="s">
        <v>3100</v>
      </c>
      <c r="O362" s="184"/>
      <c r="P362" s="184"/>
      <c r="Q362" s="184"/>
      <c r="R362" s="184"/>
      <c r="S362" s="184"/>
      <c r="T362" s="184"/>
      <c r="U362" s="184"/>
    </row>
    <row r="363" spans="1:21">
      <c r="A363" s="119" t="s">
        <v>3301</v>
      </c>
      <c r="B363" s="187" t="s">
        <v>997</v>
      </c>
      <c r="C363" s="187" t="s">
        <v>1292</v>
      </c>
      <c r="D363" s="187" t="s">
        <v>686</v>
      </c>
      <c r="E363" s="119"/>
      <c r="F363" s="187" t="s">
        <v>1136</v>
      </c>
      <c r="G363" s="187" t="s">
        <v>997</v>
      </c>
      <c r="H363" s="187" t="s">
        <v>1292</v>
      </c>
      <c r="I363" s="189" t="s">
        <v>998</v>
      </c>
      <c r="J363" s="187"/>
      <c r="K363" s="213" t="s">
        <v>3100</v>
      </c>
      <c r="O363" s="184"/>
      <c r="P363" s="184"/>
      <c r="Q363" s="184"/>
      <c r="R363" s="184"/>
      <c r="S363" s="184"/>
      <c r="T363" s="184"/>
      <c r="U363" s="184"/>
    </row>
    <row r="364" spans="1:21">
      <c r="A364" s="119" t="s">
        <v>3301</v>
      </c>
      <c r="B364" s="187" t="s">
        <v>999</v>
      </c>
      <c r="C364" s="187" t="s">
        <v>1292</v>
      </c>
      <c r="D364" s="187" t="s">
        <v>686</v>
      </c>
      <c r="E364" s="119"/>
      <c r="F364" s="187" t="s">
        <v>1136</v>
      </c>
      <c r="G364" s="187" t="s">
        <v>999</v>
      </c>
      <c r="H364" s="187" t="s">
        <v>1292</v>
      </c>
      <c r="I364" s="189" t="s">
        <v>1000</v>
      </c>
      <c r="J364" s="187"/>
      <c r="K364" s="213" t="s">
        <v>3100</v>
      </c>
      <c r="O364" s="184"/>
      <c r="P364" s="184"/>
      <c r="Q364" s="184"/>
      <c r="R364" s="184"/>
      <c r="S364" s="184"/>
      <c r="T364" s="184"/>
      <c r="U364" s="184"/>
    </row>
    <row r="365" spans="1:21">
      <c r="A365" s="119" t="s">
        <v>3301</v>
      </c>
      <c r="B365" s="187" t="s">
        <v>1001</v>
      </c>
      <c r="C365" s="187" t="s">
        <v>1292</v>
      </c>
      <c r="D365" s="187" t="s">
        <v>686</v>
      </c>
      <c r="E365" s="119"/>
      <c r="F365" s="187" t="s">
        <v>1136</v>
      </c>
      <c r="G365" s="187" t="s">
        <v>1001</v>
      </c>
      <c r="H365" s="187" t="s">
        <v>1292</v>
      </c>
      <c r="I365" s="189" t="s">
        <v>1002</v>
      </c>
      <c r="J365" s="187"/>
      <c r="K365" s="213" t="s">
        <v>3100</v>
      </c>
      <c r="O365" s="184"/>
      <c r="P365" s="184"/>
      <c r="Q365" s="184"/>
      <c r="R365" s="184"/>
      <c r="S365" s="184"/>
      <c r="T365" s="184"/>
      <c r="U365" s="184"/>
    </row>
    <row r="366" spans="1:21">
      <c r="A366" s="119" t="s">
        <v>3301</v>
      </c>
      <c r="B366" s="187" t="s">
        <v>1003</v>
      </c>
      <c r="C366" s="187" t="s">
        <v>1292</v>
      </c>
      <c r="D366" s="187" t="s">
        <v>686</v>
      </c>
      <c r="E366" s="119"/>
      <c r="F366" s="187" t="s">
        <v>1136</v>
      </c>
      <c r="G366" s="187" t="s">
        <v>1003</v>
      </c>
      <c r="H366" s="187" t="s">
        <v>1292</v>
      </c>
      <c r="I366" s="189" t="s">
        <v>1004</v>
      </c>
      <c r="J366" s="187"/>
      <c r="K366" s="213" t="s">
        <v>3100</v>
      </c>
      <c r="O366" s="184"/>
      <c r="P366" s="184"/>
      <c r="Q366" s="184"/>
      <c r="R366" s="184"/>
      <c r="S366" s="184"/>
      <c r="T366" s="184"/>
      <c r="U366" s="184"/>
    </row>
    <row r="367" spans="1:21">
      <c r="A367" s="119" t="s">
        <v>3301</v>
      </c>
      <c r="B367" s="187" t="s">
        <v>1005</v>
      </c>
      <c r="C367" s="187" t="s">
        <v>1292</v>
      </c>
      <c r="D367" s="187" t="s">
        <v>686</v>
      </c>
      <c r="E367" s="119"/>
      <c r="F367" s="187" t="s">
        <v>1136</v>
      </c>
      <c r="G367" s="187" t="s">
        <v>1005</v>
      </c>
      <c r="H367" s="187" t="s">
        <v>1292</v>
      </c>
      <c r="I367" s="189" t="s">
        <v>1006</v>
      </c>
      <c r="J367" s="187"/>
      <c r="K367" s="213" t="s">
        <v>3100</v>
      </c>
      <c r="O367" s="184"/>
      <c r="P367" s="184"/>
      <c r="Q367" s="184"/>
      <c r="R367" s="184"/>
      <c r="S367" s="184"/>
      <c r="T367" s="184"/>
      <c r="U367" s="184"/>
    </row>
    <row r="368" spans="1:21">
      <c r="A368" s="119" t="s">
        <v>3301</v>
      </c>
      <c r="B368" s="187" t="s">
        <v>1007</v>
      </c>
      <c r="C368" s="187" t="s">
        <v>1292</v>
      </c>
      <c r="D368" s="187" t="s">
        <v>686</v>
      </c>
      <c r="E368" s="119"/>
      <c r="F368" s="187" t="s">
        <v>1136</v>
      </c>
      <c r="G368" s="187" t="s">
        <v>1007</v>
      </c>
      <c r="H368" s="187" t="s">
        <v>1292</v>
      </c>
      <c r="I368" s="189" t="s">
        <v>1008</v>
      </c>
      <c r="J368" s="187"/>
      <c r="K368" s="213" t="s">
        <v>3100</v>
      </c>
      <c r="O368" s="184"/>
      <c r="P368" s="184"/>
      <c r="Q368" s="184"/>
      <c r="R368" s="184"/>
      <c r="S368" s="184"/>
      <c r="T368" s="184"/>
      <c r="U368" s="184"/>
    </row>
    <row r="369" spans="1:21">
      <c r="A369" s="119" t="s">
        <v>3301</v>
      </c>
      <c r="B369" s="187" t="s">
        <v>1009</v>
      </c>
      <c r="C369" s="187" t="s">
        <v>1292</v>
      </c>
      <c r="D369" s="187" t="s">
        <v>686</v>
      </c>
      <c r="E369" s="119"/>
      <c r="F369" s="187" t="s">
        <v>1136</v>
      </c>
      <c r="G369" s="187" t="s">
        <v>1009</v>
      </c>
      <c r="H369" s="187" t="s">
        <v>1292</v>
      </c>
      <c r="I369" s="189" t="s">
        <v>1010</v>
      </c>
      <c r="J369" s="187"/>
      <c r="K369" s="213" t="s">
        <v>3100</v>
      </c>
      <c r="O369" s="184"/>
      <c r="P369" s="184"/>
      <c r="Q369" s="184"/>
      <c r="R369" s="184"/>
      <c r="S369" s="184"/>
      <c r="T369" s="184"/>
      <c r="U369" s="184"/>
    </row>
    <row r="370" spans="1:21">
      <c r="A370" s="119" t="s">
        <v>3301</v>
      </c>
      <c r="B370" s="187" t="s">
        <v>1011</v>
      </c>
      <c r="C370" s="187" t="s">
        <v>1292</v>
      </c>
      <c r="D370" s="187" t="s">
        <v>686</v>
      </c>
      <c r="E370" s="119"/>
      <c r="F370" s="187" t="s">
        <v>1136</v>
      </c>
      <c r="G370" s="187" t="s">
        <v>1011</v>
      </c>
      <c r="H370" s="187" t="s">
        <v>1292</v>
      </c>
      <c r="I370" s="189" t="s">
        <v>1012</v>
      </c>
      <c r="J370" s="187"/>
      <c r="K370" s="213" t="s">
        <v>3100</v>
      </c>
      <c r="O370" s="184"/>
      <c r="P370" s="184"/>
      <c r="Q370" s="184"/>
      <c r="R370" s="184"/>
      <c r="S370" s="184"/>
      <c r="T370" s="184"/>
      <c r="U370" s="184"/>
    </row>
    <row r="371" spans="1:21">
      <c r="A371" s="119" t="s">
        <v>3301</v>
      </c>
      <c r="B371" s="187" t="s">
        <v>1013</v>
      </c>
      <c r="C371" s="187" t="s">
        <v>1292</v>
      </c>
      <c r="D371" s="187" t="s">
        <v>686</v>
      </c>
      <c r="E371" s="119"/>
      <c r="F371" s="187" t="s">
        <v>1136</v>
      </c>
      <c r="G371" s="187" t="s">
        <v>1013</v>
      </c>
      <c r="H371" s="187" t="s">
        <v>1292</v>
      </c>
      <c r="I371" s="189" t="s">
        <v>1014</v>
      </c>
      <c r="J371" s="187"/>
      <c r="K371" s="213" t="s">
        <v>3100</v>
      </c>
      <c r="O371" s="184"/>
      <c r="P371" s="184"/>
      <c r="Q371" s="184"/>
      <c r="R371" s="184"/>
      <c r="S371" s="184"/>
      <c r="T371" s="184"/>
      <c r="U371" s="184"/>
    </row>
    <row r="372" spans="1:21" ht="25">
      <c r="A372" s="119" t="s">
        <v>3301</v>
      </c>
      <c r="B372" s="187" t="s">
        <v>1015</v>
      </c>
      <c r="C372" s="187" t="s">
        <v>1292</v>
      </c>
      <c r="D372" s="187" t="s">
        <v>686</v>
      </c>
      <c r="E372" s="119"/>
      <c r="F372" s="187" t="s">
        <v>1136</v>
      </c>
      <c r="G372" s="187" t="s">
        <v>1015</v>
      </c>
      <c r="H372" s="187" t="s">
        <v>1292</v>
      </c>
      <c r="I372" s="189" t="s">
        <v>1016</v>
      </c>
      <c r="J372" s="187"/>
      <c r="K372" s="213" t="s">
        <v>3100</v>
      </c>
      <c r="O372" s="184"/>
      <c r="P372" s="184"/>
      <c r="Q372" s="184"/>
      <c r="R372" s="184"/>
      <c r="S372" s="184"/>
      <c r="T372" s="184"/>
      <c r="U372" s="184"/>
    </row>
    <row r="373" spans="1:21" ht="25">
      <c r="A373" s="119" t="s">
        <v>3301</v>
      </c>
      <c r="B373" s="187" t="s">
        <v>1017</v>
      </c>
      <c r="C373" s="187" t="s">
        <v>1292</v>
      </c>
      <c r="D373" s="187" t="s">
        <v>686</v>
      </c>
      <c r="E373" s="119"/>
      <c r="F373" s="187" t="s">
        <v>1136</v>
      </c>
      <c r="G373" s="187" t="s">
        <v>1017</v>
      </c>
      <c r="H373" s="187" t="s">
        <v>1292</v>
      </c>
      <c r="I373" s="189" t="s">
        <v>1018</v>
      </c>
      <c r="J373" s="187"/>
      <c r="K373" s="213" t="s">
        <v>3100</v>
      </c>
      <c r="O373" s="184"/>
      <c r="P373" s="184"/>
      <c r="Q373" s="184"/>
      <c r="R373" s="184"/>
      <c r="S373" s="184"/>
      <c r="T373" s="184"/>
      <c r="U373" s="184"/>
    </row>
    <row r="374" spans="1:21" ht="25">
      <c r="A374" s="119" t="s">
        <v>3301</v>
      </c>
      <c r="B374" s="187" t="s">
        <v>1019</v>
      </c>
      <c r="C374" s="187" t="s">
        <v>1292</v>
      </c>
      <c r="D374" s="187" t="s">
        <v>686</v>
      </c>
      <c r="E374" s="119"/>
      <c r="F374" s="187" t="s">
        <v>1136</v>
      </c>
      <c r="G374" s="187" t="s">
        <v>1019</v>
      </c>
      <c r="H374" s="187" t="s">
        <v>1292</v>
      </c>
      <c r="I374" s="189" t="s">
        <v>1020</v>
      </c>
      <c r="J374" s="187"/>
      <c r="K374" s="213" t="s">
        <v>3100</v>
      </c>
      <c r="O374" s="184"/>
      <c r="P374" s="184"/>
      <c r="Q374" s="184"/>
      <c r="R374" s="184"/>
      <c r="S374" s="184"/>
      <c r="T374" s="184"/>
      <c r="U374" s="184"/>
    </row>
    <row r="375" spans="1:21" ht="25">
      <c r="A375" s="119" t="s">
        <v>3301</v>
      </c>
      <c r="B375" s="187" t="s">
        <v>1021</v>
      </c>
      <c r="C375" s="187" t="s">
        <v>1292</v>
      </c>
      <c r="D375" s="187" t="s">
        <v>686</v>
      </c>
      <c r="E375" s="119"/>
      <c r="F375" s="187" t="s">
        <v>1136</v>
      </c>
      <c r="G375" s="187" t="s">
        <v>1021</v>
      </c>
      <c r="H375" s="187" t="s">
        <v>1292</v>
      </c>
      <c r="I375" s="189" t="s">
        <v>1022</v>
      </c>
      <c r="J375" s="187"/>
      <c r="K375" s="213" t="s">
        <v>3100</v>
      </c>
      <c r="O375" s="184"/>
      <c r="P375" s="184"/>
      <c r="Q375" s="184"/>
      <c r="R375" s="184"/>
      <c r="S375" s="184"/>
      <c r="T375" s="184"/>
      <c r="U375" s="184"/>
    </row>
    <row r="376" spans="1:21">
      <c r="A376" s="119" t="s">
        <v>3301</v>
      </c>
      <c r="B376" s="187" t="s">
        <v>1102</v>
      </c>
      <c r="C376" s="187" t="s">
        <v>1292</v>
      </c>
      <c r="D376" s="187" t="s">
        <v>686</v>
      </c>
      <c r="E376" s="119"/>
      <c r="F376" s="187" t="s">
        <v>1136</v>
      </c>
      <c r="G376" s="187" t="s">
        <v>1102</v>
      </c>
      <c r="H376" s="187" t="s">
        <v>1292</v>
      </c>
      <c r="I376" s="189" t="s">
        <v>1103</v>
      </c>
      <c r="J376" s="187"/>
      <c r="K376" s="213" t="s">
        <v>3100</v>
      </c>
      <c r="O376" s="184"/>
      <c r="P376" s="184"/>
      <c r="Q376" s="184"/>
      <c r="R376" s="184"/>
      <c r="S376" s="184"/>
      <c r="T376" s="184"/>
      <c r="U376" s="184"/>
    </row>
    <row r="377" spans="1:21">
      <c r="A377" s="119" t="s">
        <v>3301</v>
      </c>
      <c r="B377" s="187" t="s">
        <v>1104</v>
      </c>
      <c r="C377" s="187" t="s">
        <v>1292</v>
      </c>
      <c r="D377" s="187" t="s">
        <v>686</v>
      </c>
      <c r="E377" s="119"/>
      <c r="F377" s="187" t="s">
        <v>1136</v>
      </c>
      <c r="G377" s="187" t="s">
        <v>1104</v>
      </c>
      <c r="H377" s="187" t="s">
        <v>1292</v>
      </c>
      <c r="I377" s="189" t="s">
        <v>1105</v>
      </c>
      <c r="J377" s="187"/>
      <c r="K377" s="213" t="s">
        <v>3100</v>
      </c>
      <c r="O377" s="184"/>
      <c r="P377" s="184"/>
      <c r="Q377" s="184"/>
      <c r="R377" s="184"/>
      <c r="S377" s="184"/>
      <c r="T377" s="184"/>
      <c r="U377" s="184"/>
    </row>
    <row r="378" spans="1:21">
      <c r="A378" s="119" t="s">
        <v>3301</v>
      </c>
      <c r="B378" s="187" t="s">
        <v>1106</v>
      </c>
      <c r="C378" s="187" t="s">
        <v>1292</v>
      </c>
      <c r="D378" s="187" t="s">
        <v>686</v>
      </c>
      <c r="E378" s="119"/>
      <c r="F378" s="187" t="s">
        <v>1136</v>
      </c>
      <c r="G378" s="187" t="s">
        <v>1106</v>
      </c>
      <c r="H378" s="187" t="s">
        <v>1292</v>
      </c>
      <c r="I378" s="189" t="s">
        <v>1107</v>
      </c>
      <c r="J378" s="187"/>
      <c r="K378" s="213" t="s">
        <v>3100</v>
      </c>
      <c r="O378" s="184"/>
      <c r="P378" s="184"/>
      <c r="Q378" s="184"/>
      <c r="R378" s="184"/>
      <c r="S378" s="184"/>
      <c r="T378" s="184"/>
      <c r="U378" s="184"/>
    </row>
    <row r="379" spans="1:21" ht="25">
      <c r="A379" s="119" t="s">
        <v>3301</v>
      </c>
      <c r="B379" s="187" t="s">
        <v>1108</v>
      </c>
      <c r="C379" s="187" t="s">
        <v>1292</v>
      </c>
      <c r="D379" s="187" t="s">
        <v>686</v>
      </c>
      <c r="E379" s="119"/>
      <c r="F379" s="187" t="s">
        <v>1136</v>
      </c>
      <c r="G379" s="187" t="s">
        <v>1108</v>
      </c>
      <c r="H379" s="187" t="s">
        <v>1292</v>
      </c>
      <c r="I379" s="189" t="s">
        <v>1109</v>
      </c>
      <c r="J379" s="187"/>
      <c r="K379" s="213" t="s">
        <v>3100</v>
      </c>
      <c r="O379" s="184"/>
      <c r="P379" s="184"/>
      <c r="Q379" s="184"/>
      <c r="R379" s="184"/>
      <c r="S379" s="184"/>
      <c r="T379" s="184"/>
      <c r="U379" s="184"/>
    </row>
    <row r="380" spans="1:21">
      <c r="A380" s="119" t="s">
        <v>3301</v>
      </c>
      <c r="B380" s="187" t="s">
        <v>1023</v>
      </c>
      <c r="C380" s="187" t="s">
        <v>1292</v>
      </c>
      <c r="D380" s="187" t="s">
        <v>686</v>
      </c>
      <c r="E380" s="119"/>
      <c r="F380" s="187" t="s">
        <v>1136</v>
      </c>
      <c r="G380" s="187" t="s">
        <v>1023</v>
      </c>
      <c r="H380" s="187" t="s">
        <v>1292</v>
      </c>
      <c r="I380" s="189" t="s">
        <v>1024</v>
      </c>
      <c r="J380" s="187"/>
      <c r="K380" s="213" t="s">
        <v>3100</v>
      </c>
      <c r="O380" s="184"/>
      <c r="P380" s="184"/>
      <c r="Q380" s="184"/>
      <c r="R380" s="184"/>
      <c r="S380" s="184"/>
      <c r="T380" s="184"/>
      <c r="U380" s="184"/>
    </row>
    <row r="381" spans="1:21">
      <c r="A381" s="119" t="s">
        <v>3301</v>
      </c>
      <c r="B381" s="187" t="s">
        <v>1025</v>
      </c>
      <c r="C381" s="187" t="s">
        <v>1292</v>
      </c>
      <c r="D381" s="187" t="s">
        <v>686</v>
      </c>
      <c r="E381" s="119"/>
      <c r="F381" s="187" t="s">
        <v>1136</v>
      </c>
      <c r="G381" s="187" t="s">
        <v>1025</v>
      </c>
      <c r="H381" s="187" t="s">
        <v>1292</v>
      </c>
      <c r="I381" s="189" t="s">
        <v>1026</v>
      </c>
      <c r="J381" s="187"/>
      <c r="K381" s="213" t="s">
        <v>3100</v>
      </c>
      <c r="O381" s="184"/>
      <c r="P381" s="184"/>
      <c r="Q381" s="184"/>
      <c r="R381" s="184"/>
      <c r="S381" s="184"/>
      <c r="T381" s="184"/>
      <c r="U381" s="184"/>
    </row>
    <row r="382" spans="1:21">
      <c r="A382" s="119" t="s">
        <v>3301</v>
      </c>
      <c r="B382" s="187" t="s">
        <v>1027</v>
      </c>
      <c r="C382" s="187" t="s">
        <v>1292</v>
      </c>
      <c r="D382" s="187" t="s">
        <v>686</v>
      </c>
      <c r="E382" s="119"/>
      <c r="F382" s="187" t="s">
        <v>1136</v>
      </c>
      <c r="G382" s="187" t="s">
        <v>1027</v>
      </c>
      <c r="H382" s="187" t="s">
        <v>1292</v>
      </c>
      <c r="I382" s="189" t="s">
        <v>1028</v>
      </c>
      <c r="J382" s="187"/>
      <c r="K382" s="213" t="s">
        <v>3100</v>
      </c>
      <c r="O382" s="184"/>
      <c r="P382" s="184"/>
      <c r="Q382" s="184"/>
      <c r="R382" s="184"/>
      <c r="S382" s="184"/>
      <c r="T382" s="184"/>
      <c r="U382" s="184"/>
    </row>
    <row r="383" spans="1:21" ht="25">
      <c r="A383" s="119" t="s">
        <v>3301</v>
      </c>
      <c r="B383" s="187" t="s">
        <v>1029</v>
      </c>
      <c r="C383" s="187" t="s">
        <v>1292</v>
      </c>
      <c r="D383" s="187" t="s">
        <v>686</v>
      </c>
      <c r="E383" s="119"/>
      <c r="F383" s="187" t="s">
        <v>1136</v>
      </c>
      <c r="G383" s="187" t="s">
        <v>1029</v>
      </c>
      <c r="H383" s="187" t="s">
        <v>1292</v>
      </c>
      <c r="I383" s="189" t="s">
        <v>1030</v>
      </c>
      <c r="J383" s="187"/>
      <c r="K383" s="213" t="s">
        <v>3100</v>
      </c>
      <c r="O383" s="184"/>
      <c r="P383" s="184"/>
      <c r="Q383" s="184"/>
      <c r="R383" s="184"/>
      <c r="S383" s="184"/>
      <c r="T383" s="184"/>
      <c r="U383" s="184"/>
    </row>
    <row r="384" spans="1:21">
      <c r="A384" s="119" t="s">
        <v>3301</v>
      </c>
      <c r="B384" s="187" t="s">
        <v>1031</v>
      </c>
      <c r="C384" s="187" t="s">
        <v>1292</v>
      </c>
      <c r="D384" s="187" t="s">
        <v>686</v>
      </c>
      <c r="E384" s="119"/>
      <c r="F384" s="187" t="s">
        <v>1136</v>
      </c>
      <c r="G384" s="187" t="s">
        <v>1031</v>
      </c>
      <c r="H384" s="187" t="s">
        <v>1292</v>
      </c>
      <c r="I384" s="189" t="s">
        <v>1032</v>
      </c>
      <c r="J384" s="187"/>
      <c r="K384" s="213" t="s">
        <v>3100</v>
      </c>
      <c r="O384" s="184"/>
      <c r="P384" s="184"/>
      <c r="Q384" s="184"/>
      <c r="R384" s="184"/>
      <c r="S384" s="184"/>
      <c r="T384" s="184"/>
      <c r="U384" s="184"/>
    </row>
    <row r="385" spans="1:21">
      <c r="A385" s="119" t="s">
        <v>3301</v>
      </c>
      <c r="B385" s="187" t="s">
        <v>1033</v>
      </c>
      <c r="C385" s="187" t="s">
        <v>1292</v>
      </c>
      <c r="D385" s="187" t="s">
        <v>686</v>
      </c>
      <c r="E385" s="119"/>
      <c r="F385" s="187" t="s">
        <v>1136</v>
      </c>
      <c r="G385" s="187" t="s">
        <v>1033</v>
      </c>
      <c r="H385" s="187" t="s">
        <v>1292</v>
      </c>
      <c r="I385" s="189" t="s">
        <v>1034</v>
      </c>
      <c r="J385" s="187"/>
      <c r="K385" s="213" t="s">
        <v>3100</v>
      </c>
      <c r="O385" s="184"/>
      <c r="P385" s="184"/>
      <c r="Q385" s="184"/>
      <c r="R385" s="184"/>
      <c r="S385" s="184"/>
      <c r="T385" s="184"/>
      <c r="U385" s="184"/>
    </row>
    <row r="386" spans="1:21">
      <c r="A386" s="119" t="s">
        <v>3301</v>
      </c>
      <c r="B386" s="187" t="s">
        <v>1035</v>
      </c>
      <c r="C386" s="187" t="s">
        <v>1292</v>
      </c>
      <c r="D386" s="187" t="s">
        <v>686</v>
      </c>
      <c r="E386" s="119"/>
      <c r="F386" s="187" t="s">
        <v>1136</v>
      </c>
      <c r="G386" s="187" t="s">
        <v>1035</v>
      </c>
      <c r="H386" s="187" t="s">
        <v>1292</v>
      </c>
      <c r="I386" s="189" t="s">
        <v>1036</v>
      </c>
      <c r="J386" s="187"/>
      <c r="K386" s="213" t="s">
        <v>3100</v>
      </c>
      <c r="O386" s="184"/>
      <c r="P386" s="184"/>
      <c r="Q386" s="184"/>
      <c r="R386" s="184"/>
      <c r="S386" s="184"/>
      <c r="T386" s="184"/>
      <c r="U386" s="184"/>
    </row>
    <row r="387" spans="1:21" ht="25">
      <c r="A387" s="119" t="s">
        <v>3301</v>
      </c>
      <c r="B387" s="187" t="s">
        <v>1037</v>
      </c>
      <c r="C387" s="187" t="s">
        <v>1292</v>
      </c>
      <c r="D387" s="187" t="s">
        <v>686</v>
      </c>
      <c r="E387" s="119"/>
      <c r="F387" s="187" t="s">
        <v>1136</v>
      </c>
      <c r="G387" s="187" t="s">
        <v>1037</v>
      </c>
      <c r="H387" s="187" t="s">
        <v>1292</v>
      </c>
      <c r="I387" s="189" t="s">
        <v>1038</v>
      </c>
      <c r="J387" s="187"/>
      <c r="K387" s="213" t="s">
        <v>3100</v>
      </c>
      <c r="O387" s="184"/>
      <c r="P387" s="184"/>
      <c r="Q387" s="184"/>
      <c r="R387" s="184"/>
      <c r="S387" s="184"/>
      <c r="T387" s="184"/>
      <c r="U387" s="184"/>
    </row>
    <row r="388" spans="1:21">
      <c r="A388" s="119" t="s">
        <v>3301</v>
      </c>
      <c r="B388" s="187" t="s">
        <v>1039</v>
      </c>
      <c r="C388" s="187" t="s">
        <v>1292</v>
      </c>
      <c r="D388" s="187" t="s">
        <v>686</v>
      </c>
      <c r="E388" s="119"/>
      <c r="F388" s="187" t="s">
        <v>1136</v>
      </c>
      <c r="G388" s="187" t="s">
        <v>1039</v>
      </c>
      <c r="H388" s="187" t="s">
        <v>1292</v>
      </c>
      <c r="I388" s="189" t="s">
        <v>1040</v>
      </c>
      <c r="J388" s="187"/>
      <c r="K388" s="213" t="s">
        <v>3100</v>
      </c>
      <c r="O388" s="184"/>
      <c r="P388" s="184"/>
      <c r="Q388" s="184"/>
      <c r="R388" s="184"/>
      <c r="S388" s="184"/>
      <c r="T388" s="184"/>
      <c r="U388" s="184"/>
    </row>
    <row r="389" spans="1:21" ht="25">
      <c r="A389" s="119" t="s">
        <v>3301</v>
      </c>
      <c r="B389" s="187" t="s">
        <v>1041</v>
      </c>
      <c r="C389" s="187" t="s">
        <v>1292</v>
      </c>
      <c r="D389" s="187" t="s">
        <v>686</v>
      </c>
      <c r="E389" s="119"/>
      <c r="F389" s="187" t="s">
        <v>1136</v>
      </c>
      <c r="G389" s="187" t="s">
        <v>1041</v>
      </c>
      <c r="H389" s="187" t="s">
        <v>1292</v>
      </c>
      <c r="I389" s="189" t="s">
        <v>1042</v>
      </c>
      <c r="J389" s="187"/>
      <c r="K389" s="213" t="s">
        <v>3100</v>
      </c>
      <c r="O389" s="184"/>
      <c r="P389" s="184"/>
      <c r="Q389" s="184"/>
      <c r="R389" s="184"/>
      <c r="S389" s="184"/>
      <c r="T389" s="184"/>
      <c r="U389" s="184"/>
    </row>
    <row r="390" spans="1:21">
      <c r="A390" s="119" t="s">
        <v>3301</v>
      </c>
      <c r="B390" s="187" t="s">
        <v>1043</v>
      </c>
      <c r="C390" s="187" t="s">
        <v>1292</v>
      </c>
      <c r="D390" s="187" t="s">
        <v>686</v>
      </c>
      <c r="E390" s="119"/>
      <c r="F390" s="187" t="s">
        <v>1136</v>
      </c>
      <c r="G390" s="187" t="s">
        <v>1043</v>
      </c>
      <c r="H390" s="187" t="s">
        <v>1292</v>
      </c>
      <c r="I390" s="189" t="s">
        <v>1044</v>
      </c>
      <c r="J390" s="187"/>
      <c r="K390" s="213" t="s">
        <v>3100</v>
      </c>
      <c r="O390" s="184"/>
      <c r="P390" s="184"/>
      <c r="Q390" s="184"/>
      <c r="R390" s="184"/>
      <c r="S390" s="184"/>
      <c r="T390" s="184"/>
      <c r="U390" s="184"/>
    </row>
    <row r="391" spans="1:21" ht="25">
      <c r="A391" s="119" t="s">
        <v>3301</v>
      </c>
      <c r="B391" s="187" t="s">
        <v>1045</v>
      </c>
      <c r="C391" s="187" t="s">
        <v>1292</v>
      </c>
      <c r="D391" s="187" t="s">
        <v>686</v>
      </c>
      <c r="E391" s="119"/>
      <c r="F391" s="187" t="s">
        <v>1136</v>
      </c>
      <c r="G391" s="187" t="s">
        <v>1045</v>
      </c>
      <c r="H391" s="187" t="s">
        <v>1292</v>
      </c>
      <c r="I391" s="189" t="s">
        <v>1046</v>
      </c>
      <c r="J391" s="187"/>
      <c r="K391" s="213" t="s">
        <v>3100</v>
      </c>
      <c r="O391" s="184"/>
      <c r="P391" s="184"/>
      <c r="Q391" s="184"/>
      <c r="R391" s="184"/>
      <c r="S391" s="184"/>
      <c r="T391" s="184"/>
      <c r="U391" s="184"/>
    </row>
    <row r="392" spans="1:21">
      <c r="A392" s="119" t="s">
        <v>3301</v>
      </c>
      <c r="B392" s="187" t="s">
        <v>1047</v>
      </c>
      <c r="C392" s="187" t="s">
        <v>1292</v>
      </c>
      <c r="D392" s="187" t="s">
        <v>686</v>
      </c>
      <c r="E392" s="119"/>
      <c r="F392" s="187" t="s">
        <v>1136</v>
      </c>
      <c r="G392" s="187" t="s">
        <v>1047</v>
      </c>
      <c r="H392" s="187" t="s">
        <v>1292</v>
      </c>
      <c r="I392" s="189" t="s">
        <v>1048</v>
      </c>
      <c r="J392" s="187"/>
      <c r="K392" s="213" t="s">
        <v>3100</v>
      </c>
      <c r="O392" s="184"/>
      <c r="P392" s="184"/>
      <c r="Q392" s="184"/>
      <c r="R392" s="184"/>
      <c r="S392" s="184"/>
      <c r="T392" s="184"/>
      <c r="U392" s="184"/>
    </row>
    <row r="393" spans="1:21" ht="25">
      <c r="A393" s="119" t="s">
        <v>3301</v>
      </c>
      <c r="B393" s="187" t="s">
        <v>1049</v>
      </c>
      <c r="C393" s="187" t="s">
        <v>1292</v>
      </c>
      <c r="D393" s="187" t="s">
        <v>686</v>
      </c>
      <c r="E393" s="119"/>
      <c r="F393" s="187" t="s">
        <v>1136</v>
      </c>
      <c r="G393" s="187" t="s">
        <v>1049</v>
      </c>
      <c r="H393" s="187" t="s">
        <v>1292</v>
      </c>
      <c r="I393" s="189" t="s">
        <v>1050</v>
      </c>
      <c r="J393" s="187"/>
      <c r="K393" s="213" t="s">
        <v>3100</v>
      </c>
      <c r="O393" s="184"/>
      <c r="P393" s="184"/>
      <c r="Q393" s="184"/>
      <c r="R393" s="184"/>
      <c r="S393" s="184"/>
      <c r="T393" s="184"/>
      <c r="U393" s="184"/>
    </row>
    <row r="394" spans="1:21">
      <c r="A394" s="119" t="s">
        <v>3301</v>
      </c>
      <c r="B394" s="187" t="s">
        <v>1051</v>
      </c>
      <c r="C394" s="187" t="s">
        <v>1292</v>
      </c>
      <c r="D394" s="187" t="s">
        <v>686</v>
      </c>
      <c r="E394" s="119"/>
      <c r="F394" s="187" t="s">
        <v>1136</v>
      </c>
      <c r="G394" s="187" t="s">
        <v>1051</v>
      </c>
      <c r="H394" s="187" t="s">
        <v>1292</v>
      </c>
      <c r="I394" s="189" t="s">
        <v>1052</v>
      </c>
      <c r="J394" s="187"/>
      <c r="K394" s="213" t="s">
        <v>3100</v>
      </c>
      <c r="O394" s="184"/>
      <c r="P394" s="184"/>
      <c r="Q394" s="184"/>
      <c r="R394" s="184"/>
      <c r="S394" s="184"/>
      <c r="T394" s="184"/>
      <c r="U394" s="184"/>
    </row>
    <row r="395" spans="1:21" ht="25">
      <c r="A395" s="119" t="s">
        <v>3301</v>
      </c>
      <c r="B395" s="187" t="s">
        <v>1053</v>
      </c>
      <c r="C395" s="187" t="s">
        <v>1292</v>
      </c>
      <c r="D395" s="187" t="s">
        <v>686</v>
      </c>
      <c r="E395" s="119"/>
      <c r="F395" s="187" t="s">
        <v>1136</v>
      </c>
      <c r="G395" s="187" t="s">
        <v>1053</v>
      </c>
      <c r="H395" s="187" t="s">
        <v>1292</v>
      </c>
      <c r="I395" s="189" t="s">
        <v>1054</v>
      </c>
      <c r="J395" s="187"/>
      <c r="K395" s="213" t="s">
        <v>3100</v>
      </c>
      <c r="O395" s="184"/>
      <c r="P395" s="184"/>
      <c r="Q395" s="184"/>
      <c r="R395" s="184"/>
      <c r="S395" s="184"/>
      <c r="T395" s="184"/>
      <c r="U395" s="184"/>
    </row>
    <row r="396" spans="1:21">
      <c r="A396" s="119" t="s">
        <v>3301</v>
      </c>
      <c r="B396" s="187" t="s">
        <v>1055</v>
      </c>
      <c r="C396" s="187" t="s">
        <v>1292</v>
      </c>
      <c r="D396" s="187" t="s">
        <v>686</v>
      </c>
      <c r="E396" s="119"/>
      <c r="F396" s="187" t="s">
        <v>1136</v>
      </c>
      <c r="G396" s="187" t="s">
        <v>1055</v>
      </c>
      <c r="H396" s="187" t="s">
        <v>1292</v>
      </c>
      <c r="I396" s="189" t="s">
        <v>1056</v>
      </c>
      <c r="J396" s="187"/>
      <c r="K396" s="213" t="s">
        <v>3100</v>
      </c>
      <c r="O396" s="184"/>
      <c r="P396" s="184"/>
      <c r="Q396" s="184"/>
      <c r="R396" s="184"/>
      <c r="S396" s="184"/>
      <c r="T396" s="184"/>
      <c r="U396" s="184"/>
    </row>
    <row r="397" spans="1:21" ht="25">
      <c r="A397" s="119" t="s">
        <v>3301</v>
      </c>
      <c r="B397" s="187" t="s">
        <v>1057</v>
      </c>
      <c r="C397" s="187" t="s">
        <v>1292</v>
      </c>
      <c r="D397" s="187" t="s">
        <v>686</v>
      </c>
      <c r="E397" s="119"/>
      <c r="F397" s="187" t="s">
        <v>1136</v>
      </c>
      <c r="G397" s="187" t="s">
        <v>1057</v>
      </c>
      <c r="H397" s="187" t="s">
        <v>1292</v>
      </c>
      <c r="I397" s="189" t="s">
        <v>1058</v>
      </c>
      <c r="J397" s="187"/>
      <c r="K397" s="213" t="s">
        <v>3100</v>
      </c>
      <c r="O397" s="184"/>
      <c r="P397" s="184"/>
      <c r="Q397" s="184"/>
      <c r="R397" s="184"/>
      <c r="S397" s="184"/>
      <c r="T397" s="184"/>
      <c r="U397" s="184"/>
    </row>
    <row r="398" spans="1:21">
      <c r="A398" s="119" t="s">
        <v>3301</v>
      </c>
      <c r="B398" s="187" t="s">
        <v>1059</v>
      </c>
      <c r="C398" s="187" t="s">
        <v>1292</v>
      </c>
      <c r="D398" s="187" t="s">
        <v>686</v>
      </c>
      <c r="E398" s="119"/>
      <c r="F398" s="187" t="s">
        <v>1136</v>
      </c>
      <c r="G398" s="187" t="s">
        <v>1059</v>
      </c>
      <c r="H398" s="187" t="s">
        <v>1292</v>
      </c>
      <c r="I398" s="189" t="s">
        <v>1060</v>
      </c>
      <c r="J398" s="187"/>
      <c r="K398" s="213" t="s">
        <v>3100</v>
      </c>
      <c r="O398" s="184"/>
      <c r="P398" s="184"/>
      <c r="Q398" s="184"/>
      <c r="R398" s="184"/>
      <c r="S398" s="184"/>
      <c r="T398" s="184"/>
      <c r="U398" s="184"/>
    </row>
    <row r="399" spans="1:21">
      <c r="A399" s="119" t="s">
        <v>3301</v>
      </c>
      <c r="B399" s="187" t="s">
        <v>1061</v>
      </c>
      <c r="C399" s="187" t="s">
        <v>1292</v>
      </c>
      <c r="D399" s="187" t="s">
        <v>686</v>
      </c>
      <c r="E399" s="119"/>
      <c r="F399" s="187" t="s">
        <v>1136</v>
      </c>
      <c r="G399" s="187" t="s">
        <v>1061</v>
      </c>
      <c r="H399" s="187" t="s">
        <v>1292</v>
      </c>
      <c r="I399" s="189" t="s">
        <v>1062</v>
      </c>
      <c r="J399" s="187"/>
      <c r="K399" s="213" t="s">
        <v>3100</v>
      </c>
      <c r="O399" s="184"/>
      <c r="P399" s="184"/>
      <c r="Q399" s="184"/>
      <c r="R399" s="184"/>
      <c r="S399" s="184"/>
      <c r="T399" s="184"/>
      <c r="U399" s="184"/>
    </row>
    <row r="400" spans="1:21" ht="25">
      <c r="A400" s="119" t="s">
        <v>3301</v>
      </c>
      <c r="B400" s="187" t="s">
        <v>1063</v>
      </c>
      <c r="C400" s="187" t="s">
        <v>1292</v>
      </c>
      <c r="D400" s="187" t="s">
        <v>686</v>
      </c>
      <c r="E400" s="119"/>
      <c r="F400" s="187" t="s">
        <v>1136</v>
      </c>
      <c r="G400" s="187" t="s">
        <v>1063</v>
      </c>
      <c r="H400" s="187" t="s">
        <v>1292</v>
      </c>
      <c r="I400" s="189" t="s">
        <v>1064</v>
      </c>
      <c r="J400" s="187"/>
      <c r="K400" s="213" t="s">
        <v>3100</v>
      </c>
      <c r="O400" s="184"/>
      <c r="P400" s="184"/>
      <c r="Q400" s="184"/>
      <c r="R400" s="184"/>
      <c r="S400" s="184"/>
      <c r="T400" s="184"/>
      <c r="U400" s="184"/>
    </row>
    <row r="401" spans="1:21" ht="25">
      <c r="A401" s="119" t="s">
        <v>3301</v>
      </c>
      <c r="B401" s="187" t="s">
        <v>1065</v>
      </c>
      <c r="C401" s="187" t="s">
        <v>1292</v>
      </c>
      <c r="D401" s="187" t="s">
        <v>686</v>
      </c>
      <c r="E401" s="119"/>
      <c r="F401" s="187" t="s">
        <v>1136</v>
      </c>
      <c r="G401" s="187" t="s">
        <v>1065</v>
      </c>
      <c r="H401" s="187" t="s">
        <v>1292</v>
      </c>
      <c r="I401" s="189" t="s">
        <v>1066</v>
      </c>
      <c r="J401" s="187"/>
      <c r="K401" s="213" t="s">
        <v>3100</v>
      </c>
      <c r="O401" s="184"/>
      <c r="P401" s="184"/>
      <c r="Q401" s="184"/>
      <c r="R401" s="184"/>
      <c r="S401" s="184"/>
      <c r="T401" s="184"/>
      <c r="U401" s="184"/>
    </row>
    <row r="402" spans="1:21">
      <c r="A402" s="119" t="s">
        <v>3301</v>
      </c>
      <c r="B402" s="187" t="s">
        <v>1067</v>
      </c>
      <c r="C402" s="187" t="s">
        <v>1292</v>
      </c>
      <c r="D402" s="187" t="s">
        <v>686</v>
      </c>
      <c r="E402" s="119"/>
      <c r="F402" s="187" t="s">
        <v>1136</v>
      </c>
      <c r="G402" s="187" t="s">
        <v>1067</v>
      </c>
      <c r="H402" s="187" t="s">
        <v>1292</v>
      </c>
      <c r="I402" s="189" t="s">
        <v>1068</v>
      </c>
      <c r="J402" s="187"/>
      <c r="K402" s="213" t="s">
        <v>3100</v>
      </c>
      <c r="O402" s="184"/>
      <c r="P402" s="184"/>
      <c r="Q402" s="184"/>
      <c r="R402" s="184"/>
      <c r="S402" s="184"/>
      <c r="T402" s="184"/>
      <c r="U402" s="184"/>
    </row>
    <row r="403" spans="1:21">
      <c r="A403" s="119" t="s">
        <v>3301</v>
      </c>
      <c r="B403" s="187" t="s">
        <v>1069</v>
      </c>
      <c r="C403" s="187" t="s">
        <v>1292</v>
      </c>
      <c r="D403" s="187" t="s">
        <v>686</v>
      </c>
      <c r="E403" s="119"/>
      <c r="F403" s="187" t="s">
        <v>1136</v>
      </c>
      <c r="G403" s="187" t="s">
        <v>1069</v>
      </c>
      <c r="H403" s="187" t="s">
        <v>1292</v>
      </c>
      <c r="I403" s="189" t="s">
        <v>1070</v>
      </c>
      <c r="J403" s="187"/>
      <c r="K403" s="213" t="s">
        <v>3100</v>
      </c>
      <c r="O403" s="184"/>
      <c r="P403" s="184"/>
      <c r="Q403" s="184"/>
      <c r="R403" s="184"/>
      <c r="S403" s="184"/>
      <c r="T403" s="184"/>
      <c r="U403" s="184"/>
    </row>
    <row r="404" spans="1:21">
      <c r="A404" s="119" t="s">
        <v>3301</v>
      </c>
      <c r="B404" s="187" t="s">
        <v>1071</v>
      </c>
      <c r="C404" s="187" t="s">
        <v>1292</v>
      </c>
      <c r="D404" s="187" t="s">
        <v>686</v>
      </c>
      <c r="E404" s="119"/>
      <c r="F404" s="187" t="s">
        <v>1136</v>
      </c>
      <c r="G404" s="187" t="s">
        <v>1071</v>
      </c>
      <c r="H404" s="187" t="s">
        <v>1292</v>
      </c>
      <c r="I404" s="189" t="s">
        <v>1072</v>
      </c>
      <c r="J404" s="187"/>
      <c r="K404" s="213" t="s">
        <v>3100</v>
      </c>
      <c r="O404" s="184"/>
      <c r="P404" s="184"/>
      <c r="Q404" s="184"/>
      <c r="R404" s="184"/>
      <c r="S404" s="184"/>
      <c r="T404" s="184"/>
      <c r="U404" s="184"/>
    </row>
    <row r="405" spans="1:21" ht="25">
      <c r="A405" s="119" t="s">
        <v>3301</v>
      </c>
      <c r="B405" s="187" t="s">
        <v>1073</v>
      </c>
      <c r="C405" s="187" t="s">
        <v>1292</v>
      </c>
      <c r="D405" s="187" t="s">
        <v>686</v>
      </c>
      <c r="E405" s="119"/>
      <c r="F405" s="187" t="s">
        <v>1136</v>
      </c>
      <c r="G405" s="187" t="s">
        <v>1073</v>
      </c>
      <c r="H405" s="187" t="s">
        <v>1292</v>
      </c>
      <c r="I405" s="189" t="s">
        <v>1074</v>
      </c>
      <c r="J405" s="187"/>
      <c r="K405" s="213" t="s">
        <v>3100</v>
      </c>
      <c r="O405" s="184"/>
      <c r="P405" s="184"/>
      <c r="Q405" s="184"/>
      <c r="R405" s="184"/>
      <c r="S405" s="184"/>
      <c r="T405" s="184"/>
      <c r="U405" s="184"/>
    </row>
    <row r="406" spans="1:21">
      <c r="A406" s="119" t="s">
        <v>3301</v>
      </c>
      <c r="B406" s="187" t="s">
        <v>1075</v>
      </c>
      <c r="C406" s="187" t="s">
        <v>1292</v>
      </c>
      <c r="D406" s="187" t="s">
        <v>686</v>
      </c>
      <c r="E406" s="119"/>
      <c r="F406" s="187" t="s">
        <v>1136</v>
      </c>
      <c r="G406" s="187" t="s">
        <v>1075</v>
      </c>
      <c r="H406" s="187" t="s">
        <v>1292</v>
      </c>
      <c r="I406" s="189" t="s">
        <v>1076</v>
      </c>
      <c r="J406" s="187"/>
      <c r="K406" s="213" t="s">
        <v>3100</v>
      </c>
      <c r="O406" s="184"/>
      <c r="P406" s="184"/>
      <c r="Q406" s="184"/>
      <c r="R406" s="184"/>
      <c r="S406" s="184"/>
      <c r="T406" s="184"/>
      <c r="U406" s="184"/>
    </row>
    <row r="407" spans="1:21">
      <c r="A407" s="119" t="s">
        <v>3301</v>
      </c>
      <c r="B407" s="187" t="s">
        <v>1077</v>
      </c>
      <c r="C407" s="187" t="s">
        <v>1292</v>
      </c>
      <c r="D407" s="187" t="s">
        <v>686</v>
      </c>
      <c r="E407" s="119"/>
      <c r="F407" s="187" t="s">
        <v>1136</v>
      </c>
      <c r="G407" s="187" t="s">
        <v>1077</v>
      </c>
      <c r="H407" s="187" t="s">
        <v>1292</v>
      </c>
      <c r="I407" s="189" t="s">
        <v>1078</v>
      </c>
      <c r="J407" s="187"/>
      <c r="K407" s="213" t="s">
        <v>3100</v>
      </c>
      <c r="O407" s="184"/>
      <c r="P407" s="184"/>
      <c r="Q407" s="184"/>
      <c r="R407" s="184"/>
      <c r="S407" s="184"/>
      <c r="T407" s="184"/>
      <c r="U407" s="184"/>
    </row>
    <row r="408" spans="1:21">
      <c r="A408" s="119" t="s">
        <v>3301</v>
      </c>
      <c r="B408" s="187" t="s">
        <v>1079</v>
      </c>
      <c r="C408" s="187" t="s">
        <v>1292</v>
      </c>
      <c r="D408" s="187" t="s">
        <v>686</v>
      </c>
      <c r="E408" s="119"/>
      <c r="F408" s="187" t="s">
        <v>1136</v>
      </c>
      <c r="G408" s="187" t="s">
        <v>1079</v>
      </c>
      <c r="H408" s="187" t="s">
        <v>1292</v>
      </c>
      <c r="I408" s="189" t="s">
        <v>1080</v>
      </c>
      <c r="J408" s="187"/>
      <c r="K408" s="213" t="s">
        <v>3100</v>
      </c>
      <c r="O408" s="184"/>
      <c r="P408" s="184"/>
      <c r="Q408" s="184"/>
      <c r="R408" s="184"/>
      <c r="S408" s="184"/>
      <c r="T408" s="184"/>
      <c r="U408" s="184"/>
    </row>
    <row r="409" spans="1:21" ht="25">
      <c r="A409" s="119" t="s">
        <v>3301</v>
      </c>
      <c r="B409" s="187" t="s">
        <v>1081</v>
      </c>
      <c r="C409" s="187" t="s">
        <v>1292</v>
      </c>
      <c r="D409" s="187" t="s">
        <v>686</v>
      </c>
      <c r="E409" s="119"/>
      <c r="F409" s="187" t="s">
        <v>1136</v>
      </c>
      <c r="G409" s="187" t="s">
        <v>1081</v>
      </c>
      <c r="H409" s="187" t="s">
        <v>1292</v>
      </c>
      <c r="I409" s="189" t="s">
        <v>1082</v>
      </c>
      <c r="J409" s="187"/>
      <c r="K409" s="213" t="s">
        <v>3100</v>
      </c>
      <c r="O409" s="184"/>
      <c r="P409" s="184"/>
      <c r="Q409" s="184"/>
      <c r="R409" s="184"/>
      <c r="S409" s="184"/>
      <c r="T409" s="184"/>
      <c r="U409" s="184"/>
    </row>
    <row r="410" spans="1:21">
      <c r="A410" s="119" t="s">
        <v>3301</v>
      </c>
      <c r="B410" s="187" t="s">
        <v>1083</v>
      </c>
      <c r="C410" s="187" t="s">
        <v>1292</v>
      </c>
      <c r="D410" s="187" t="s">
        <v>686</v>
      </c>
      <c r="E410" s="119"/>
      <c r="F410" s="187" t="s">
        <v>1136</v>
      </c>
      <c r="G410" s="187" t="s">
        <v>1083</v>
      </c>
      <c r="H410" s="187" t="s">
        <v>1292</v>
      </c>
      <c r="I410" s="189" t="s">
        <v>1084</v>
      </c>
      <c r="J410" s="187"/>
      <c r="K410" s="213" t="s">
        <v>3100</v>
      </c>
      <c r="O410" s="184"/>
      <c r="P410" s="184"/>
      <c r="Q410" s="184"/>
      <c r="R410" s="184"/>
      <c r="S410" s="184"/>
      <c r="T410" s="184"/>
      <c r="U410" s="184"/>
    </row>
    <row r="411" spans="1:21">
      <c r="A411" s="119" t="s">
        <v>3301</v>
      </c>
      <c r="B411" s="187" t="s">
        <v>1085</v>
      </c>
      <c r="C411" s="187" t="s">
        <v>1292</v>
      </c>
      <c r="D411" s="187" t="s">
        <v>686</v>
      </c>
      <c r="E411" s="119"/>
      <c r="F411" s="187" t="s">
        <v>1136</v>
      </c>
      <c r="G411" s="187" t="s">
        <v>1085</v>
      </c>
      <c r="H411" s="187" t="s">
        <v>1292</v>
      </c>
      <c r="I411" s="189" t="s">
        <v>1086</v>
      </c>
      <c r="J411" s="187"/>
      <c r="K411" s="213" t="s">
        <v>3100</v>
      </c>
      <c r="O411" s="184"/>
      <c r="P411" s="184"/>
      <c r="Q411" s="184"/>
      <c r="R411" s="184"/>
      <c r="S411" s="184"/>
      <c r="T411" s="184"/>
      <c r="U411" s="184"/>
    </row>
    <row r="412" spans="1:21">
      <c r="A412" s="119" t="s">
        <v>3301</v>
      </c>
      <c r="B412" s="187" t="s">
        <v>1098</v>
      </c>
      <c r="C412" s="187" t="s">
        <v>1292</v>
      </c>
      <c r="D412" s="187" t="s">
        <v>686</v>
      </c>
      <c r="E412" s="119"/>
      <c r="F412" s="187" t="s">
        <v>1136</v>
      </c>
      <c r="G412" s="187" t="s">
        <v>1098</v>
      </c>
      <c r="H412" s="187" t="s">
        <v>1292</v>
      </c>
      <c r="I412" s="189" t="s">
        <v>1099</v>
      </c>
      <c r="J412" s="187"/>
      <c r="K412" s="213" t="s">
        <v>3100</v>
      </c>
      <c r="O412" s="184"/>
      <c r="P412" s="184"/>
      <c r="Q412" s="184"/>
      <c r="R412" s="184"/>
      <c r="S412" s="184"/>
      <c r="T412" s="184"/>
      <c r="U412" s="184"/>
    </row>
    <row r="413" spans="1:21">
      <c r="A413" s="119" t="s">
        <v>3301</v>
      </c>
      <c r="B413" s="187" t="s">
        <v>1100</v>
      </c>
      <c r="C413" s="187" t="s">
        <v>1292</v>
      </c>
      <c r="D413" s="187" t="s">
        <v>686</v>
      </c>
      <c r="E413" s="119"/>
      <c r="F413" s="187" t="s">
        <v>1136</v>
      </c>
      <c r="G413" s="187" t="s">
        <v>1100</v>
      </c>
      <c r="H413" s="187" t="s">
        <v>1292</v>
      </c>
      <c r="I413" s="189" t="s">
        <v>1101</v>
      </c>
      <c r="J413" s="187"/>
      <c r="K413" s="213" t="s">
        <v>3100</v>
      </c>
      <c r="O413" s="184"/>
      <c r="P413" s="184"/>
      <c r="Q413" s="184"/>
      <c r="R413" s="184"/>
      <c r="S413" s="184"/>
      <c r="T413" s="184"/>
      <c r="U413" s="184"/>
    </row>
    <row r="414" spans="1:21" s="179" customFormat="1">
      <c r="A414" s="119" t="s">
        <v>3301</v>
      </c>
      <c r="B414" s="187" t="s">
        <v>271</v>
      </c>
      <c r="C414" s="187" t="s">
        <v>1292</v>
      </c>
      <c r="D414" s="187" t="s">
        <v>686</v>
      </c>
      <c r="E414" s="119"/>
      <c r="F414" s="187" t="s">
        <v>1136</v>
      </c>
      <c r="G414" s="187" t="s">
        <v>271</v>
      </c>
      <c r="H414" s="187" t="s">
        <v>1292</v>
      </c>
      <c r="I414" s="189" t="s">
        <v>1116</v>
      </c>
      <c r="J414" s="187"/>
      <c r="K414" s="213" t="s">
        <v>3100</v>
      </c>
      <c r="L414" s="201"/>
      <c r="M414" s="61"/>
      <c r="N414" s="61"/>
      <c r="O414" s="191"/>
      <c r="P414" s="191"/>
      <c r="Q414" s="191"/>
      <c r="R414" s="191"/>
      <c r="S414" s="191"/>
      <c r="T414" s="191"/>
      <c r="U414" s="191"/>
    </row>
    <row r="415" spans="1:21">
      <c r="A415" s="119" t="s">
        <v>3301</v>
      </c>
      <c r="B415" s="187" t="s">
        <v>142</v>
      </c>
      <c r="C415" s="187" t="s">
        <v>321</v>
      </c>
      <c r="D415" s="187" t="s">
        <v>686</v>
      </c>
      <c r="E415" s="119"/>
      <c r="F415" s="187" t="s">
        <v>1136</v>
      </c>
      <c r="G415" s="187" t="s">
        <v>290</v>
      </c>
      <c r="H415" s="187" t="s">
        <v>3306</v>
      </c>
      <c r="I415" s="189" t="s">
        <v>3307</v>
      </c>
      <c r="J415" s="187"/>
      <c r="K415" s="213" t="s">
        <v>3112</v>
      </c>
      <c r="O415" s="184"/>
      <c r="P415" s="184"/>
      <c r="Q415" s="184"/>
      <c r="R415" s="184"/>
      <c r="S415" s="184"/>
      <c r="T415" s="184"/>
      <c r="U415" s="184"/>
    </row>
    <row r="416" spans="1:21">
      <c r="A416" s="119" t="s">
        <v>3301</v>
      </c>
      <c r="B416" s="187" t="s">
        <v>3308</v>
      </c>
      <c r="C416" s="187" t="s">
        <v>321</v>
      </c>
      <c r="D416" s="187" t="s">
        <v>686</v>
      </c>
      <c r="E416" s="119"/>
      <c r="F416" s="187" t="s">
        <v>1136</v>
      </c>
      <c r="G416" s="187" t="s">
        <v>3114</v>
      </c>
      <c r="H416" s="187" t="s">
        <v>3306</v>
      </c>
      <c r="I416" s="189" t="s">
        <v>3309</v>
      </c>
      <c r="J416" s="187"/>
      <c r="K416" s="213" t="s">
        <v>3112</v>
      </c>
      <c r="O416" s="184"/>
      <c r="P416" s="184"/>
      <c r="Q416" s="184"/>
      <c r="R416" s="184"/>
      <c r="S416" s="184"/>
      <c r="T416" s="184"/>
      <c r="U416" s="184"/>
    </row>
    <row r="417" spans="1:21" ht="25">
      <c r="A417" s="119" t="s">
        <v>3301</v>
      </c>
      <c r="B417" s="187" t="s">
        <v>3310</v>
      </c>
      <c r="C417" s="187" t="s">
        <v>321</v>
      </c>
      <c r="D417" s="187" t="s">
        <v>686</v>
      </c>
      <c r="E417" s="119"/>
      <c r="F417" s="187" t="s">
        <v>1136</v>
      </c>
      <c r="G417" s="187" t="s">
        <v>3117</v>
      </c>
      <c r="H417" s="187" t="s">
        <v>3306</v>
      </c>
      <c r="I417" s="189" t="s">
        <v>3311</v>
      </c>
      <c r="J417" s="187"/>
      <c r="K417" s="213" t="s">
        <v>3118</v>
      </c>
      <c r="O417" s="184"/>
      <c r="P417" s="184"/>
      <c r="Q417" s="184"/>
      <c r="R417" s="184"/>
      <c r="S417" s="184"/>
      <c r="T417" s="184"/>
      <c r="U417" s="184"/>
    </row>
    <row r="418" spans="1:21">
      <c r="A418" s="119" t="s">
        <v>3301</v>
      </c>
      <c r="B418" s="187" t="s">
        <v>3119</v>
      </c>
      <c r="C418" s="187" t="s">
        <v>321</v>
      </c>
      <c r="D418" s="187" t="s">
        <v>686</v>
      </c>
      <c r="E418" s="119"/>
      <c r="F418" s="187" t="s">
        <v>1136</v>
      </c>
      <c r="G418" s="187" t="s">
        <v>3120</v>
      </c>
      <c r="H418" s="187" t="s">
        <v>3306</v>
      </c>
      <c r="I418" s="189" t="s">
        <v>3312</v>
      </c>
      <c r="J418" s="187"/>
      <c r="K418" s="213" t="s">
        <v>3112</v>
      </c>
      <c r="O418" s="184"/>
      <c r="P418" s="184"/>
      <c r="Q418" s="184"/>
      <c r="R418" s="184"/>
      <c r="S418" s="184"/>
      <c r="T418" s="184"/>
      <c r="U418" s="184"/>
    </row>
    <row r="419" spans="1:21">
      <c r="A419" s="119" t="s">
        <v>3301</v>
      </c>
      <c r="B419" s="187" t="s">
        <v>3313</v>
      </c>
      <c r="C419" s="187" t="s">
        <v>321</v>
      </c>
      <c r="D419" s="187" t="s">
        <v>686</v>
      </c>
      <c r="E419" s="119"/>
      <c r="F419" s="187" t="s">
        <v>1136</v>
      </c>
      <c r="G419" s="187" t="s">
        <v>3121</v>
      </c>
      <c r="H419" s="187" t="s">
        <v>3306</v>
      </c>
      <c r="I419" s="189" t="s">
        <v>3314</v>
      </c>
      <c r="J419" s="187"/>
      <c r="K419" s="213" t="s">
        <v>3112</v>
      </c>
      <c r="O419" s="184"/>
      <c r="P419" s="184"/>
      <c r="Q419" s="184"/>
      <c r="R419" s="184"/>
      <c r="S419" s="184"/>
      <c r="T419" s="184"/>
      <c r="U419" s="184"/>
    </row>
    <row r="420" spans="1:21">
      <c r="A420" s="119" t="s">
        <v>3301</v>
      </c>
      <c r="B420" s="187" t="s">
        <v>3315</v>
      </c>
      <c r="C420" s="187" t="s">
        <v>321</v>
      </c>
      <c r="D420" s="187" t="s">
        <v>686</v>
      </c>
      <c r="E420" s="119"/>
      <c r="F420" s="187" t="s">
        <v>1136</v>
      </c>
      <c r="G420" s="187" t="s">
        <v>3124</v>
      </c>
      <c r="H420" s="187" t="s">
        <v>3306</v>
      </c>
      <c r="I420" s="189" t="s">
        <v>3316</v>
      </c>
      <c r="J420" s="187"/>
      <c r="K420" s="213" t="s">
        <v>3118</v>
      </c>
      <c r="O420" s="184"/>
      <c r="P420" s="184"/>
      <c r="Q420" s="184"/>
      <c r="R420" s="184"/>
      <c r="S420" s="184"/>
      <c r="T420" s="184"/>
      <c r="U420" s="184"/>
    </row>
    <row r="421" spans="1:21">
      <c r="A421" s="119" t="s">
        <v>3301</v>
      </c>
      <c r="B421" s="187" t="s">
        <v>3076</v>
      </c>
      <c r="C421" s="187" t="s">
        <v>321</v>
      </c>
      <c r="D421" s="187" t="s">
        <v>686</v>
      </c>
      <c r="E421" s="119"/>
      <c r="F421" s="187" t="s">
        <v>1136</v>
      </c>
      <c r="G421" s="187" t="s">
        <v>3127</v>
      </c>
      <c r="H421" s="187" t="s">
        <v>3306</v>
      </c>
      <c r="I421" s="189" t="s">
        <v>3317</v>
      </c>
      <c r="J421" s="187"/>
      <c r="K421" s="213" t="s">
        <v>3112</v>
      </c>
      <c r="O421" s="184"/>
      <c r="P421" s="184"/>
      <c r="Q421" s="184"/>
      <c r="R421" s="184"/>
      <c r="S421" s="184"/>
      <c r="T421" s="184"/>
      <c r="U421" s="184"/>
    </row>
    <row r="422" spans="1:21">
      <c r="A422" s="119" t="s">
        <v>3301</v>
      </c>
      <c r="B422" s="187" t="s">
        <v>1388</v>
      </c>
      <c r="C422" s="187" t="s">
        <v>321</v>
      </c>
      <c r="D422" s="187" t="s">
        <v>686</v>
      </c>
      <c r="E422" s="119"/>
      <c r="F422" s="187" t="s">
        <v>1136</v>
      </c>
      <c r="G422" s="187" t="s">
        <v>1389</v>
      </c>
      <c r="H422" s="187" t="s">
        <v>3306</v>
      </c>
      <c r="I422" s="189" t="s">
        <v>1390</v>
      </c>
      <c r="J422" s="187"/>
      <c r="K422" s="213" t="s">
        <v>3112</v>
      </c>
      <c r="O422" s="184"/>
      <c r="P422" s="184"/>
      <c r="Q422" s="184"/>
      <c r="R422" s="184"/>
      <c r="S422" s="184"/>
      <c r="T422" s="184"/>
      <c r="U422" s="184"/>
    </row>
    <row r="423" spans="1:21">
      <c r="A423" s="119" t="s">
        <v>3301</v>
      </c>
      <c r="B423" s="187" t="s">
        <v>3128</v>
      </c>
      <c r="C423" s="187" t="s">
        <v>321</v>
      </c>
      <c r="D423" s="187" t="s">
        <v>686</v>
      </c>
      <c r="E423" s="119"/>
      <c r="F423" s="187" t="s">
        <v>1136</v>
      </c>
      <c r="G423" s="187" t="s">
        <v>3129</v>
      </c>
      <c r="H423" s="187" t="s">
        <v>3306</v>
      </c>
      <c r="I423" s="189" t="s">
        <v>3318</v>
      </c>
      <c r="J423" s="187"/>
      <c r="K423" s="213" t="s">
        <v>3112</v>
      </c>
      <c r="O423" s="184"/>
      <c r="P423" s="184"/>
      <c r="Q423" s="184"/>
      <c r="R423" s="184"/>
      <c r="S423" s="184"/>
      <c r="T423" s="184"/>
      <c r="U423" s="184"/>
    </row>
    <row r="424" spans="1:21">
      <c r="A424" s="119" t="s">
        <v>3301</v>
      </c>
      <c r="B424" s="187" t="s">
        <v>2068</v>
      </c>
      <c r="C424" s="187" t="s">
        <v>321</v>
      </c>
      <c r="D424" s="187" t="s">
        <v>686</v>
      </c>
      <c r="E424" s="119"/>
      <c r="F424" s="187" t="s">
        <v>1136</v>
      </c>
      <c r="G424" s="187" t="s">
        <v>3130</v>
      </c>
      <c r="H424" s="187" t="s">
        <v>3306</v>
      </c>
      <c r="I424" s="189" t="s">
        <v>3319</v>
      </c>
      <c r="J424" s="187"/>
      <c r="K424" s="213" t="s">
        <v>3112</v>
      </c>
      <c r="O424" s="184"/>
      <c r="P424" s="184"/>
      <c r="Q424" s="184"/>
      <c r="R424" s="184"/>
      <c r="S424" s="184"/>
      <c r="T424" s="184"/>
      <c r="U424" s="184"/>
    </row>
    <row r="425" spans="1:21">
      <c r="A425" s="119" t="s">
        <v>3301</v>
      </c>
      <c r="B425" s="187" t="s">
        <v>2044</v>
      </c>
      <c r="C425" s="187" t="s">
        <v>321</v>
      </c>
      <c r="D425" s="187" t="s">
        <v>686</v>
      </c>
      <c r="E425" s="119"/>
      <c r="F425" s="187" t="s">
        <v>1136</v>
      </c>
      <c r="G425" s="187" t="s">
        <v>3131</v>
      </c>
      <c r="H425" s="187" t="s">
        <v>3306</v>
      </c>
      <c r="I425" s="189" t="s">
        <v>3320</v>
      </c>
      <c r="J425" s="187"/>
      <c r="K425" s="213" t="s">
        <v>3112</v>
      </c>
      <c r="O425" s="184"/>
      <c r="P425" s="184"/>
      <c r="Q425" s="184"/>
      <c r="R425" s="184"/>
      <c r="S425" s="184"/>
      <c r="T425" s="184"/>
      <c r="U425" s="184"/>
    </row>
    <row r="426" spans="1:21">
      <c r="A426" s="119" t="s">
        <v>3301</v>
      </c>
      <c r="B426" s="187" t="s">
        <v>3321</v>
      </c>
      <c r="C426" s="187" t="s">
        <v>321</v>
      </c>
      <c r="D426" s="187" t="s">
        <v>686</v>
      </c>
      <c r="E426" s="119"/>
      <c r="F426" s="187" t="s">
        <v>1136</v>
      </c>
      <c r="G426" s="187" t="s">
        <v>3134</v>
      </c>
      <c r="H426" s="187" t="s">
        <v>3306</v>
      </c>
      <c r="I426" s="189" t="s">
        <v>3322</v>
      </c>
      <c r="J426" s="187"/>
      <c r="K426" s="213" t="s">
        <v>3118</v>
      </c>
      <c r="O426" s="184"/>
      <c r="P426" s="184"/>
      <c r="Q426" s="184"/>
      <c r="R426" s="184"/>
      <c r="S426" s="184"/>
      <c r="T426" s="184"/>
      <c r="U426" s="184"/>
    </row>
    <row r="427" spans="1:21">
      <c r="A427" s="119" t="s">
        <v>3301</v>
      </c>
      <c r="B427" s="187" t="s">
        <v>1666</v>
      </c>
      <c r="C427" s="187" t="s">
        <v>321</v>
      </c>
      <c r="D427" s="187" t="s">
        <v>686</v>
      </c>
      <c r="E427" s="119"/>
      <c r="F427" s="187" t="s">
        <v>1136</v>
      </c>
      <c r="G427" s="187" t="s">
        <v>3135</v>
      </c>
      <c r="H427" s="187" t="s">
        <v>3306</v>
      </c>
      <c r="I427" s="189" t="s">
        <v>3323</v>
      </c>
      <c r="J427" s="187"/>
      <c r="K427" s="213" t="s">
        <v>3112</v>
      </c>
      <c r="O427" s="184"/>
      <c r="P427" s="184"/>
      <c r="Q427" s="184"/>
      <c r="R427" s="184"/>
      <c r="S427" s="184"/>
      <c r="T427" s="184"/>
      <c r="U427" s="184"/>
    </row>
    <row r="428" spans="1:21">
      <c r="A428" s="119" t="s">
        <v>3301</v>
      </c>
      <c r="B428" s="187" t="s">
        <v>3136</v>
      </c>
      <c r="C428" s="187" t="s">
        <v>321</v>
      </c>
      <c r="D428" s="187" t="s">
        <v>686</v>
      </c>
      <c r="E428" s="119"/>
      <c r="F428" s="187" t="s">
        <v>1136</v>
      </c>
      <c r="G428" s="187" t="s">
        <v>3137</v>
      </c>
      <c r="H428" s="187" t="s">
        <v>3306</v>
      </c>
      <c r="I428" s="189" t="s">
        <v>3324</v>
      </c>
      <c r="J428" s="187"/>
      <c r="K428" s="213" t="s">
        <v>3112</v>
      </c>
      <c r="O428" s="184"/>
      <c r="P428" s="184"/>
      <c r="Q428" s="184"/>
      <c r="R428" s="184"/>
      <c r="S428" s="184"/>
      <c r="T428" s="184"/>
      <c r="U428" s="184"/>
    </row>
    <row r="429" spans="1:21">
      <c r="A429" s="119" t="s">
        <v>3301</v>
      </c>
      <c r="B429" s="187" t="s">
        <v>2042</v>
      </c>
      <c r="C429" s="187" t="s">
        <v>321</v>
      </c>
      <c r="D429" s="187" t="s">
        <v>686</v>
      </c>
      <c r="E429" s="119"/>
      <c r="F429" s="187" t="s">
        <v>1136</v>
      </c>
      <c r="G429" s="187" t="s">
        <v>3138</v>
      </c>
      <c r="H429" s="187" t="s">
        <v>3306</v>
      </c>
      <c r="I429" s="189" t="s">
        <v>3325</v>
      </c>
      <c r="J429" s="187"/>
      <c r="K429" s="213" t="s">
        <v>3112</v>
      </c>
      <c r="O429" s="184"/>
      <c r="P429" s="184"/>
      <c r="Q429" s="184"/>
      <c r="R429" s="184"/>
      <c r="S429" s="184"/>
      <c r="T429" s="184"/>
      <c r="U429" s="184"/>
    </row>
    <row r="430" spans="1:21">
      <c r="A430" s="119" t="s">
        <v>3301</v>
      </c>
      <c r="B430" s="187" t="s">
        <v>1384</v>
      </c>
      <c r="C430" s="187" t="s">
        <v>321</v>
      </c>
      <c r="D430" s="187" t="s">
        <v>686</v>
      </c>
      <c r="E430" s="119"/>
      <c r="F430" s="187" t="s">
        <v>1136</v>
      </c>
      <c r="G430" s="187" t="s">
        <v>3139</v>
      </c>
      <c r="H430" s="187" t="s">
        <v>3306</v>
      </c>
      <c r="I430" s="189" t="s">
        <v>3326</v>
      </c>
      <c r="J430" s="187"/>
      <c r="K430" s="213" t="s">
        <v>3112</v>
      </c>
      <c r="O430" s="184"/>
      <c r="P430" s="184"/>
      <c r="Q430" s="184"/>
      <c r="R430" s="184"/>
      <c r="S430" s="184"/>
      <c r="T430" s="184"/>
      <c r="U430" s="184"/>
    </row>
    <row r="431" spans="1:21">
      <c r="A431" s="119" t="s">
        <v>3301</v>
      </c>
      <c r="B431" s="187" t="s">
        <v>3140</v>
      </c>
      <c r="C431" s="187" t="s">
        <v>321</v>
      </c>
      <c r="D431" s="187" t="s">
        <v>686</v>
      </c>
      <c r="E431" s="119"/>
      <c r="F431" s="187" t="s">
        <v>1136</v>
      </c>
      <c r="G431" s="187" t="s">
        <v>1329</v>
      </c>
      <c r="H431" s="187" t="s">
        <v>3306</v>
      </c>
      <c r="I431" s="189" t="s">
        <v>1330</v>
      </c>
      <c r="J431" s="187"/>
      <c r="K431" s="213" t="s">
        <v>3112</v>
      </c>
      <c r="O431" s="184"/>
      <c r="P431" s="184"/>
      <c r="Q431" s="184"/>
      <c r="R431" s="184"/>
      <c r="S431" s="184"/>
      <c r="T431" s="184"/>
      <c r="U431" s="184"/>
    </row>
    <row r="432" spans="1:21">
      <c r="A432" s="119" t="s">
        <v>3301</v>
      </c>
      <c r="B432" s="187" t="s">
        <v>2047</v>
      </c>
      <c r="C432" s="187" t="s">
        <v>321</v>
      </c>
      <c r="D432" s="187" t="s">
        <v>686</v>
      </c>
      <c r="E432" s="119"/>
      <c r="F432" s="187" t="s">
        <v>1136</v>
      </c>
      <c r="G432" s="187" t="s">
        <v>3141</v>
      </c>
      <c r="H432" s="187" t="s">
        <v>3306</v>
      </c>
      <c r="I432" s="189" t="s">
        <v>3327</v>
      </c>
      <c r="J432" s="187"/>
      <c r="K432" s="213" t="s">
        <v>3112</v>
      </c>
      <c r="O432" s="184"/>
      <c r="P432" s="184"/>
      <c r="Q432" s="184"/>
      <c r="R432" s="184"/>
      <c r="S432" s="184"/>
      <c r="T432" s="184"/>
      <c r="U432" s="184"/>
    </row>
    <row r="433" spans="1:21">
      <c r="A433" s="119" t="s">
        <v>3301</v>
      </c>
      <c r="B433" s="187" t="s">
        <v>2046</v>
      </c>
      <c r="C433" s="187" t="s">
        <v>321</v>
      </c>
      <c r="D433" s="187" t="s">
        <v>686</v>
      </c>
      <c r="E433" s="119"/>
      <c r="F433" s="187" t="s">
        <v>1136</v>
      </c>
      <c r="G433" s="187" t="s">
        <v>3142</v>
      </c>
      <c r="H433" s="187" t="s">
        <v>3306</v>
      </c>
      <c r="I433" s="189" t="s">
        <v>3328</v>
      </c>
      <c r="J433" s="187"/>
      <c r="K433" s="213" t="s">
        <v>3112</v>
      </c>
      <c r="O433" s="184"/>
      <c r="P433" s="184"/>
      <c r="Q433" s="184"/>
      <c r="R433" s="184"/>
      <c r="S433" s="184"/>
      <c r="T433" s="184"/>
      <c r="U433" s="184"/>
    </row>
    <row r="434" spans="1:21">
      <c r="A434" s="119" t="s">
        <v>3301</v>
      </c>
      <c r="B434" s="187" t="s">
        <v>2041</v>
      </c>
      <c r="C434" s="187" t="s">
        <v>321</v>
      </c>
      <c r="D434" s="187" t="s">
        <v>686</v>
      </c>
      <c r="E434" s="119"/>
      <c r="F434" s="187" t="s">
        <v>1136</v>
      </c>
      <c r="G434" s="187" t="s">
        <v>3143</v>
      </c>
      <c r="H434" s="187" t="s">
        <v>3306</v>
      </c>
      <c r="I434" s="189" t="s">
        <v>3329</v>
      </c>
      <c r="J434" s="187"/>
      <c r="K434" s="213" t="s">
        <v>3112</v>
      </c>
      <c r="O434" s="184"/>
      <c r="P434" s="184"/>
      <c r="Q434" s="184"/>
      <c r="R434" s="184"/>
      <c r="S434" s="184"/>
      <c r="T434" s="184"/>
      <c r="U434" s="184"/>
    </row>
    <row r="435" spans="1:21">
      <c r="A435" s="119" t="s">
        <v>3301</v>
      </c>
      <c r="B435" s="187" t="s">
        <v>3330</v>
      </c>
      <c r="C435" s="187" t="s">
        <v>321</v>
      </c>
      <c r="D435" s="187" t="s">
        <v>686</v>
      </c>
      <c r="E435" s="119"/>
      <c r="F435" s="187" t="s">
        <v>1136</v>
      </c>
      <c r="G435" s="187" t="s">
        <v>3146</v>
      </c>
      <c r="H435" s="187" t="s">
        <v>3306</v>
      </c>
      <c r="I435" s="189" t="s">
        <v>3331</v>
      </c>
      <c r="J435" s="187"/>
      <c r="K435" s="213" t="s">
        <v>3118</v>
      </c>
      <c r="O435" s="184"/>
      <c r="P435" s="184"/>
      <c r="Q435" s="184"/>
      <c r="R435" s="184"/>
      <c r="S435" s="184"/>
      <c r="T435" s="184"/>
      <c r="U435" s="184"/>
    </row>
    <row r="436" spans="1:21">
      <c r="A436" s="119" t="s">
        <v>3301</v>
      </c>
      <c r="B436" s="187" t="s">
        <v>477</v>
      </c>
      <c r="C436" s="187" t="s">
        <v>321</v>
      </c>
      <c r="D436" s="187" t="s">
        <v>686</v>
      </c>
      <c r="E436" s="119"/>
      <c r="F436" s="187" t="s">
        <v>1136</v>
      </c>
      <c r="G436" s="187" t="s">
        <v>3147</v>
      </c>
      <c r="H436" s="187" t="s">
        <v>3306</v>
      </c>
      <c r="I436" s="189" t="s">
        <v>3332</v>
      </c>
      <c r="J436" s="187"/>
      <c r="K436" s="213" t="s">
        <v>3112</v>
      </c>
      <c r="O436" s="184"/>
      <c r="P436" s="184"/>
      <c r="Q436" s="184"/>
      <c r="R436" s="184"/>
      <c r="S436" s="184"/>
      <c r="T436" s="184"/>
      <c r="U436" s="184"/>
    </row>
    <row r="437" spans="1:21">
      <c r="A437" s="119" t="s">
        <v>3301</v>
      </c>
      <c r="B437" s="187" t="s">
        <v>3148</v>
      </c>
      <c r="C437" s="187" t="s">
        <v>321</v>
      </c>
      <c r="D437" s="187" t="s">
        <v>686</v>
      </c>
      <c r="E437" s="119"/>
      <c r="F437" s="187" t="s">
        <v>1136</v>
      </c>
      <c r="G437" s="187" t="s">
        <v>3149</v>
      </c>
      <c r="H437" s="187" t="s">
        <v>1293</v>
      </c>
      <c r="I437" s="189" t="s">
        <v>3333</v>
      </c>
      <c r="J437" s="187"/>
      <c r="K437" s="213" t="s">
        <v>3112</v>
      </c>
      <c r="O437" s="184"/>
      <c r="P437" s="184"/>
      <c r="Q437" s="184"/>
      <c r="R437" s="184"/>
      <c r="S437" s="184"/>
      <c r="T437" s="184"/>
      <c r="U437" s="184"/>
    </row>
    <row r="438" spans="1:21">
      <c r="A438" s="119" t="s">
        <v>3301</v>
      </c>
      <c r="B438" s="187" t="s">
        <v>3150</v>
      </c>
      <c r="C438" s="187" t="s">
        <v>321</v>
      </c>
      <c r="D438" s="187" t="s">
        <v>686</v>
      </c>
      <c r="E438" s="119"/>
      <c r="F438" s="187" t="s">
        <v>1136</v>
      </c>
      <c r="G438" s="187" t="s">
        <v>3151</v>
      </c>
      <c r="H438" s="187" t="s">
        <v>3306</v>
      </c>
      <c r="I438" s="189" t="s">
        <v>3334</v>
      </c>
      <c r="J438" s="187"/>
      <c r="K438" s="213" t="s">
        <v>3112</v>
      </c>
      <c r="O438" s="184"/>
      <c r="P438" s="184"/>
      <c r="Q438" s="184"/>
      <c r="R438" s="184"/>
      <c r="S438" s="184"/>
      <c r="T438" s="184"/>
      <c r="U438" s="184"/>
    </row>
    <row r="439" spans="1:21">
      <c r="A439" s="119" t="s">
        <v>3301</v>
      </c>
      <c r="B439" s="187" t="s">
        <v>464</v>
      </c>
      <c r="C439" s="187" t="s">
        <v>321</v>
      </c>
      <c r="D439" s="187" t="s">
        <v>686</v>
      </c>
      <c r="E439" s="119"/>
      <c r="F439" s="187" t="s">
        <v>1136</v>
      </c>
      <c r="G439" s="187" t="s">
        <v>3152</v>
      </c>
      <c r="H439" s="187" t="s">
        <v>3306</v>
      </c>
      <c r="I439" s="189" t="s">
        <v>3335</v>
      </c>
      <c r="J439" s="187"/>
      <c r="K439" s="213" t="s">
        <v>3112</v>
      </c>
      <c r="O439" s="184"/>
      <c r="P439" s="184"/>
      <c r="Q439" s="184"/>
      <c r="R439" s="184"/>
      <c r="S439" s="184"/>
      <c r="T439" s="184"/>
      <c r="U439" s="184"/>
    </row>
    <row r="440" spans="1:21">
      <c r="A440" s="119" t="s">
        <v>3301</v>
      </c>
      <c r="B440" s="187" t="s">
        <v>3336</v>
      </c>
      <c r="C440" s="187" t="s">
        <v>321</v>
      </c>
      <c r="D440" s="187" t="s">
        <v>686</v>
      </c>
      <c r="E440" s="119"/>
      <c r="F440" s="187" t="s">
        <v>1136</v>
      </c>
      <c r="G440" s="187" t="s">
        <v>3155</v>
      </c>
      <c r="H440" s="187" t="s">
        <v>3306</v>
      </c>
      <c r="I440" s="189" t="s">
        <v>3337</v>
      </c>
      <c r="J440" s="187"/>
      <c r="K440" s="213" t="s">
        <v>3118</v>
      </c>
      <c r="O440" s="184"/>
      <c r="P440" s="184"/>
      <c r="Q440" s="184"/>
      <c r="R440" s="184"/>
      <c r="S440" s="184"/>
      <c r="T440" s="184"/>
      <c r="U440" s="184"/>
    </row>
    <row r="441" spans="1:21">
      <c r="A441" s="119" t="s">
        <v>3301</v>
      </c>
      <c r="B441" s="187" t="s">
        <v>3156</v>
      </c>
      <c r="C441" s="187" t="s">
        <v>321</v>
      </c>
      <c r="D441" s="187" t="s">
        <v>686</v>
      </c>
      <c r="E441" s="119"/>
      <c r="F441" s="187" t="s">
        <v>1136</v>
      </c>
      <c r="G441" s="187" t="s">
        <v>3157</v>
      </c>
      <c r="H441" s="187" t="s">
        <v>3306</v>
      </c>
      <c r="I441" s="189" t="s">
        <v>3338</v>
      </c>
      <c r="J441" s="187"/>
      <c r="K441" s="213" t="s">
        <v>3112</v>
      </c>
      <c r="O441" s="184"/>
      <c r="P441" s="184"/>
      <c r="Q441" s="184"/>
      <c r="R441" s="184"/>
      <c r="S441" s="184"/>
      <c r="T441" s="184"/>
      <c r="U441" s="184"/>
    </row>
    <row r="442" spans="1:21">
      <c r="A442" s="119" t="s">
        <v>3301</v>
      </c>
      <c r="B442" s="187" t="s">
        <v>3158</v>
      </c>
      <c r="C442" s="187" t="s">
        <v>321</v>
      </c>
      <c r="D442" s="187" t="s">
        <v>686</v>
      </c>
      <c r="E442" s="119"/>
      <c r="F442" s="187" t="s">
        <v>1136</v>
      </c>
      <c r="G442" s="187" t="s">
        <v>3159</v>
      </c>
      <c r="H442" s="187" t="s">
        <v>3306</v>
      </c>
      <c r="I442" s="189" t="s">
        <v>3339</v>
      </c>
      <c r="J442" s="187"/>
      <c r="K442" s="213" t="s">
        <v>3112</v>
      </c>
      <c r="O442" s="184"/>
      <c r="P442" s="184"/>
      <c r="Q442" s="184"/>
      <c r="R442" s="184"/>
      <c r="S442" s="184"/>
      <c r="T442" s="184"/>
      <c r="U442" s="184"/>
    </row>
    <row r="443" spans="1:21">
      <c r="A443" s="119" t="s">
        <v>3301</v>
      </c>
      <c r="B443" s="187" t="s">
        <v>3089</v>
      </c>
      <c r="C443" s="187" t="s">
        <v>321</v>
      </c>
      <c r="D443" s="187" t="s">
        <v>686</v>
      </c>
      <c r="E443" s="119"/>
      <c r="F443" s="187" t="s">
        <v>1136</v>
      </c>
      <c r="G443" s="187" t="s">
        <v>1333</v>
      </c>
      <c r="H443" s="187" t="s">
        <v>3306</v>
      </c>
      <c r="I443" s="189" t="s">
        <v>1334</v>
      </c>
      <c r="J443" s="187"/>
      <c r="K443" s="213" t="s">
        <v>3112</v>
      </c>
      <c r="O443" s="184"/>
      <c r="P443" s="184"/>
      <c r="Q443" s="184"/>
      <c r="R443" s="184"/>
      <c r="S443" s="184"/>
      <c r="T443" s="184"/>
      <c r="U443" s="184"/>
    </row>
    <row r="444" spans="1:21">
      <c r="A444" s="119" t="s">
        <v>3301</v>
      </c>
      <c r="B444" s="187" t="s">
        <v>634</v>
      </c>
      <c r="C444" s="187" t="s">
        <v>321</v>
      </c>
      <c r="D444" s="187" t="s">
        <v>686</v>
      </c>
      <c r="E444" s="119"/>
      <c r="F444" s="187" t="s">
        <v>1136</v>
      </c>
      <c r="G444" s="187" t="s">
        <v>635</v>
      </c>
      <c r="H444" s="187" t="s">
        <v>3306</v>
      </c>
      <c r="I444" s="189" t="s">
        <v>3340</v>
      </c>
      <c r="J444" s="187"/>
      <c r="K444" s="213" t="s">
        <v>3112</v>
      </c>
      <c r="O444" s="184"/>
      <c r="P444" s="184"/>
      <c r="Q444" s="184"/>
      <c r="R444" s="184"/>
      <c r="S444" s="184"/>
      <c r="T444" s="184"/>
      <c r="U444" s="184"/>
    </row>
    <row r="445" spans="1:21">
      <c r="A445" s="119" t="s">
        <v>3301</v>
      </c>
      <c r="B445" s="187" t="s">
        <v>3160</v>
      </c>
      <c r="C445" s="187" t="s">
        <v>321</v>
      </c>
      <c r="D445" s="187" t="s">
        <v>686</v>
      </c>
      <c r="E445" s="119"/>
      <c r="F445" s="187" t="s">
        <v>1136</v>
      </c>
      <c r="G445" s="187" t="s">
        <v>3161</v>
      </c>
      <c r="H445" s="187" t="s">
        <v>3306</v>
      </c>
      <c r="I445" s="189" t="s">
        <v>3341</v>
      </c>
      <c r="J445" s="187"/>
      <c r="K445" s="213" t="s">
        <v>3112</v>
      </c>
      <c r="O445" s="184"/>
      <c r="P445" s="184"/>
      <c r="Q445" s="184"/>
      <c r="R445" s="184"/>
      <c r="S445" s="184"/>
      <c r="T445" s="184"/>
      <c r="U445" s="184"/>
    </row>
    <row r="446" spans="1:21">
      <c r="A446" s="119" t="s">
        <v>3301</v>
      </c>
      <c r="B446" s="187" t="s">
        <v>130</v>
      </c>
      <c r="C446" s="187" t="s">
        <v>321</v>
      </c>
      <c r="D446" s="187" t="s">
        <v>686</v>
      </c>
      <c r="E446" s="119"/>
      <c r="F446" s="187" t="s">
        <v>1136</v>
      </c>
      <c r="G446" s="187" t="s">
        <v>284</v>
      </c>
      <c r="H446" s="187" t="s">
        <v>3306</v>
      </c>
      <c r="I446" s="189" t="s">
        <v>3342</v>
      </c>
      <c r="J446" s="187"/>
      <c r="K446" s="213" t="s">
        <v>3112</v>
      </c>
      <c r="O446" s="184"/>
      <c r="P446" s="184"/>
      <c r="Q446" s="184"/>
      <c r="R446" s="184"/>
      <c r="S446" s="184"/>
      <c r="T446" s="184"/>
      <c r="U446" s="184"/>
    </row>
    <row r="447" spans="1:21">
      <c r="A447" s="119" t="s">
        <v>3301</v>
      </c>
      <c r="B447" s="187" t="s">
        <v>134</v>
      </c>
      <c r="C447" s="187" t="s">
        <v>321</v>
      </c>
      <c r="D447" s="187" t="s">
        <v>686</v>
      </c>
      <c r="E447" s="119"/>
      <c r="F447" s="187" t="s">
        <v>1136</v>
      </c>
      <c r="G447" s="187" t="s">
        <v>286</v>
      </c>
      <c r="H447" s="187" t="s">
        <v>3306</v>
      </c>
      <c r="I447" s="189" t="s">
        <v>3343</v>
      </c>
      <c r="J447" s="187"/>
      <c r="K447" s="213" t="s">
        <v>3112</v>
      </c>
      <c r="O447" s="184"/>
      <c r="P447" s="184"/>
      <c r="Q447" s="184"/>
      <c r="R447" s="184"/>
      <c r="S447" s="184"/>
      <c r="T447" s="184"/>
      <c r="U447" s="184"/>
    </row>
    <row r="448" spans="1:21">
      <c r="A448" s="119" t="s">
        <v>3301</v>
      </c>
      <c r="B448" s="187" t="s">
        <v>128</v>
      </c>
      <c r="C448" s="187" t="s">
        <v>321</v>
      </c>
      <c r="D448" s="187" t="s">
        <v>686</v>
      </c>
      <c r="E448" s="119"/>
      <c r="F448" s="187" t="s">
        <v>1136</v>
      </c>
      <c r="G448" s="187" t="s">
        <v>283</v>
      </c>
      <c r="H448" s="187" t="s">
        <v>3306</v>
      </c>
      <c r="I448" s="189" t="s">
        <v>3344</v>
      </c>
      <c r="J448" s="187"/>
      <c r="K448" s="213" t="s">
        <v>3112</v>
      </c>
      <c r="O448" s="184"/>
      <c r="P448" s="184"/>
      <c r="Q448" s="184"/>
      <c r="R448" s="184"/>
      <c r="S448" s="184"/>
      <c r="T448" s="184"/>
      <c r="U448" s="184"/>
    </row>
    <row r="449" spans="1:21">
      <c r="A449" s="119" t="s">
        <v>3301</v>
      </c>
      <c r="B449" s="187" t="s">
        <v>132</v>
      </c>
      <c r="C449" s="187" t="s">
        <v>321</v>
      </c>
      <c r="D449" s="187" t="s">
        <v>686</v>
      </c>
      <c r="E449" s="119"/>
      <c r="F449" s="187" t="s">
        <v>1136</v>
      </c>
      <c r="G449" s="187" t="s">
        <v>285</v>
      </c>
      <c r="H449" s="187" t="s">
        <v>3306</v>
      </c>
      <c r="I449" s="189" t="s">
        <v>3345</v>
      </c>
      <c r="J449" s="187"/>
      <c r="K449" s="213" t="s">
        <v>3112</v>
      </c>
      <c r="O449" s="184"/>
      <c r="P449" s="184"/>
      <c r="Q449" s="184"/>
      <c r="R449" s="184"/>
      <c r="S449" s="184"/>
      <c r="T449" s="184"/>
      <c r="U449" s="184"/>
    </row>
    <row r="450" spans="1:21">
      <c r="A450" s="119" t="s">
        <v>3301</v>
      </c>
      <c r="B450" s="187" t="s">
        <v>126</v>
      </c>
      <c r="C450" s="187" t="s">
        <v>321</v>
      </c>
      <c r="D450" s="187" t="s">
        <v>686</v>
      </c>
      <c r="E450" s="119"/>
      <c r="F450" s="187" t="s">
        <v>1136</v>
      </c>
      <c r="G450" s="187" t="s">
        <v>282</v>
      </c>
      <c r="H450" s="187" t="s">
        <v>3306</v>
      </c>
      <c r="I450" s="189" t="s">
        <v>3346</v>
      </c>
      <c r="J450" s="187"/>
      <c r="K450" s="213" t="s">
        <v>3112</v>
      </c>
      <c r="O450" s="184"/>
      <c r="P450" s="184"/>
      <c r="Q450" s="184"/>
      <c r="R450" s="184"/>
      <c r="S450" s="184"/>
      <c r="T450" s="184"/>
      <c r="U450" s="184"/>
    </row>
    <row r="451" spans="1:21">
      <c r="A451" s="119" t="s">
        <v>3301</v>
      </c>
      <c r="B451" s="187" t="s">
        <v>141</v>
      </c>
      <c r="C451" s="187" t="s">
        <v>321</v>
      </c>
      <c r="D451" s="187" t="s">
        <v>686</v>
      </c>
      <c r="E451" s="119"/>
      <c r="F451" s="187" t="s">
        <v>1136</v>
      </c>
      <c r="G451" s="187" t="s">
        <v>3162</v>
      </c>
      <c r="H451" s="187" t="s">
        <v>3306</v>
      </c>
      <c r="I451" s="189" t="s">
        <v>3347</v>
      </c>
      <c r="J451" s="187"/>
      <c r="K451" s="213" t="s">
        <v>3112</v>
      </c>
      <c r="O451" s="184"/>
      <c r="P451" s="184"/>
      <c r="Q451" s="184"/>
      <c r="R451" s="184"/>
      <c r="S451" s="184"/>
      <c r="T451" s="184"/>
      <c r="U451" s="184"/>
    </row>
    <row r="452" spans="1:21">
      <c r="A452" s="119" t="s">
        <v>3301</v>
      </c>
      <c r="B452" s="187" t="s">
        <v>3163</v>
      </c>
      <c r="C452" s="187" t="s">
        <v>321</v>
      </c>
      <c r="D452" s="187" t="s">
        <v>686</v>
      </c>
      <c r="E452" s="119"/>
      <c r="F452" s="187" t="s">
        <v>1136</v>
      </c>
      <c r="G452" s="187" t="s">
        <v>3164</v>
      </c>
      <c r="H452" s="187" t="s">
        <v>3306</v>
      </c>
      <c r="I452" s="189" t="s">
        <v>3348</v>
      </c>
      <c r="J452" s="187"/>
      <c r="K452" s="213" t="s">
        <v>3112</v>
      </c>
      <c r="O452" s="184"/>
      <c r="P452" s="184"/>
      <c r="Q452" s="184"/>
      <c r="R452" s="184"/>
      <c r="S452" s="184"/>
      <c r="T452" s="184"/>
      <c r="U452" s="184"/>
    </row>
    <row r="453" spans="1:21">
      <c r="A453" s="119" t="s">
        <v>3301</v>
      </c>
      <c r="B453" s="187" t="s">
        <v>3165</v>
      </c>
      <c r="C453" s="187" t="s">
        <v>321</v>
      </c>
      <c r="D453" s="187" t="s">
        <v>686</v>
      </c>
      <c r="E453" s="119"/>
      <c r="F453" s="187" t="s">
        <v>1136</v>
      </c>
      <c r="G453" s="187" t="s">
        <v>3166</v>
      </c>
      <c r="H453" s="187" t="s">
        <v>3306</v>
      </c>
      <c r="I453" s="189" t="s">
        <v>3349</v>
      </c>
      <c r="J453" s="187"/>
      <c r="K453" s="213" t="s">
        <v>3112</v>
      </c>
      <c r="O453" s="184"/>
      <c r="P453" s="184"/>
      <c r="Q453" s="184"/>
      <c r="R453" s="184"/>
      <c r="S453" s="184"/>
      <c r="T453" s="184"/>
      <c r="U453" s="184"/>
    </row>
    <row r="454" spans="1:21">
      <c r="A454" s="119" t="s">
        <v>3301</v>
      </c>
      <c r="B454" s="187" t="s">
        <v>472</v>
      </c>
      <c r="C454" s="187" t="s">
        <v>321</v>
      </c>
      <c r="D454" s="187" t="s">
        <v>686</v>
      </c>
      <c r="E454" s="119"/>
      <c r="F454" s="187" t="s">
        <v>1136</v>
      </c>
      <c r="G454" s="187" t="s">
        <v>3167</v>
      </c>
      <c r="H454" s="187" t="s">
        <v>3306</v>
      </c>
      <c r="I454" s="189" t="s">
        <v>3350</v>
      </c>
      <c r="J454" s="187"/>
      <c r="K454" s="213" t="s">
        <v>3112</v>
      </c>
      <c r="O454" s="184"/>
      <c r="P454" s="184"/>
      <c r="Q454" s="184"/>
      <c r="R454" s="184"/>
      <c r="S454" s="184"/>
      <c r="T454" s="184"/>
      <c r="U454" s="184"/>
    </row>
    <row r="455" spans="1:21">
      <c r="A455" s="119" t="s">
        <v>3301</v>
      </c>
      <c r="B455" s="187" t="s">
        <v>3351</v>
      </c>
      <c r="C455" s="187" t="s">
        <v>321</v>
      </c>
      <c r="D455" s="187" t="s">
        <v>686</v>
      </c>
      <c r="E455" s="119"/>
      <c r="F455" s="187" t="s">
        <v>1136</v>
      </c>
      <c r="G455" s="187" t="s">
        <v>3170</v>
      </c>
      <c r="H455" s="187" t="s">
        <v>3306</v>
      </c>
      <c r="I455" s="189" t="s">
        <v>3352</v>
      </c>
      <c r="J455" s="187"/>
      <c r="K455" s="213" t="s">
        <v>3118</v>
      </c>
      <c r="O455" s="184"/>
      <c r="P455" s="184"/>
      <c r="Q455" s="184"/>
      <c r="R455" s="184"/>
      <c r="S455" s="184"/>
      <c r="T455" s="184"/>
      <c r="U455" s="184"/>
    </row>
    <row r="456" spans="1:21">
      <c r="A456" s="119" t="s">
        <v>3301</v>
      </c>
      <c r="B456" s="187" t="s">
        <v>1624</v>
      </c>
      <c r="C456" s="187" t="s">
        <v>321</v>
      </c>
      <c r="D456" s="187" t="s">
        <v>686</v>
      </c>
      <c r="E456" s="119"/>
      <c r="F456" s="187" t="s">
        <v>1136</v>
      </c>
      <c r="G456" s="187" t="s">
        <v>3171</v>
      </c>
      <c r="H456" s="187" t="s">
        <v>3306</v>
      </c>
      <c r="I456" s="189" t="s">
        <v>3353</v>
      </c>
      <c r="J456" s="187"/>
      <c r="K456" s="213" t="s">
        <v>3112</v>
      </c>
      <c r="O456" s="184"/>
      <c r="P456" s="184"/>
      <c r="Q456" s="184"/>
      <c r="R456" s="184"/>
      <c r="S456" s="184"/>
      <c r="T456" s="184"/>
      <c r="U456" s="184"/>
    </row>
    <row r="457" spans="1:21" ht="25">
      <c r="A457" s="119" t="s">
        <v>3301</v>
      </c>
      <c r="B457" s="187" t="s">
        <v>3172</v>
      </c>
      <c r="C457" s="187" t="s">
        <v>321</v>
      </c>
      <c r="D457" s="187" t="s">
        <v>686</v>
      </c>
      <c r="E457" s="119"/>
      <c r="F457" s="187" t="s">
        <v>1136</v>
      </c>
      <c r="G457" s="187" t="s">
        <v>3173</v>
      </c>
      <c r="H457" s="187" t="s">
        <v>3306</v>
      </c>
      <c r="I457" s="189" t="s">
        <v>3354</v>
      </c>
      <c r="J457" s="187"/>
      <c r="K457" s="213" t="s">
        <v>3112</v>
      </c>
      <c r="O457" s="184"/>
      <c r="P457" s="184"/>
      <c r="Q457" s="184"/>
      <c r="R457" s="184"/>
      <c r="S457" s="184"/>
      <c r="T457" s="184"/>
      <c r="U457" s="184"/>
    </row>
    <row r="458" spans="1:21">
      <c r="A458" s="119" t="s">
        <v>3301</v>
      </c>
      <c r="B458" s="187" t="s">
        <v>3174</v>
      </c>
      <c r="C458" s="187" t="s">
        <v>321</v>
      </c>
      <c r="D458" s="187" t="s">
        <v>686</v>
      </c>
      <c r="E458" s="119"/>
      <c r="F458" s="187" t="s">
        <v>1136</v>
      </c>
      <c r="G458" s="187" t="s">
        <v>3175</v>
      </c>
      <c r="H458" s="187" t="s">
        <v>3306</v>
      </c>
      <c r="I458" s="189" t="s">
        <v>3355</v>
      </c>
      <c r="J458" s="187"/>
      <c r="K458" s="213" t="s">
        <v>3112</v>
      </c>
      <c r="O458" s="184"/>
      <c r="P458" s="184"/>
      <c r="Q458" s="184"/>
      <c r="R458" s="184"/>
      <c r="S458" s="184"/>
      <c r="T458" s="184"/>
      <c r="U458" s="184"/>
    </row>
    <row r="459" spans="1:21">
      <c r="A459" s="119" t="s">
        <v>3301</v>
      </c>
      <c r="B459" s="187" t="s">
        <v>2050</v>
      </c>
      <c r="C459" s="187" t="s">
        <v>321</v>
      </c>
      <c r="D459" s="187" t="s">
        <v>686</v>
      </c>
      <c r="E459" s="119"/>
      <c r="F459" s="187" t="s">
        <v>1136</v>
      </c>
      <c r="G459" s="187" t="s">
        <v>3176</v>
      </c>
      <c r="H459" s="187" t="s">
        <v>3306</v>
      </c>
      <c r="I459" s="189" t="s">
        <v>3356</v>
      </c>
      <c r="J459" s="187"/>
      <c r="K459" s="213" t="s">
        <v>3112</v>
      </c>
      <c r="O459" s="184"/>
      <c r="P459" s="184"/>
      <c r="Q459" s="184"/>
      <c r="R459" s="184"/>
      <c r="S459" s="184"/>
      <c r="T459" s="184"/>
      <c r="U459" s="184"/>
    </row>
    <row r="460" spans="1:21">
      <c r="A460" s="119" t="s">
        <v>3301</v>
      </c>
      <c r="B460" s="187" t="s">
        <v>140</v>
      </c>
      <c r="C460" s="187" t="s">
        <v>321</v>
      </c>
      <c r="D460" s="187" t="s">
        <v>686</v>
      </c>
      <c r="E460" s="119"/>
      <c r="F460" s="187" t="s">
        <v>1136</v>
      </c>
      <c r="G460" s="187" t="s">
        <v>289</v>
      </c>
      <c r="H460" s="187" t="s">
        <v>3306</v>
      </c>
      <c r="I460" s="189" t="s">
        <v>3357</v>
      </c>
      <c r="J460" s="187"/>
      <c r="K460" s="213" t="s">
        <v>3112</v>
      </c>
      <c r="O460" s="184"/>
      <c r="P460" s="184"/>
      <c r="Q460" s="184"/>
      <c r="R460" s="184"/>
      <c r="S460" s="184"/>
      <c r="T460" s="184"/>
      <c r="U460" s="184"/>
    </row>
    <row r="461" spans="1:21">
      <c r="A461" s="119" t="s">
        <v>3301</v>
      </c>
      <c r="B461" s="187" t="s">
        <v>2049</v>
      </c>
      <c r="C461" s="187" t="s">
        <v>321</v>
      </c>
      <c r="D461" s="187" t="s">
        <v>686</v>
      </c>
      <c r="E461" s="119"/>
      <c r="F461" s="187" t="s">
        <v>1136</v>
      </c>
      <c r="G461" s="187" t="s">
        <v>3177</v>
      </c>
      <c r="H461" s="187" t="s">
        <v>3306</v>
      </c>
      <c r="I461" s="189" t="s">
        <v>3358</v>
      </c>
      <c r="J461" s="187"/>
      <c r="K461" s="213" t="s">
        <v>3112</v>
      </c>
      <c r="O461" s="184"/>
      <c r="P461" s="184"/>
      <c r="Q461" s="184"/>
      <c r="R461" s="184"/>
      <c r="S461" s="184"/>
      <c r="T461" s="184"/>
      <c r="U461" s="184"/>
    </row>
    <row r="462" spans="1:21">
      <c r="A462" s="119" t="s">
        <v>3301</v>
      </c>
      <c r="B462" s="187" t="s">
        <v>138</v>
      </c>
      <c r="C462" s="187" t="s">
        <v>321</v>
      </c>
      <c r="D462" s="187" t="s">
        <v>686</v>
      </c>
      <c r="E462" s="119"/>
      <c r="F462" s="187" t="s">
        <v>1136</v>
      </c>
      <c r="G462" s="187" t="s">
        <v>288</v>
      </c>
      <c r="H462" s="187" t="s">
        <v>3306</v>
      </c>
      <c r="I462" s="189" t="s">
        <v>3359</v>
      </c>
      <c r="J462" s="187"/>
      <c r="K462" s="213" t="s">
        <v>3112</v>
      </c>
      <c r="O462" s="184"/>
      <c r="P462" s="184"/>
      <c r="Q462" s="184"/>
      <c r="R462" s="184"/>
      <c r="S462" s="184"/>
      <c r="T462" s="184"/>
      <c r="U462" s="184"/>
    </row>
    <row r="463" spans="1:21">
      <c r="A463" s="119" t="s">
        <v>3301</v>
      </c>
      <c r="B463" s="187" t="s">
        <v>2048</v>
      </c>
      <c r="C463" s="187" t="s">
        <v>321</v>
      </c>
      <c r="D463" s="187" t="s">
        <v>686</v>
      </c>
      <c r="E463" s="119"/>
      <c r="F463" s="187" t="s">
        <v>1136</v>
      </c>
      <c r="G463" s="187" t="s">
        <v>3178</v>
      </c>
      <c r="H463" s="187" t="s">
        <v>3306</v>
      </c>
      <c r="I463" s="189" t="s">
        <v>3360</v>
      </c>
      <c r="J463" s="187"/>
      <c r="K463" s="213" t="s">
        <v>3112</v>
      </c>
      <c r="O463" s="184"/>
      <c r="P463" s="184"/>
      <c r="Q463" s="184"/>
      <c r="R463" s="184"/>
      <c r="S463" s="184"/>
      <c r="T463" s="184"/>
      <c r="U463" s="184"/>
    </row>
    <row r="464" spans="1:21">
      <c r="A464" s="119" t="s">
        <v>3301</v>
      </c>
      <c r="B464" s="187" t="s">
        <v>136</v>
      </c>
      <c r="C464" s="187" t="s">
        <v>321</v>
      </c>
      <c r="D464" s="187" t="s">
        <v>686</v>
      </c>
      <c r="E464" s="119"/>
      <c r="F464" s="187" t="s">
        <v>1136</v>
      </c>
      <c r="G464" s="187" t="s">
        <v>287</v>
      </c>
      <c r="H464" s="187" t="s">
        <v>3306</v>
      </c>
      <c r="I464" s="189" t="s">
        <v>3361</v>
      </c>
      <c r="J464" s="187"/>
      <c r="K464" s="213" t="s">
        <v>3112</v>
      </c>
      <c r="O464" s="184"/>
      <c r="P464" s="184"/>
      <c r="Q464" s="184"/>
      <c r="R464" s="184"/>
      <c r="S464" s="184"/>
      <c r="T464" s="184"/>
      <c r="U464" s="184"/>
    </row>
    <row r="465" spans="1:21">
      <c r="A465" s="119" t="s">
        <v>3301</v>
      </c>
      <c r="B465" s="187" t="s">
        <v>2067</v>
      </c>
      <c r="C465" s="187" t="s">
        <v>321</v>
      </c>
      <c r="D465" s="187" t="s">
        <v>686</v>
      </c>
      <c r="E465" s="119"/>
      <c r="F465" s="187" t="s">
        <v>1136</v>
      </c>
      <c r="G465" s="187" t="s">
        <v>3179</v>
      </c>
      <c r="H465" s="187" t="s">
        <v>3306</v>
      </c>
      <c r="I465" s="189" t="s">
        <v>3362</v>
      </c>
      <c r="J465" s="187"/>
      <c r="K465" s="213" t="s">
        <v>3112</v>
      </c>
      <c r="O465" s="184"/>
      <c r="P465" s="184"/>
      <c r="Q465" s="184"/>
      <c r="R465" s="184"/>
      <c r="S465" s="184"/>
      <c r="T465" s="184"/>
      <c r="U465" s="184"/>
    </row>
    <row r="466" spans="1:21">
      <c r="A466" s="119" t="s">
        <v>3301</v>
      </c>
      <c r="B466" s="187" t="s">
        <v>3180</v>
      </c>
      <c r="C466" s="187" t="s">
        <v>321</v>
      </c>
      <c r="D466" s="187" t="s">
        <v>686</v>
      </c>
      <c r="E466" s="119"/>
      <c r="F466" s="187" t="s">
        <v>1136</v>
      </c>
      <c r="G466" s="187" t="s">
        <v>3181</v>
      </c>
      <c r="H466" s="187" t="s">
        <v>3306</v>
      </c>
      <c r="I466" s="189" t="s">
        <v>3363</v>
      </c>
      <c r="J466" s="187"/>
      <c r="K466" s="213" t="s">
        <v>3112</v>
      </c>
      <c r="O466" s="184"/>
      <c r="P466" s="184"/>
      <c r="Q466" s="184"/>
      <c r="R466" s="184"/>
      <c r="S466" s="184"/>
      <c r="T466" s="184"/>
      <c r="U466" s="184"/>
    </row>
    <row r="467" spans="1:21" ht="25">
      <c r="A467" s="119" t="s">
        <v>3301</v>
      </c>
      <c r="B467" s="187" t="s">
        <v>3182</v>
      </c>
      <c r="C467" s="187" t="s">
        <v>321</v>
      </c>
      <c r="D467" s="187" t="s">
        <v>686</v>
      </c>
      <c r="E467" s="119"/>
      <c r="F467" s="187" t="s">
        <v>1136</v>
      </c>
      <c r="G467" s="187" t="s">
        <v>3183</v>
      </c>
      <c r="H467" s="187" t="s">
        <v>3306</v>
      </c>
      <c r="I467" s="189" t="s">
        <v>3364</v>
      </c>
      <c r="J467" s="187"/>
      <c r="K467" s="213" t="s">
        <v>3112</v>
      </c>
      <c r="O467" s="184"/>
      <c r="P467" s="184"/>
      <c r="Q467" s="184"/>
      <c r="R467" s="184"/>
      <c r="S467" s="184"/>
      <c r="T467" s="184"/>
      <c r="U467" s="184"/>
    </row>
    <row r="468" spans="1:21">
      <c r="A468" s="119" t="s">
        <v>3301</v>
      </c>
      <c r="B468" s="187" t="s">
        <v>3184</v>
      </c>
      <c r="C468" s="187" t="s">
        <v>321</v>
      </c>
      <c r="D468" s="187" t="s">
        <v>686</v>
      </c>
      <c r="E468" s="119"/>
      <c r="F468" s="187" t="s">
        <v>1136</v>
      </c>
      <c r="G468" s="187" t="s">
        <v>3185</v>
      </c>
      <c r="H468" s="187" t="s">
        <v>3306</v>
      </c>
      <c r="I468" s="189" t="s">
        <v>3365</v>
      </c>
      <c r="J468" s="187"/>
      <c r="K468" s="213" t="s">
        <v>3112</v>
      </c>
      <c r="O468" s="184"/>
      <c r="P468" s="184"/>
      <c r="Q468" s="184"/>
      <c r="R468" s="184"/>
      <c r="S468" s="184"/>
      <c r="T468" s="184"/>
      <c r="U468" s="184"/>
    </row>
    <row r="469" spans="1:21">
      <c r="A469" s="119" t="s">
        <v>3301</v>
      </c>
      <c r="B469" s="187" t="s">
        <v>3186</v>
      </c>
      <c r="C469" s="187" t="s">
        <v>321</v>
      </c>
      <c r="D469" s="187" t="s">
        <v>686</v>
      </c>
      <c r="E469" s="119"/>
      <c r="F469" s="187" t="s">
        <v>1136</v>
      </c>
      <c r="G469" s="187" t="s">
        <v>3187</v>
      </c>
      <c r="H469" s="187" t="s">
        <v>3306</v>
      </c>
      <c r="I469" s="189" t="s">
        <v>3366</v>
      </c>
      <c r="J469" s="187"/>
      <c r="K469" s="213" t="s">
        <v>3112</v>
      </c>
      <c r="O469" s="184"/>
      <c r="P469" s="184"/>
      <c r="Q469" s="184"/>
      <c r="R469" s="184"/>
      <c r="S469" s="184"/>
      <c r="T469" s="184"/>
      <c r="U469" s="184"/>
    </row>
    <row r="470" spans="1:21">
      <c r="A470" s="119" t="s">
        <v>3301</v>
      </c>
      <c r="B470" s="187" t="s">
        <v>3188</v>
      </c>
      <c r="C470" s="187" t="s">
        <v>321</v>
      </c>
      <c r="D470" s="187" t="s">
        <v>686</v>
      </c>
      <c r="E470" s="119"/>
      <c r="F470" s="187" t="s">
        <v>1136</v>
      </c>
      <c r="G470" s="187" t="s">
        <v>3189</v>
      </c>
      <c r="H470" s="187" t="s">
        <v>3306</v>
      </c>
      <c r="I470" s="189" t="s">
        <v>3367</v>
      </c>
      <c r="J470" s="187"/>
      <c r="K470" s="213" t="s">
        <v>3112</v>
      </c>
      <c r="O470" s="184"/>
      <c r="P470" s="184"/>
      <c r="Q470" s="184"/>
      <c r="R470" s="184"/>
      <c r="S470" s="184"/>
      <c r="T470" s="184"/>
      <c r="U470" s="184"/>
    </row>
    <row r="471" spans="1:21">
      <c r="A471" s="119" t="s">
        <v>3301</v>
      </c>
      <c r="B471" s="187" t="s">
        <v>2069</v>
      </c>
      <c r="C471" s="187" t="s">
        <v>321</v>
      </c>
      <c r="D471" s="187" t="s">
        <v>686</v>
      </c>
      <c r="E471" s="119"/>
      <c r="F471" s="187" t="s">
        <v>1136</v>
      </c>
      <c r="G471" s="187" t="s">
        <v>3190</v>
      </c>
      <c r="H471" s="187" t="s">
        <v>3306</v>
      </c>
      <c r="I471" s="189" t="s">
        <v>3368</v>
      </c>
      <c r="J471" s="187"/>
      <c r="K471" s="213" t="s">
        <v>3112</v>
      </c>
      <c r="O471" s="184"/>
      <c r="P471" s="184"/>
      <c r="Q471" s="184"/>
      <c r="R471" s="184"/>
      <c r="S471" s="184"/>
      <c r="T471" s="184"/>
      <c r="U471" s="184"/>
    </row>
    <row r="472" spans="1:21">
      <c r="A472" s="119" t="s">
        <v>3301</v>
      </c>
      <c r="B472" s="187" t="s">
        <v>3191</v>
      </c>
      <c r="C472" s="187" t="s">
        <v>321</v>
      </c>
      <c r="D472" s="187" t="s">
        <v>686</v>
      </c>
      <c r="E472" s="119"/>
      <c r="F472" s="187" t="s">
        <v>1136</v>
      </c>
      <c r="G472" s="187" t="s">
        <v>3192</v>
      </c>
      <c r="H472" s="187" t="s">
        <v>3306</v>
      </c>
      <c r="I472" s="189" t="s">
        <v>3369</v>
      </c>
      <c r="J472" s="187"/>
      <c r="K472" s="213" t="s">
        <v>3112</v>
      </c>
      <c r="O472" s="184"/>
      <c r="P472" s="184"/>
      <c r="Q472" s="184"/>
      <c r="R472" s="184"/>
      <c r="S472" s="184"/>
      <c r="T472" s="184"/>
      <c r="U472" s="184"/>
    </row>
    <row r="473" spans="1:21">
      <c r="A473" s="119" t="s">
        <v>3301</v>
      </c>
      <c r="B473" s="187" t="s">
        <v>3193</v>
      </c>
      <c r="C473" s="187" t="s">
        <v>321</v>
      </c>
      <c r="D473" s="187" t="s">
        <v>686</v>
      </c>
      <c r="E473" s="119"/>
      <c r="F473" s="187" t="s">
        <v>1136</v>
      </c>
      <c r="G473" s="187" t="s">
        <v>3194</v>
      </c>
      <c r="H473" s="187" t="s">
        <v>3306</v>
      </c>
      <c r="I473" s="189" t="s">
        <v>3370</v>
      </c>
      <c r="J473" s="187"/>
      <c r="K473" s="213" t="s">
        <v>3112</v>
      </c>
      <c r="O473" s="184"/>
      <c r="P473" s="184"/>
      <c r="Q473" s="184"/>
      <c r="R473" s="184"/>
      <c r="S473" s="184"/>
      <c r="T473" s="184"/>
      <c r="U473" s="184"/>
    </row>
    <row r="474" spans="1:21">
      <c r="A474" s="119" t="s">
        <v>3301</v>
      </c>
      <c r="B474" s="187" t="s">
        <v>3195</v>
      </c>
      <c r="C474" s="187" t="s">
        <v>321</v>
      </c>
      <c r="D474" s="187" t="s">
        <v>686</v>
      </c>
      <c r="E474" s="119"/>
      <c r="F474" s="187" t="s">
        <v>1136</v>
      </c>
      <c r="G474" s="187" t="s">
        <v>3196</v>
      </c>
      <c r="H474" s="187" t="s">
        <v>3306</v>
      </c>
      <c r="I474" s="189" t="s">
        <v>3371</v>
      </c>
      <c r="J474" s="187"/>
      <c r="K474" s="213" t="s">
        <v>3112</v>
      </c>
      <c r="O474" s="184"/>
      <c r="P474" s="184"/>
      <c r="Q474" s="184"/>
      <c r="R474" s="184"/>
      <c r="S474" s="184"/>
      <c r="T474" s="184"/>
      <c r="U474" s="184"/>
    </row>
    <row r="475" spans="1:21">
      <c r="A475" s="119" t="s">
        <v>3301</v>
      </c>
      <c r="B475" s="187" t="s">
        <v>3197</v>
      </c>
      <c r="C475" s="187" t="s">
        <v>321</v>
      </c>
      <c r="D475" s="187" t="s">
        <v>686</v>
      </c>
      <c r="E475" s="119"/>
      <c r="F475" s="187" t="s">
        <v>1136</v>
      </c>
      <c r="G475" s="187" t="s">
        <v>3198</v>
      </c>
      <c r="H475" s="187" t="s">
        <v>3306</v>
      </c>
      <c r="I475" s="189" t="s">
        <v>3372</v>
      </c>
      <c r="J475" s="187"/>
      <c r="K475" s="213" t="s">
        <v>3112</v>
      </c>
      <c r="O475" s="184"/>
      <c r="P475" s="184"/>
      <c r="Q475" s="184"/>
      <c r="R475" s="184"/>
      <c r="S475" s="184"/>
      <c r="T475" s="184"/>
      <c r="U475" s="184"/>
    </row>
    <row r="476" spans="1:21">
      <c r="A476" s="119" t="s">
        <v>3301</v>
      </c>
      <c r="B476" s="187" t="s">
        <v>3199</v>
      </c>
      <c r="C476" s="187" t="s">
        <v>321</v>
      </c>
      <c r="D476" s="187" t="s">
        <v>686</v>
      </c>
      <c r="E476" s="119"/>
      <c r="F476" s="187" t="s">
        <v>1136</v>
      </c>
      <c r="G476" s="187" t="s">
        <v>3200</v>
      </c>
      <c r="H476" s="187" t="s">
        <v>3306</v>
      </c>
      <c r="I476" s="189" t="s">
        <v>3373</v>
      </c>
      <c r="J476" s="187"/>
      <c r="K476" s="213" t="s">
        <v>3112</v>
      </c>
      <c r="O476" s="184"/>
      <c r="P476" s="184"/>
      <c r="Q476" s="184"/>
      <c r="R476" s="184"/>
      <c r="S476" s="184"/>
      <c r="T476" s="184"/>
      <c r="U476" s="184"/>
    </row>
    <row r="477" spans="1:21">
      <c r="A477" s="119" t="s">
        <v>3301</v>
      </c>
      <c r="B477" s="187" t="s">
        <v>1673</v>
      </c>
      <c r="C477" s="187" t="s">
        <v>321</v>
      </c>
      <c r="D477" s="187" t="s">
        <v>686</v>
      </c>
      <c r="E477" s="119"/>
      <c r="F477" s="187" t="s">
        <v>1136</v>
      </c>
      <c r="G477" s="187" t="s">
        <v>3201</v>
      </c>
      <c r="H477" s="187" t="s">
        <v>3306</v>
      </c>
      <c r="I477" s="189" t="s">
        <v>3374</v>
      </c>
      <c r="J477" s="187"/>
      <c r="K477" s="213" t="s">
        <v>3112</v>
      </c>
      <c r="O477" s="184"/>
      <c r="P477" s="184"/>
      <c r="Q477" s="184"/>
      <c r="R477" s="184"/>
      <c r="S477" s="184"/>
      <c r="T477" s="184"/>
      <c r="U477" s="184"/>
    </row>
    <row r="478" spans="1:21">
      <c r="A478" s="119" t="s">
        <v>3301</v>
      </c>
      <c r="B478" s="187" t="s">
        <v>3202</v>
      </c>
      <c r="C478" s="187" t="s">
        <v>321</v>
      </c>
      <c r="D478" s="187" t="s">
        <v>686</v>
      </c>
      <c r="E478" s="119"/>
      <c r="F478" s="187" t="s">
        <v>1136</v>
      </c>
      <c r="G478" s="187" t="s">
        <v>3203</v>
      </c>
      <c r="H478" s="187" t="s">
        <v>3306</v>
      </c>
      <c r="I478" s="189" t="s">
        <v>3375</v>
      </c>
      <c r="J478" s="187"/>
      <c r="K478" s="213" t="s">
        <v>3112</v>
      </c>
      <c r="O478" s="184"/>
      <c r="P478" s="184"/>
      <c r="Q478" s="184"/>
      <c r="R478" s="184"/>
      <c r="S478" s="184"/>
      <c r="T478" s="184"/>
      <c r="U478" s="184"/>
    </row>
    <row r="479" spans="1:21">
      <c r="A479" s="119" t="s">
        <v>3301</v>
      </c>
      <c r="B479" s="187" t="s">
        <v>3376</v>
      </c>
      <c r="C479" s="187" t="s">
        <v>267</v>
      </c>
      <c r="D479" s="187" t="s">
        <v>686</v>
      </c>
      <c r="E479" s="119"/>
      <c r="F479" s="187" t="s">
        <v>1136</v>
      </c>
      <c r="G479" s="187" t="s">
        <v>3205</v>
      </c>
      <c r="H479" s="187" t="s">
        <v>267</v>
      </c>
      <c r="I479" s="189" t="s">
        <v>3377</v>
      </c>
      <c r="J479" s="187"/>
      <c r="K479" s="213" t="s">
        <v>3112</v>
      </c>
      <c r="O479" s="184"/>
      <c r="P479" s="184"/>
      <c r="Q479" s="184"/>
      <c r="R479" s="184"/>
      <c r="S479" s="184"/>
      <c r="T479" s="184"/>
      <c r="U479" s="184"/>
    </row>
    <row r="480" spans="1:21">
      <c r="A480" s="119" t="s">
        <v>3301</v>
      </c>
      <c r="B480" s="187" t="s">
        <v>832</v>
      </c>
      <c r="C480" s="187" t="s">
        <v>267</v>
      </c>
      <c r="D480" s="187" t="s">
        <v>686</v>
      </c>
      <c r="E480" s="119"/>
      <c r="F480" s="187" t="s">
        <v>1136</v>
      </c>
      <c r="G480" s="187" t="s">
        <v>1178</v>
      </c>
      <c r="H480" s="187" t="s">
        <v>267</v>
      </c>
      <c r="I480" s="189" t="s">
        <v>1179</v>
      </c>
      <c r="J480" s="187"/>
      <c r="K480" s="213" t="s">
        <v>3118</v>
      </c>
      <c r="O480" s="184"/>
      <c r="P480" s="184"/>
      <c r="Q480" s="184"/>
      <c r="R480" s="184"/>
      <c r="S480" s="184"/>
      <c r="T480" s="184"/>
      <c r="U480" s="184"/>
    </row>
    <row r="481" spans="1:21">
      <c r="A481" s="119" t="s">
        <v>3301</v>
      </c>
      <c r="B481" s="187" t="s">
        <v>3378</v>
      </c>
      <c r="C481" s="187" t="s">
        <v>321</v>
      </c>
      <c r="D481" s="187" t="s">
        <v>686</v>
      </c>
      <c r="E481" s="119"/>
      <c r="F481" s="187" t="s">
        <v>1136</v>
      </c>
      <c r="G481" s="187" t="s">
        <v>3211</v>
      </c>
      <c r="H481" s="187" t="s">
        <v>3306</v>
      </c>
      <c r="I481" s="189" t="s">
        <v>3379</v>
      </c>
      <c r="J481" s="187"/>
      <c r="K481" s="213" t="s">
        <v>3118</v>
      </c>
      <c r="O481" s="184"/>
      <c r="P481" s="184"/>
      <c r="Q481" s="184"/>
      <c r="R481" s="184"/>
      <c r="S481" s="184"/>
      <c r="T481" s="184"/>
      <c r="U481" s="184"/>
    </row>
    <row r="482" spans="1:21">
      <c r="A482" s="119" t="s">
        <v>3301</v>
      </c>
      <c r="B482" s="187" t="s">
        <v>3380</v>
      </c>
      <c r="C482" s="187" t="s">
        <v>321</v>
      </c>
      <c r="D482" s="187" t="s">
        <v>686</v>
      </c>
      <c r="E482" s="119"/>
      <c r="F482" s="187" t="s">
        <v>1136</v>
      </c>
      <c r="G482" s="187" t="s">
        <v>122</v>
      </c>
      <c r="H482" s="187" t="s">
        <v>3306</v>
      </c>
      <c r="I482" s="189" t="s">
        <v>3381</v>
      </c>
      <c r="J482" s="187"/>
      <c r="K482" s="213" t="s">
        <v>2988</v>
      </c>
      <c r="O482" s="184"/>
      <c r="P482" s="184"/>
      <c r="Q482" s="184"/>
      <c r="R482" s="184"/>
      <c r="S482" s="184"/>
      <c r="T482" s="184"/>
      <c r="U482" s="184"/>
    </row>
    <row r="483" spans="1:21">
      <c r="A483" s="119" t="s">
        <v>3301</v>
      </c>
      <c r="B483" s="187" t="s">
        <v>3382</v>
      </c>
      <c r="C483" s="187" t="s">
        <v>321</v>
      </c>
      <c r="D483" s="187" t="s">
        <v>686</v>
      </c>
      <c r="E483" s="119"/>
      <c r="F483" s="187" t="s">
        <v>1136</v>
      </c>
      <c r="G483" s="187" t="s">
        <v>124</v>
      </c>
      <c r="H483" s="187" t="s">
        <v>3306</v>
      </c>
      <c r="I483" s="189" t="s">
        <v>3383</v>
      </c>
      <c r="J483" s="187"/>
      <c r="K483" s="213" t="s">
        <v>2988</v>
      </c>
      <c r="O483" s="184"/>
      <c r="P483" s="184"/>
      <c r="Q483" s="184"/>
      <c r="R483" s="184"/>
      <c r="S483" s="184"/>
      <c r="T483" s="184"/>
      <c r="U483" s="184"/>
    </row>
    <row r="484" spans="1:21" ht="24.65" customHeight="1">
      <c r="A484" s="119" t="s">
        <v>3301</v>
      </c>
      <c r="B484" s="187" t="s">
        <v>2062</v>
      </c>
      <c r="C484" s="187" t="s">
        <v>321</v>
      </c>
      <c r="D484" s="187" t="s">
        <v>686</v>
      </c>
      <c r="E484" s="119"/>
      <c r="F484" s="187" t="s">
        <v>1136</v>
      </c>
      <c r="G484" s="187" t="s">
        <v>3384</v>
      </c>
      <c r="H484" s="187" t="s">
        <v>3306</v>
      </c>
      <c r="I484" s="189" t="s">
        <v>3385</v>
      </c>
      <c r="J484" s="187"/>
      <c r="K484" s="213" t="s">
        <v>2988</v>
      </c>
      <c r="O484" s="184"/>
      <c r="P484" s="184"/>
      <c r="Q484" s="184"/>
      <c r="R484" s="184"/>
      <c r="S484" s="184"/>
      <c r="T484" s="184"/>
      <c r="U484" s="184"/>
    </row>
    <row r="485" spans="1:21">
      <c r="A485" s="119" t="s">
        <v>3301</v>
      </c>
      <c r="B485" s="187" t="s">
        <v>3386</v>
      </c>
      <c r="C485" s="187" t="s">
        <v>321</v>
      </c>
      <c r="D485" s="187" t="s">
        <v>686</v>
      </c>
      <c r="E485" s="119"/>
      <c r="F485" s="187" t="s">
        <v>1136</v>
      </c>
      <c r="G485" s="187" t="s">
        <v>3387</v>
      </c>
      <c r="H485" s="187" t="s">
        <v>3306</v>
      </c>
      <c r="I485" s="189" t="s">
        <v>3388</v>
      </c>
      <c r="J485" s="187"/>
      <c r="K485" s="213" t="s">
        <v>3112</v>
      </c>
      <c r="O485" s="184"/>
      <c r="P485" s="184"/>
      <c r="Q485" s="184"/>
      <c r="R485" s="184"/>
      <c r="S485" s="184"/>
      <c r="T485" s="184"/>
      <c r="U485" s="184"/>
    </row>
    <row r="486" spans="1:21">
      <c r="A486" s="119" t="s">
        <v>3301</v>
      </c>
      <c r="B486" s="187" t="s">
        <v>730</v>
      </c>
      <c r="C486" s="187" t="s">
        <v>321</v>
      </c>
      <c r="D486" s="187" t="s">
        <v>686</v>
      </c>
      <c r="E486" s="119"/>
      <c r="F486" s="187" t="s">
        <v>1136</v>
      </c>
      <c r="G486" s="187" t="s">
        <v>3389</v>
      </c>
      <c r="H486" s="187" t="s">
        <v>3306</v>
      </c>
      <c r="I486" s="189" t="s">
        <v>3390</v>
      </c>
      <c r="J486" s="187"/>
      <c r="K486" s="213" t="s">
        <v>2988</v>
      </c>
      <c r="O486" s="184"/>
      <c r="P486" s="184"/>
      <c r="Q486" s="184"/>
      <c r="R486" s="184"/>
      <c r="S486" s="184"/>
      <c r="T486" s="184"/>
      <c r="U486" s="184"/>
    </row>
    <row r="487" spans="1:21">
      <c r="A487" s="119" t="s">
        <v>3301</v>
      </c>
      <c r="B487" s="187" t="s">
        <v>730</v>
      </c>
      <c r="C487" s="187" t="s">
        <v>321</v>
      </c>
      <c r="D487" s="187" t="s">
        <v>686</v>
      </c>
      <c r="E487" s="119"/>
      <c r="F487" s="187" t="s">
        <v>1136</v>
      </c>
      <c r="G487" s="187" t="s">
        <v>3391</v>
      </c>
      <c r="H487" s="187" t="s">
        <v>3306</v>
      </c>
      <c r="I487" s="189" t="s">
        <v>3392</v>
      </c>
      <c r="J487" s="187"/>
      <c r="K487" s="213" t="s">
        <v>2988</v>
      </c>
      <c r="O487" s="184"/>
      <c r="P487" s="184"/>
      <c r="Q487" s="184"/>
      <c r="R487" s="184"/>
      <c r="S487" s="184"/>
      <c r="T487" s="184"/>
      <c r="U487" s="184"/>
    </row>
    <row r="488" spans="1:21">
      <c r="A488" s="119" t="s">
        <v>3393</v>
      </c>
      <c r="B488" s="187" t="s">
        <v>730</v>
      </c>
      <c r="C488" s="187" t="s">
        <v>321</v>
      </c>
      <c r="D488" s="187" t="s">
        <v>686</v>
      </c>
      <c r="E488" s="119"/>
      <c r="F488" s="187" t="s">
        <v>1136</v>
      </c>
      <c r="G488" s="187" t="s">
        <v>3394</v>
      </c>
      <c r="H488" s="187" t="s">
        <v>3306</v>
      </c>
      <c r="I488" s="189" t="s">
        <v>3395</v>
      </c>
      <c r="J488" s="187"/>
      <c r="K488" s="213" t="s">
        <v>2988</v>
      </c>
      <c r="O488" s="184"/>
      <c r="P488" s="184"/>
      <c r="Q488" s="184"/>
      <c r="R488" s="184"/>
      <c r="S488" s="184"/>
      <c r="T488" s="184"/>
      <c r="U488" s="184"/>
    </row>
    <row r="489" spans="1:21">
      <c r="A489" s="119"/>
      <c r="B489" s="187"/>
      <c r="C489" s="187"/>
      <c r="D489" s="187"/>
      <c r="E489" s="119" t="s">
        <v>3396</v>
      </c>
      <c r="F489" s="187" t="s">
        <v>1136</v>
      </c>
      <c r="G489" s="187" t="s">
        <v>3397</v>
      </c>
      <c r="H489" s="187" t="s">
        <v>3306</v>
      </c>
      <c r="I489" s="189" t="s">
        <v>3398</v>
      </c>
      <c r="J489" s="187"/>
      <c r="K489" s="213" t="s">
        <v>2988</v>
      </c>
      <c r="O489" s="184"/>
      <c r="P489" s="184"/>
      <c r="Q489" s="184"/>
      <c r="R489" s="184"/>
      <c r="S489" s="184"/>
      <c r="T489" s="184"/>
      <c r="U489" s="184"/>
    </row>
    <row r="490" spans="1:21">
      <c r="A490" s="119" t="s">
        <v>3301</v>
      </c>
      <c r="B490" s="187" t="s">
        <v>3399</v>
      </c>
      <c r="C490" s="187" t="s">
        <v>321</v>
      </c>
      <c r="D490" s="187" t="s">
        <v>686</v>
      </c>
      <c r="E490" s="119"/>
      <c r="F490" s="187" t="s">
        <v>1136</v>
      </c>
      <c r="G490" s="187" t="s">
        <v>3400</v>
      </c>
      <c r="H490" s="187" t="s">
        <v>3306</v>
      </c>
      <c r="I490" s="189" t="s">
        <v>3401</v>
      </c>
      <c r="J490" s="187"/>
      <c r="K490" s="213" t="s">
        <v>2988</v>
      </c>
      <c r="O490" s="184"/>
      <c r="P490" s="184"/>
      <c r="Q490" s="184"/>
      <c r="R490" s="184"/>
      <c r="S490" s="184"/>
      <c r="T490" s="184"/>
      <c r="U490" s="184"/>
    </row>
    <row r="491" spans="1:21">
      <c r="A491" s="119" t="s">
        <v>3301</v>
      </c>
      <c r="B491" s="187" t="s">
        <v>3254</v>
      </c>
      <c r="C491" s="187" t="s">
        <v>321</v>
      </c>
      <c r="D491" s="187" t="s">
        <v>686</v>
      </c>
      <c r="E491" s="119"/>
      <c r="F491" s="187" t="s">
        <v>1136</v>
      </c>
      <c r="G491" s="187" t="s">
        <v>1386</v>
      </c>
      <c r="H491" s="187" t="s">
        <v>3306</v>
      </c>
      <c r="I491" s="189" t="s">
        <v>1387</v>
      </c>
      <c r="J491" s="187"/>
      <c r="K491" s="213" t="s">
        <v>3112</v>
      </c>
      <c r="O491" s="184"/>
      <c r="P491" s="184"/>
      <c r="Q491" s="184"/>
      <c r="R491" s="184"/>
      <c r="S491" s="184"/>
      <c r="T491" s="184"/>
      <c r="U491" s="184"/>
    </row>
    <row r="492" spans="1:21">
      <c r="A492" s="119" t="s">
        <v>3301</v>
      </c>
      <c r="B492" s="187" t="s">
        <v>3402</v>
      </c>
      <c r="C492" s="187" t="s">
        <v>321</v>
      </c>
      <c r="D492" s="187" t="s">
        <v>686</v>
      </c>
      <c r="E492" s="119"/>
      <c r="F492" s="187" t="s">
        <v>1136</v>
      </c>
      <c r="G492" s="187" t="s">
        <v>3403</v>
      </c>
      <c r="H492" s="187" t="s">
        <v>3306</v>
      </c>
      <c r="I492" s="189" t="s">
        <v>3404</v>
      </c>
      <c r="J492" s="187"/>
      <c r="K492" s="213" t="s">
        <v>2988</v>
      </c>
      <c r="O492" s="184"/>
      <c r="P492" s="184"/>
      <c r="Q492" s="184"/>
      <c r="R492" s="184"/>
      <c r="S492" s="184"/>
      <c r="T492" s="184"/>
      <c r="U492" s="184"/>
    </row>
    <row r="493" spans="1:21">
      <c r="A493" s="119" t="s">
        <v>3301</v>
      </c>
      <c r="B493" s="187" t="s">
        <v>3402</v>
      </c>
      <c r="C493" s="187" t="s">
        <v>321</v>
      </c>
      <c r="D493" s="187" t="s">
        <v>686</v>
      </c>
      <c r="E493" s="119"/>
      <c r="F493" s="187" t="s">
        <v>1136</v>
      </c>
      <c r="G493" s="187" t="s">
        <v>3405</v>
      </c>
      <c r="H493" s="187" t="s">
        <v>3306</v>
      </c>
      <c r="I493" s="189" t="s">
        <v>3406</v>
      </c>
      <c r="J493" s="187"/>
      <c r="K493" s="213" t="s">
        <v>2988</v>
      </c>
      <c r="O493" s="184"/>
      <c r="P493" s="184"/>
      <c r="Q493" s="184"/>
      <c r="R493" s="184"/>
      <c r="S493" s="184"/>
      <c r="T493" s="184"/>
      <c r="U493" s="184"/>
    </row>
    <row r="494" spans="1:21" ht="25">
      <c r="A494" s="119" t="s">
        <v>3393</v>
      </c>
      <c r="B494" s="187" t="s">
        <v>3402</v>
      </c>
      <c r="C494" s="187" t="s">
        <v>321</v>
      </c>
      <c r="D494" s="187" t="s">
        <v>686</v>
      </c>
      <c r="E494" s="119"/>
      <c r="F494" s="187" t="s">
        <v>1136</v>
      </c>
      <c r="G494" s="187" t="s">
        <v>3407</v>
      </c>
      <c r="H494" s="187" t="s">
        <v>3306</v>
      </c>
      <c r="I494" s="189" t="s">
        <v>3408</v>
      </c>
      <c r="J494" s="187"/>
      <c r="K494" s="213" t="s">
        <v>2988</v>
      </c>
      <c r="O494" s="184"/>
      <c r="P494" s="184"/>
      <c r="Q494" s="184"/>
      <c r="R494" s="184"/>
      <c r="S494" s="184"/>
      <c r="T494" s="184"/>
      <c r="U494" s="184"/>
    </row>
    <row r="495" spans="1:21">
      <c r="A495" s="119"/>
      <c r="B495" s="187"/>
      <c r="C495" s="187"/>
      <c r="D495" s="187"/>
      <c r="E495" s="119" t="s">
        <v>3409</v>
      </c>
      <c r="F495" s="187" t="s">
        <v>1136</v>
      </c>
      <c r="G495" s="187" t="s">
        <v>3410</v>
      </c>
      <c r="H495" s="187" t="s">
        <v>3306</v>
      </c>
      <c r="I495" s="189" t="s">
        <v>3411</v>
      </c>
      <c r="J495" s="187"/>
      <c r="K495" s="213" t="s">
        <v>2988</v>
      </c>
      <c r="O495" s="184"/>
      <c r="P495" s="184"/>
      <c r="Q495" s="184"/>
      <c r="R495" s="184"/>
      <c r="S495" s="184"/>
      <c r="T495" s="184"/>
      <c r="U495" s="184"/>
    </row>
    <row r="496" spans="1:21">
      <c r="A496" s="119" t="s">
        <v>3301</v>
      </c>
      <c r="B496" s="187" t="s">
        <v>3412</v>
      </c>
      <c r="C496" s="187" t="s">
        <v>321</v>
      </c>
      <c r="D496" s="187" t="s">
        <v>686</v>
      </c>
      <c r="E496" s="119"/>
      <c r="F496" s="187" t="s">
        <v>1136</v>
      </c>
      <c r="G496" s="187" t="s">
        <v>3413</v>
      </c>
      <c r="H496" s="187" t="s">
        <v>3306</v>
      </c>
      <c r="I496" s="187" t="s">
        <v>3412</v>
      </c>
      <c r="J496" s="187" t="s">
        <v>3414</v>
      </c>
      <c r="K496" s="213" t="s">
        <v>2988</v>
      </c>
      <c r="O496" s="184"/>
      <c r="P496" s="184"/>
      <c r="Q496" s="184"/>
      <c r="R496" s="184"/>
      <c r="S496" s="184"/>
      <c r="T496" s="184"/>
      <c r="U496" s="184"/>
    </row>
    <row r="497" spans="1:21">
      <c r="A497" s="119" t="s">
        <v>3301</v>
      </c>
      <c r="B497" s="187" t="s">
        <v>3415</v>
      </c>
      <c r="C497" s="187" t="s">
        <v>321</v>
      </c>
      <c r="D497" s="187" t="s">
        <v>686</v>
      </c>
      <c r="E497" s="119"/>
      <c r="F497" s="187" t="s">
        <v>1136</v>
      </c>
      <c r="G497" s="187" t="s">
        <v>3416</v>
      </c>
      <c r="H497" s="187" t="s">
        <v>3306</v>
      </c>
      <c r="I497" s="187" t="s">
        <v>3415</v>
      </c>
      <c r="J497" s="187"/>
      <c r="K497" s="213" t="s">
        <v>2988</v>
      </c>
      <c r="O497" s="184"/>
      <c r="P497" s="184"/>
      <c r="Q497" s="184"/>
      <c r="R497" s="184"/>
      <c r="S497" s="184"/>
      <c r="T497" s="184"/>
      <c r="U497" s="184"/>
    </row>
    <row r="498" spans="1:21" ht="25">
      <c r="A498" s="119" t="s">
        <v>3301</v>
      </c>
      <c r="B498" s="187" t="s">
        <v>3415</v>
      </c>
      <c r="C498" s="187" t="s">
        <v>321</v>
      </c>
      <c r="D498" s="187" t="s">
        <v>686</v>
      </c>
      <c r="E498" s="119"/>
      <c r="F498" s="187" t="s">
        <v>1136</v>
      </c>
      <c r="G498" s="187" t="s">
        <v>3417</v>
      </c>
      <c r="H498" s="187" t="s">
        <v>3306</v>
      </c>
      <c r="I498" s="187" t="s">
        <v>3415</v>
      </c>
      <c r="J498" s="187"/>
      <c r="K498" s="213" t="s">
        <v>2988</v>
      </c>
      <c r="O498" s="184"/>
      <c r="P498" s="184"/>
      <c r="Q498" s="184"/>
      <c r="R498" s="184"/>
      <c r="S498" s="184"/>
      <c r="T498" s="184"/>
      <c r="U498" s="184"/>
    </row>
    <row r="499" spans="1:21" ht="25">
      <c r="A499" s="119" t="s">
        <v>3393</v>
      </c>
      <c r="B499" s="187" t="s">
        <v>3415</v>
      </c>
      <c r="C499" s="187" t="s">
        <v>321</v>
      </c>
      <c r="D499" s="187" t="s">
        <v>686</v>
      </c>
      <c r="E499" s="119"/>
      <c r="F499" s="187" t="s">
        <v>1136</v>
      </c>
      <c r="G499" s="187" t="s">
        <v>3418</v>
      </c>
      <c r="H499" s="187" t="s">
        <v>3306</v>
      </c>
      <c r="I499" s="187" t="s">
        <v>3415</v>
      </c>
      <c r="J499" s="187"/>
      <c r="K499" s="213" t="s">
        <v>2988</v>
      </c>
    </row>
    <row r="500" spans="1:21" ht="25">
      <c r="A500" s="119"/>
      <c r="B500" s="187"/>
      <c r="C500" s="187" t="s">
        <v>321</v>
      </c>
      <c r="D500" s="187"/>
      <c r="E500" s="119" t="s">
        <v>3419</v>
      </c>
      <c r="F500" s="187" t="s">
        <v>1136</v>
      </c>
      <c r="G500" s="187" t="s">
        <v>3420</v>
      </c>
      <c r="H500" s="187" t="s">
        <v>3306</v>
      </c>
      <c r="I500" s="189" t="s">
        <v>3421</v>
      </c>
      <c r="J500" s="187"/>
      <c r="K500" s="213" t="s">
        <v>2988</v>
      </c>
      <c r="O500" s="184"/>
      <c r="P500" s="184"/>
      <c r="Q500" s="184"/>
      <c r="R500" s="184"/>
      <c r="S500" s="184"/>
      <c r="T500" s="184"/>
      <c r="U500" s="184"/>
    </row>
    <row r="501" spans="1:21">
      <c r="A501" s="119" t="s">
        <v>3301</v>
      </c>
      <c r="B501" s="187" t="s">
        <v>3422</v>
      </c>
      <c r="C501" s="187" t="s">
        <v>321</v>
      </c>
      <c r="D501" s="187" t="s">
        <v>686</v>
      </c>
      <c r="E501" s="119"/>
      <c r="F501" s="187" t="s">
        <v>1136</v>
      </c>
      <c r="G501" s="187" t="s">
        <v>3423</v>
      </c>
      <c r="H501" s="187" t="s">
        <v>3306</v>
      </c>
      <c r="I501" s="187" t="s">
        <v>3422</v>
      </c>
      <c r="J501" s="187"/>
      <c r="K501" s="213" t="s">
        <v>2988</v>
      </c>
      <c r="O501" s="184"/>
      <c r="P501" s="184"/>
      <c r="Q501" s="184"/>
      <c r="R501" s="184"/>
      <c r="S501" s="184"/>
      <c r="T501" s="184"/>
      <c r="U501" s="184"/>
    </row>
    <row r="502" spans="1:21">
      <c r="A502" s="119" t="s">
        <v>3301</v>
      </c>
      <c r="B502" s="187" t="s">
        <v>3424</v>
      </c>
      <c r="C502" s="187" t="s">
        <v>321</v>
      </c>
      <c r="D502" s="187" t="s">
        <v>686</v>
      </c>
      <c r="E502" s="119"/>
      <c r="F502" s="187" t="s">
        <v>1136</v>
      </c>
      <c r="G502" s="187" t="s">
        <v>3425</v>
      </c>
      <c r="H502" s="187" t="s">
        <v>3306</v>
      </c>
      <c r="I502" s="187" t="s">
        <v>3424</v>
      </c>
      <c r="J502" s="187"/>
      <c r="K502" s="213" t="s">
        <v>2988</v>
      </c>
      <c r="O502" s="184"/>
      <c r="P502" s="184"/>
      <c r="Q502" s="184"/>
      <c r="R502" s="184"/>
      <c r="S502" s="184"/>
      <c r="T502" s="184"/>
      <c r="U502" s="184"/>
    </row>
    <row r="503" spans="1:21">
      <c r="A503" s="119" t="s">
        <v>3301</v>
      </c>
      <c r="B503" s="187" t="s">
        <v>3426</v>
      </c>
      <c r="C503" s="187" t="s">
        <v>321</v>
      </c>
      <c r="D503" s="187" t="s">
        <v>686</v>
      </c>
      <c r="E503" s="119"/>
      <c r="F503" s="187" t="s">
        <v>1136</v>
      </c>
      <c r="G503" s="187" t="s">
        <v>3427</v>
      </c>
      <c r="H503" s="187" t="s">
        <v>3306</v>
      </c>
      <c r="I503" s="187" t="s">
        <v>3426</v>
      </c>
      <c r="J503" s="187"/>
      <c r="K503" s="213" t="s">
        <v>2988</v>
      </c>
      <c r="O503" s="184"/>
      <c r="P503" s="184"/>
      <c r="Q503" s="184"/>
      <c r="R503" s="184"/>
      <c r="S503" s="184"/>
      <c r="T503" s="184"/>
      <c r="U503" s="184"/>
    </row>
    <row r="504" spans="1:21" ht="25">
      <c r="A504" s="119" t="s">
        <v>3301</v>
      </c>
      <c r="B504" s="187" t="s">
        <v>3428</v>
      </c>
      <c r="C504" s="187" t="s">
        <v>321</v>
      </c>
      <c r="D504" s="187" t="s">
        <v>686</v>
      </c>
      <c r="E504" s="119"/>
      <c r="F504" s="187" t="s">
        <v>1136</v>
      </c>
      <c r="G504" s="187" t="s">
        <v>3429</v>
      </c>
      <c r="H504" s="187" t="s">
        <v>3306</v>
      </c>
      <c r="I504" s="187" t="s">
        <v>3428</v>
      </c>
      <c r="J504" s="187"/>
      <c r="K504" s="213" t="s">
        <v>2988</v>
      </c>
      <c r="O504" s="184"/>
      <c r="P504" s="184"/>
      <c r="Q504" s="184"/>
      <c r="R504" s="184"/>
      <c r="S504" s="184"/>
      <c r="T504" s="184"/>
      <c r="U504" s="184"/>
    </row>
    <row r="505" spans="1:21" ht="25">
      <c r="A505" s="119" t="s">
        <v>3301</v>
      </c>
      <c r="B505" s="187" t="s">
        <v>3428</v>
      </c>
      <c r="C505" s="187" t="s">
        <v>321</v>
      </c>
      <c r="D505" s="187" t="s">
        <v>686</v>
      </c>
      <c r="E505" s="119"/>
      <c r="F505" s="187" t="s">
        <v>1136</v>
      </c>
      <c r="G505" s="187" t="s">
        <v>3430</v>
      </c>
      <c r="H505" s="187" t="s">
        <v>3306</v>
      </c>
      <c r="I505" s="187" t="s">
        <v>3428</v>
      </c>
      <c r="J505" s="187"/>
      <c r="K505" s="213" t="s">
        <v>2988</v>
      </c>
      <c r="O505" s="184"/>
      <c r="P505" s="184"/>
      <c r="Q505" s="184"/>
      <c r="R505" s="184"/>
      <c r="S505" s="184"/>
      <c r="T505" s="184"/>
      <c r="U505" s="184"/>
    </row>
    <row r="506" spans="1:21" ht="25">
      <c r="A506" s="119" t="s">
        <v>3393</v>
      </c>
      <c r="B506" s="187" t="s">
        <v>3428</v>
      </c>
      <c r="C506" s="187" t="s">
        <v>321</v>
      </c>
      <c r="D506" s="187" t="s">
        <v>686</v>
      </c>
      <c r="E506" s="119"/>
      <c r="F506" s="187" t="s">
        <v>1136</v>
      </c>
      <c r="G506" s="187" t="s">
        <v>3431</v>
      </c>
      <c r="H506" s="187" t="s">
        <v>3306</v>
      </c>
      <c r="I506" s="187" t="s">
        <v>3428</v>
      </c>
      <c r="J506" s="187"/>
      <c r="K506" s="213" t="s">
        <v>2988</v>
      </c>
      <c r="O506" s="184"/>
      <c r="P506" s="184"/>
      <c r="Q506" s="184"/>
      <c r="R506" s="184"/>
      <c r="S506" s="184"/>
      <c r="T506" s="184"/>
      <c r="U506" s="184"/>
    </row>
    <row r="507" spans="1:21" ht="25">
      <c r="A507" s="119"/>
      <c r="B507" s="187"/>
      <c r="C507" s="187"/>
      <c r="D507" s="187"/>
      <c r="E507" s="119" t="s">
        <v>3432</v>
      </c>
      <c r="F507" s="187" t="s">
        <v>1136</v>
      </c>
      <c r="G507" s="187" t="s">
        <v>3433</v>
      </c>
      <c r="H507" s="187" t="s">
        <v>3306</v>
      </c>
      <c r="I507" s="189" t="s">
        <v>3434</v>
      </c>
      <c r="J507" s="187"/>
      <c r="K507" s="213" t="s">
        <v>2988</v>
      </c>
      <c r="O507" s="184"/>
      <c r="P507" s="184"/>
      <c r="Q507" s="184"/>
      <c r="R507" s="184"/>
      <c r="S507" s="184"/>
      <c r="T507" s="184"/>
      <c r="U507" s="184"/>
    </row>
    <row r="508" spans="1:21">
      <c r="A508" s="119" t="s">
        <v>3301</v>
      </c>
      <c r="B508" s="187" t="s">
        <v>3435</v>
      </c>
      <c r="C508" s="187" t="s">
        <v>321</v>
      </c>
      <c r="D508" s="187" t="s">
        <v>686</v>
      </c>
      <c r="E508" s="119"/>
      <c r="F508" s="187" t="s">
        <v>1136</v>
      </c>
      <c r="G508" s="187" t="s">
        <v>3436</v>
      </c>
      <c r="H508" s="187" t="s">
        <v>3306</v>
      </c>
      <c r="I508" s="187" t="s">
        <v>3435</v>
      </c>
      <c r="J508" s="187"/>
      <c r="K508" s="213" t="s">
        <v>2988</v>
      </c>
      <c r="O508" s="184"/>
      <c r="P508" s="184"/>
      <c r="Q508" s="184"/>
      <c r="R508" s="184"/>
      <c r="S508" s="184"/>
      <c r="T508" s="184"/>
      <c r="U508" s="184"/>
    </row>
    <row r="509" spans="1:21" ht="25">
      <c r="A509" s="119" t="s">
        <v>3301</v>
      </c>
      <c r="B509" s="187" t="s">
        <v>3437</v>
      </c>
      <c r="C509" s="187" t="s">
        <v>321</v>
      </c>
      <c r="D509" s="187" t="s">
        <v>686</v>
      </c>
      <c r="E509" s="119"/>
      <c r="F509" s="187" t="s">
        <v>1136</v>
      </c>
      <c r="G509" s="187" t="s">
        <v>3438</v>
      </c>
      <c r="H509" s="187" t="s">
        <v>3306</v>
      </c>
      <c r="I509" s="187" t="s">
        <v>3437</v>
      </c>
      <c r="J509" s="187"/>
      <c r="K509" s="213" t="s">
        <v>2988</v>
      </c>
      <c r="O509" s="184"/>
      <c r="P509" s="184"/>
      <c r="Q509" s="184"/>
      <c r="R509" s="184"/>
      <c r="S509" s="184"/>
      <c r="T509" s="184"/>
      <c r="U509" s="184"/>
    </row>
    <row r="510" spans="1:21" ht="25">
      <c r="A510" s="119" t="s">
        <v>3301</v>
      </c>
      <c r="B510" s="187" t="s">
        <v>3437</v>
      </c>
      <c r="C510" s="187" t="s">
        <v>321</v>
      </c>
      <c r="D510" s="187" t="s">
        <v>686</v>
      </c>
      <c r="E510" s="119"/>
      <c r="F510" s="187" t="s">
        <v>1136</v>
      </c>
      <c r="G510" s="187" t="s">
        <v>3439</v>
      </c>
      <c r="H510" s="187" t="s">
        <v>3306</v>
      </c>
      <c r="I510" s="187" t="s">
        <v>3437</v>
      </c>
      <c r="J510" s="187"/>
      <c r="K510" s="213" t="s">
        <v>2988</v>
      </c>
      <c r="O510" s="184"/>
      <c r="P510" s="184"/>
      <c r="Q510" s="184"/>
      <c r="R510" s="184"/>
      <c r="S510" s="184"/>
      <c r="T510" s="184"/>
      <c r="U510" s="184"/>
    </row>
    <row r="511" spans="1:21" ht="25">
      <c r="A511" s="119" t="s">
        <v>3393</v>
      </c>
      <c r="B511" s="187" t="s">
        <v>3437</v>
      </c>
      <c r="C511" s="187" t="s">
        <v>321</v>
      </c>
      <c r="D511" s="187" t="s">
        <v>686</v>
      </c>
      <c r="E511" s="119"/>
      <c r="F511" s="187" t="s">
        <v>1136</v>
      </c>
      <c r="G511" s="187" t="s">
        <v>3440</v>
      </c>
      <c r="H511" s="187" t="s">
        <v>3306</v>
      </c>
      <c r="I511" s="187" t="s">
        <v>3437</v>
      </c>
      <c r="J511" s="187"/>
      <c r="K511" s="213" t="s">
        <v>2988</v>
      </c>
      <c r="O511" s="184"/>
      <c r="P511" s="184"/>
      <c r="Q511" s="184"/>
      <c r="R511" s="184"/>
      <c r="S511" s="184"/>
      <c r="T511" s="184"/>
      <c r="U511" s="184"/>
    </row>
    <row r="512" spans="1:21" ht="25">
      <c r="A512" s="119"/>
      <c r="B512" s="187"/>
      <c r="C512" s="187"/>
      <c r="D512" s="187"/>
      <c r="E512" s="119" t="s">
        <v>3441</v>
      </c>
      <c r="F512" s="187" t="s">
        <v>1136</v>
      </c>
      <c r="G512" s="187" t="s">
        <v>3442</v>
      </c>
      <c r="H512" s="187" t="s">
        <v>3306</v>
      </c>
      <c r="I512" s="189" t="s">
        <v>3443</v>
      </c>
      <c r="J512" s="187"/>
      <c r="K512" s="213" t="s">
        <v>2988</v>
      </c>
      <c r="O512" s="184"/>
      <c r="P512" s="184"/>
      <c r="Q512" s="184"/>
      <c r="R512" s="184"/>
      <c r="S512" s="184"/>
      <c r="T512" s="184"/>
      <c r="U512" s="184"/>
    </row>
    <row r="513" spans="1:21">
      <c r="A513" s="119" t="s">
        <v>3301</v>
      </c>
      <c r="B513" s="187" t="s">
        <v>3444</v>
      </c>
      <c r="C513" s="187" t="s">
        <v>321</v>
      </c>
      <c r="D513" s="187" t="s">
        <v>686</v>
      </c>
      <c r="E513" s="119"/>
      <c r="F513" s="187" t="s">
        <v>1136</v>
      </c>
      <c r="G513" s="187" t="s">
        <v>3445</v>
      </c>
      <c r="H513" s="187" t="s">
        <v>3306</v>
      </c>
      <c r="I513" s="187" t="s">
        <v>3444</v>
      </c>
      <c r="J513" s="187"/>
      <c r="K513" s="213" t="s">
        <v>2988</v>
      </c>
      <c r="O513" s="184"/>
      <c r="P513" s="184"/>
      <c r="Q513" s="184"/>
      <c r="R513" s="184"/>
      <c r="S513" s="184"/>
      <c r="T513" s="184"/>
      <c r="U513" s="184"/>
    </row>
    <row r="514" spans="1:21">
      <c r="A514" s="119" t="s">
        <v>3301</v>
      </c>
      <c r="B514" s="187" t="s">
        <v>3446</v>
      </c>
      <c r="C514" s="187" t="s">
        <v>321</v>
      </c>
      <c r="D514" s="187" t="s">
        <v>686</v>
      </c>
      <c r="E514" s="119"/>
      <c r="F514" s="187" t="s">
        <v>1136</v>
      </c>
      <c r="G514" s="187" t="s">
        <v>3447</v>
      </c>
      <c r="H514" s="187" t="s">
        <v>3306</v>
      </c>
      <c r="I514" s="187" t="s">
        <v>3446</v>
      </c>
      <c r="J514" s="187"/>
      <c r="K514" s="213" t="s">
        <v>2988</v>
      </c>
      <c r="O514" s="184"/>
      <c r="P514" s="184"/>
      <c r="Q514" s="184"/>
      <c r="R514" s="184"/>
      <c r="S514" s="184"/>
      <c r="T514" s="184"/>
      <c r="U514" s="184"/>
    </row>
    <row r="515" spans="1:21">
      <c r="A515" s="119" t="s">
        <v>3301</v>
      </c>
      <c r="B515" s="187" t="s">
        <v>3448</v>
      </c>
      <c r="C515" s="187" t="s">
        <v>321</v>
      </c>
      <c r="D515" s="187" t="s">
        <v>686</v>
      </c>
      <c r="E515" s="119"/>
      <c r="F515" s="187" t="s">
        <v>1136</v>
      </c>
      <c r="G515" s="187" t="s">
        <v>3258</v>
      </c>
      <c r="H515" s="187" t="s">
        <v>3306</v>
      </c>
      <c r="I515" s="187" t="s">
        <v>3448</v>
      </c>
      <c r="J515" s="187"/>
      <c r="K515" s="213" t="s">
        <v>2988</v>
      </c>
      <c r="O515" s="184"/>
      <c r="P515" s="184"/>
      <c r="Q515" s="184"/>
      <c r="R515" s="184"/>
      <c r="S515" s="184"/>
      <c r="T515" s="184"/>
      <c r="U515" s="184"/>
    </row>
    <row r="516" spans="1:21">
      <c r="A516" s="119" t="s">
        <v>3301</v>
      </c>
      <c r="B516" s="187" t="s">
        <v>3449</v>
      </c>
      <c r="C516" s="187" t="s">
        <v>321</v>
      </c>
      <c r="D516" s="187" t="s">
        <v>686</v>
      </c>
      <c r="E516" s="119"/>
      <c r="F516" s="187" t="s">
        <v>1136</v>
      </c>
      <c r="G516" s="187" t="s">
        <v>3450</v>
      </c>
      <c r="H516" s="187" t="s">
        <v>3306</v>
      </c>
      <c r="I516" s="187" t="s">
        <v>3449</v>
      </c>
      <c r="J516" s="187"/>
      <c r="K516" s="213" t="s">
        <v>2988</v>
      </c>
      <c r="O516" s="184"/>
      <c r="P516" s="184"/>
      <c r="Q516" s="184"/>
      <c r="R516" s="184"/>
      <c r="S516" s="184"/>
      <c r="T516" s="184"/>
      <c r="U516" s="184"/>
    </row>
    <row r="517" spans="1:21">
      <c r="A517" s="119" t="s">
        <v>3301</v>
      </c>
      <c r="B517" s="187" t="s">
        <v>3451</v>
      </c>
      <c r="C517" s="187" t="s">
        <v>321</v>
      </c>
      <c r="D517" s="187" t="s">
        <v>686</v>
      </c>
      <c r="E517" s="119"/>
      <c r="F517" s="187" t="s">
        <v>1136</v>
      </c>
      <c r="G517" s="187" t="s">
        <v>3452</v>
      </c>
      <c r="H517" s="187" t="s">
        <v>3306</v>
      </c>
      <c r="I517" s="187" t="s">
        <v>3451</v>
      </c>
      <c r="J517" s="187"/>
      <c r="K517" s="213" t="s">
        <v>2988</v>
      </c>
      <c r="O517" s="184"/>
      <c r="P517" s="184"/>
      <c r="Q517" s="184"/>
      <c r="R517" s="184"/>
      <c r="S517" s="184"/>
      <c r="T517" s="184"/>
      <c r="U517" s="184"/>
    </row>
    <row r="518" spans="1:21">
      <c r="A518" s="119" t="s">
        <v>3301</v>
      </c>
      <c r="B518" s="187" t="s">
        <v>3453</v>
      </c>
      <c r="C518" s="187" t="s">
        <v>321</v>
      </c>
      <c r="D518" s="187" t="s">
        <v>686</v>
      </c>
      <c r="E518" s="119"/>
      <c r="F518" s="187" t="s">
        <v>1136</v>
      </c>
      <c r="G518" s="187" t="s">
        <v>3454</v>
      </c>
      <c r="H518" s="187" t="s">
        <v>3306</v>
      </c>
      <c r="I518" s="187" t="s">
        <v>3453</v>
      </c>
      <c r="J518" s="187"/>
      <c r="K518" s="213" t="s">
        <v>2988</v>
      </c>
      <c r="O518" s="184"/>
      <c r="P518" s="184"/>
      <c r="Q518" s="184"/>
      <c r="R518" s="184"/>
      <c r="S518" s="184"/>
      <c r="T518" s="184"/>
      <c r="U518" s="184"/>
    </row>
    <row r="519" spans="1:21">
      <c r="A519" s="119" t="s">
        <v>3301</v>
      </c>
      <c r="B519" s="187" t="s">
        <v>3455</v>
      </c>
      <c r="C519" s="187" t="s">
        <v>321</v>
      </c>
      <c r="D519" s="187" t="s">
        <v>686</v>
      </c>
      <c r="E519" s="119"/>
      <c r="F519" s="187" t="s">
        <v>1136</v>
      </c>
      <c r="G519" s="187" t="s">
        <v>3456</v>
      </c>
      <c r="H519" s="187" t="s">
        <v>3306</v>
      </c>
      <c r="I519" s="187" t="s">
        <v>3455</v>
      </c>
      <c r="J519" s="187"/>
      <c r="K519" s="213" t="s">
        <v>2988</v>
      </c>
      <c r="O519" s="184"/>
      <c r="P519" s="184"/>
      <c r="Q519" s="184"/>
      <c r="R519" s="184"/>
      <c r="S519" s="184"/>
      <c r="T519" s="184"/>
      <c r="U519" s="184"/>
    </row>
    <row r="520" spans="1:21">
      <c r="A520" s="119" t="s">
        <v>3301</v>
      </c>
      <c r="B520" s="187" t="s">
        <v>3457</v>
      </c>
      <c r="C520" s="187" t="s">
        <v>321</v>
      </c>
      <c r="D520" s="187" t="s">
        <v>686</v>
      </c>
      <c r="E520" s="119"/>
      <c r="F520" s="187" t="s">
        <v>1136</v>
      </c>
      <c r="G520" s="187" t="s">
        <v>3458</v>
      </c>
      <c r="H520" s="187" t="s">
        <v>3306</v>
      </c>
      <c r="I520" s="187" t="s">
        <v>3457</v>
      </c>
      <c r="J520" s="187"/>
      <c r="K520" s="213" t="s">
        <v>2988</v>
      </c>
      <c r="O520" s="184"/>
      <c r="P520" s="184"/>
      <c r="Q520" s="184"/>
      <c r="R520" s="184"/>
      <c r="S520" s="184"/>
      <c r="T520" s="184"/>
      <c r="U520" s="184"/>
    </row>
    <row r="521" spans="1:21">
      <c r="A521" s="119" t="s">
        <v>3301</v>
      </c>
      <c r="B521" s="187" t="s">
        <v>3459</v>
      </c>
      <c r="C521" s="187" t="s">
        <v>321</v>
      </c>
      <c r="D521" s="187" t="s">
        <v>686</v>
      </c>
      <c r="E521" s="119"/>
      <c r="F521" s="187" t="s">
        <v>1136</v>
      </c>
      <c r="G521" s="187" t="s">
        <v>3460</v>
      </c>
      <c r="H521" s="187" t="s">
        <v>3306</v>
      </c>
      <c r="I521" s="187" t="s">
        <v>3459</v>
      </c>
      <c r="J521" s="187"/>
      <c r="K521" s="213" t="s">
        <v>2988</v>
      </c>
      <c r="O521" s="184"/>
      <c r="P521" s="184"/>
      <c r="Q521" s="184"/>
      <c r="R521" s="184"/>
      <c r="S521" s="184"/>
      <c r="T521" s="184"/>
      <c r="U521" s="184"/>
    </row>
    <row r="522" spans="1:21" ht="37.5">
      <c r="A522" s="119" t="s">
        <v>3301</v>
      </c>
      <c r="B522" s="187" t="s">
        <v>3461</v>
      </c>
      <c r="C522" s="187" t="s">
        <v>321</v>
      </c>
      <c r="D522" s="187" t="s">
        <v>263</v>
      </c>
      <c r="E522" s="119" t="s">
        <v>3462</v>
      </c>
      <c r="F522" s="187" t="s">
        <v>1136</v>
      </c>
      <c r="G522" s="187" t="s">
        <v>3463</v>
      </c>
      <c r="H522" s="187" t="s">
        <v>3306</v>
      </c>
      <c r="I522" s="187" t="s">
        <v>3275</v>
      </c>
      <c r="J522" s="187"/>
      <c r="K522" s="213" t="s">
        <v>3031</v>
      </c>
      <c r="O522" s="184"/>
      <c r="P522" s="184"/>
      <c r="Q522" s="184"/>
      <c r="R522" s="184"/>
      <c r="S522" s="184"/>
      <c r="T522" s="184"/>
      <c r="U522" s="184"/>
    </row>
    <row r="523" spans="1:21" ht="37.5">
      <c r="A523" s="119" t="s">
        <v>3301</v>
      </c>
      <c r="B523" s="187" t="s">
        <v>3461</v>
      </c>
      <c r="C523" s="187" t="s">
        <v>321</v>
      </c>
      <c r="D523" s="187" t="s">
        <v>686</v>
      </c>
      <c r="E523" s="119" t="s">
        <v>3462</v>
      </c>
      <c r="F523" s="187" t="s">
        <v>1136</v>
      </c>
      <c r="G523" s="187" t="s">
        <v>3464</v>
      </c>
      <c r="H523" s="187" t="s">
        <v>3306</v>
      </c>
      <c r="I523" s="187" t="s">
        <v>3275</v>
      </c>
      <c r="J523" s="187"/>
      <c r="K523" s="213" t="s">
        <v>3031</v>
      </c>
      <c r="O523" s="184"/>
      <c r="P523" s="184"/>
      <c r="Q523" s="184"/>
      <c r="R523" s="184"/>
      <c r="S523" s="184"/>
      <c r="T523" s="184"/>
      <c r="U523" s="184"/>
    </row>
    <row r="524" spans="1:21" ht="37.5">
      <c r="A524" s="119" t="s">
        <v>3393</v>
      </c>
      <c r="B524" s="187" t="s">
        <v>3461</v>
      </c>
      <c r="C524" s="187" t="s">
        <v>321</v>
      </c>
      <c r="D524" s="187" t="s">
        <v>686</v>
      </c>
      <c r="E524" s="119" t="s">
        <v>3465</v>
      </c>
      <c r="F524" s="187" t="s">
        <v>1136</v>
      </c>
      <c r="G524" s="187" t="s">
        <v>3466</v>
      </c>
      <c r="H524" s="187" t="s">
        <v>3306</v>
      </c>
      <c r="I524" s="187" t="s">
        <v>3275</v>
      </c>
      <c r="J524" s="187"/>
      <c r="K524" s="213" t="s">
        <v>3031</v>
      </c>
      <c r="O524" s="184"/>
      <c r="P524" s="184"/>
      <c r="Q524" s="184"/>
      <c r="R524" s="184"/>
      <c r="S524" s="184"/>
      <c r="T524" s="184"/>
      <c r="U524" s="184"/>
    </row>
    <row r="525" spans="1:21">
      <c r="A525" s="119"/>
      <c r="B525" s="187"/>
      <c r="C525" s="187"/>
      <c r="D525" s="187"/>
      <c r="E525" s="119" t="s">
        <v>3467</v>
      </c>
      <c r="F525" s="187" t="s">
        <v>1136</v>
      </c>
      <c r="G525" s="187" t="s">
        <v>3468</v>
      </c>
      <c r="H525" s="187" t="s">
        <v>3306</v>
      </c>
      <c r="I525" s="187" t="s">
        <v>3275</v>
      </c>
      <c r="J525" s="187"/>
      <c r="K525" s="213" t="s">
        <v>3031</v>
      </c>
      <c r="O525" s="184"/>
      <c r="P525" s="184"/>
      <c r="Q525" s="184"/>
      <c r="R525" s="184"/>
      <c r="S525" s="184"/>
      <c r="T525" s="184"/>
      <c r="U525" s="184"/>
    </row>
    <row r="526" spans="1:21">
      <c r="A526" s="119" t="s">
        <v>3301</v>
      </c>
      <c r="B526" s="187" t="s">
        <v>3469</v>
      </c>
      <c r="C526" s="187" t="s">
        <v>321</v>
      </c>
      <c r="D526" s="187" t="s">
        <v>686</v>
      </c>
      <c r="E526" s="119"/>
      <c r="F526" s="187" t="s">
        <v>1136</v>
      </c>
      <c r="G526" s="187" t="s">
        <v>3470</v>
      </c>
      <c r="H526" s="187" t="s">
        <v>3306</v>
      </c>
      <c r="I526" s="187" t="s">
        <v>3469</v>
      </c>
      <c r="J526" s="187"/>
      <c r="K526" s="213" t="s">
        <v>2988</v>
      </c>
      <c r="O526" s="184"/>
      <c r="P526" s="184"/>
      <c r="Q526" s="184"/>
      <c r="R526" s="184"/>
      <c r="S526" s="184"/>
      <c r="T526" s="184"/>
      <c r="U526" s="184"/>
    </row>
    <row r="527" spans="1:21">
      <c r="A527" s="119" t="s">
        <v>3301</v>
      </c>
      <c r="B527" s="187" t="s">
        <v>3471</v>
      </c>
      <c r="C527" s="187" t="s">
        <v>321</v>
      </c>
      <c r="D527" s="187" t="s">
        <v>686</v>
      </c>
      <c r="E527" s="119"/>
      <c r="F527" s="187" t="s">
        <v>1136</v>
      </c>
      <c r="G527" s="187" t="s">
        <v>3472</v>
      </c>
      <c r="H527" s="187" t="s">
        <v>3306</v>
      </c>
      <c r="I527" s="187" t="s">
        <v>3288</v>
      </c>
      <c r="J527" s="187"/>
      <c r="K527" s="213" t="s">
        <v>2988</v>
      </c>
      <c r="O527" s="184"/>
      <c r="P527" s="184"/>
      <c r="Q527" s="184"/>
      <c r="R527" s="184"/>
      <c r="S527" s="184"/>
      <c r="T527" s="184"/>
      <c r="U527" s="184"/>
    </row>
    <row r="528" spans="1:21">
      <c r="A528" s="119" t="s">
        <v>3301</v>
      </c>
      <c r="B528" s="187" t="s">
        <v>3473</v>
      </c>
      <c r="C528" s="187" t="s">
        <v>321</v>
      </c>
      <c r="D528" s="187" t="s">
        <v>686</v>
      </c>
      <c r="E528" s="119"/>
      <c r="F528" s="187" t="s">
        <v>1136</v>
      </c>
      <c r="G528" s="187" t="s">
        <v>3474</v>
      </c>
      <c r="H528" s="187" t="s">
        <v>3306</v>
      </c>
      <c r="I528" s="187" t="s">
        <v>3291</v>
      </c>
      <c r="J528" s="187"/>
      <c r="K528" s="213" t="s">
        <v>2988</v>
      </c>
      <c r="O528" s="184"/>
      <c r="P528" s="184"/>
      <c r="Q528" s="184"/>
      <c r="R528" s="184"/>
      <c r="S528" s="184"/>
      <c r="T528" s="184"/>
      <c r="U528" s="184"/>
    </row>
    <row r="529" spans="1:11" ht="16.399999999999999" customHeight="1">
      <c r="A529" s="119" t="s">
        <v>3301</v>
      </c>
      <c r="B529" s="187" t="s">
        <v>3475</v>
      </c>
      <c r="C529" s="187" t="s">
        <v>321</v>
      </c>
      <c r="D529" s="187" t="s">
        <v>686</v>
      </c>
      <c r="E529" s="119"/>
      <c r="F529" s="187" t="s">
        <v>1136</v>
      </c>
      <c r="G529" s="187" t="s">
        <v>3294</v>
      </c>
      <c r="H529" s="187" t="s">
        <v>3306</v>
      </c>
      <c r="I529" s="187" t="s">
        <v>3475</v>
      </c>
      <c r="J529" s="187"/>
      <c r="K529" s="213" t="s">
        <v>3112</v>
      </c>
    </row>
    <row r="530" spans="1:11" ht="16.399999999999999" customHeight="1">
      <c r="A530" s="119" t="s">
        <v>3301</v>
      </c>
      <c r="B530" s="187" t="s">
        <v>3049</v>
      </c>
      <c r="C530" s="187" t="s">
        <v>267</v>
      </c>
      <c r="D530" s="187" t="s">
        <v>93</v>
      </c>
      <c r="E530" s="119"/>
      <c r="F530" s="187" t="s">
        <v>1136</v>
      </c>
      <c r="G530" s="187" t="s">
        <v>3004</v>
      </c>
      <c r="H530" s="187" t="s">
        <v>267</v>
      </c>
      <c r="I530" s="187" t="s">
        <v>3049</v>
      </c>
      <c r="J530" s="187"/>
      <c r="K530" s="213" t="s">
        <v>3296</v>
      </c>
    </row>
    <row r="531" spans="1:11" ht="16.399999999999999" customHeight="1">
      <c r="A531" s="119" t="s">
        <v>3301</v>
      </c>
      <c r="B531" s="187" t="s">
        <v>3052</v>
      </c>
      <c r="C531" s="187" t="s">
        <v>267</v>
      </c>
      <c r="D531" s="187" t="s">
        <v>93</v>
      </c>
      <c r="E531" s="119"/>
      <c r="F531" s="187" t="s">
        <v>1136</v>
      </c>
      <c r="G531" s="187" t="s">
        <v>3476</v>
      </c>
      <c r="H531" s="187" t="s">
        <v>267</v>
      </c>
      <c r="I531" s="187" t="s">
        <v>3052</v>
      </c>
      <c r="J531" s="187"/>
      <c r="K531" s="213" t="s">
        <v>3296</v>
      </c>
    </row>
    <row r="532" spans="1:11" ht="16.399999999999999" customHeight="1">
      <c r="A532" s="119" t="s">
        <v>3301</v>
      </c>
      <c r="B532" s="187" t="s">
        <v>3054</v>
      </c>
      <c r="C532" s="187" t="s">
        <v>321</v>
      </c>
      <c r="D532" s="187" t="s">
        <v>93</v>
      </c>
      <c r="E532" s="119"/>
      <c r="F532" s="187" t="s">
        <v>1136</v>
      </c>
      <c r="G532" s="187" t="s">
        <v>3477</v>
      </c>
      <c r="H532" s="187" t="s">
        <v>3306</v>
      </c>
      <c r="I532" s="187" t="s">
        <v>3054</v>
      </c>
      <c r="J532" s="187"/>
      <c r="K532" s="213" t="s">
        <v>3296</v>
      </c>
    </row>
    <row r="533" spans="1:11" ht="16.399999999999999" customHeight="1">
      <c r="A533" s="119" t="s">
        <v>3301</v>
      </c>
      <c r="B533" s="187" t="s">
        <v>3065</v>
      </c>
      <c r="C533" s="187" t="s">
        <v>321</v>
      </c>
      <c r="D533" s="187" t="s">
        <v>93</v>
      </c>
      <c r="E533" s="119"/>
      <c r="F533" s="187" t="s">
        <v>1136</v>
      </c>
      <c r="G533" s="187" t="s">
        <v>3478</v>
      </c>
      <c r="H533" s="187" t="s">
        <v>3306</v>
      </c>
      <c r="I533" s="187" t="s">
        <v>3065</v>
      </c>
      <c r="J533" s="187"/>
      <c r="K533" s="213" t="s">
        <v>3296</v>
      </c>
    </row>
    <row r="534" spans="1:11" ht="16.399999999999999" customHeight="1">
      <c r="A534" s="119" t="s">
        <v>3301</v>
      </c>
      <c r="B534" s="187" t="s">
        <v>3068</v>
      </c>
      <c r="C534" s="187" t="s">
        <v>321</v>
      </c>
      <c r="D534" s="187" t="s">
        <v>93</v>
      </c>
      <c r="E534" s="119"/>
      <c r="F534" s="187" t="s">
        <v>1136</v>
      </c>
      <c r="G534" s="187" t="s">
        <v>3479</v>
      </c>
      <c r="H534" s="187" t="s">
        <v>3306</v>
      </c>
      <c r="I534" s="187" t="s">
        <v>3068</v>
      </c>
      <c r="J534" s="187"/>
      <c r="K534" s="213" t="s">
        <v>3296</v>
      </c>
    </row>
    <row r="535" spans="1:11" ht="16.399999999999999" customHeight="1">
      <c r="A535" s="119" t="s">
        <v>3301</v>
      </c>
      <c r="B535" s="187" t="s">
        <v>3072</v>
      </c>
      <c r="C535" s="187" t="s">
        <v>321</v>
      </c>
      <c r="D535" s="187" t="s">
        <v>93</v>
      </c>
      <c r="E535" s="119"/>
      <c r="F535" s="187" t="s">
        <v>1136</v>
      </c>
      <c r="G535" s="187" t="s">
        <v>3480</v>
      </c>
      <c r="H535" s="187" t="s">
        <v>3306</v>
      </c>
      <c r="I535" s="187" t="s">
        <v>3072</v>
      </c>
      <c r="J535" s="187"/>
      <c r="K535" s="213" t="s">
        <v>3296</v>
      </c>
    </row>
    <row r="536" spans="1:11" ht="16.399999999999999" customHeight="1">
      <c r="A536" s="119" t="s">
        <v>3301</v>
      </c>
      <c r="B536" s="187" t="s">
        <v>3298</v>
      </c>
      <c r="C536" s="187" t="s">
        <v>321</v>
      </c>
      <c r="D536" s="187" t="s">
        <v>93</v>
      </c>
      <c r="E536" s="119"/>
      <c r="F536" s="187" t="s">
        <v>1136</v>
      </c>
      <c r="G536" s="187" t="s">
        <v>3481</v>
      </c>
      <c r="H536" s="187" t="s">
        <v>3306</v>
      </c>
      <c r="I536" s="187" t="s">
        <v>3298</v>
      </c>
      <c r="J536" s="187"/>
      <c r="K536" s="213" t="s">
        <v>3296</v>
      </c>
    </row>
    <row r="537" spans="1:11" ht="16.399999999999999" customHeight="1">
      <c r="A537" s="119" t="s">
        <v>3301</v>
      </c>
      <c r="B537" s="187" t="s">
        <v>2043</v>
      </c>
      <c r="C537" s="187" t="s">
        <v>321</v>
      </c>
      <c r="D537" s="187" t="s">
        <v>93</v>
      </c>
      <c r="E537" s="119"/>
      <c r="F537" s="187" t="s">
        <v>1136</v>
      </c>
      <c r="G537" s="187" t="s">
        <v>3482</v>
      </c>
      <c r="H537" s="187" t="s">
        <v>3306</v>
      </c>
      <c r="I537" s="187" t="s">
        <v>2043</v>
      </c>
      <c r="J537" s="187"/>
      <c r="K537" s="213" t="s">
        <v>3296</v>
      </c>
    </row>
    <row r="538" spans="1:11" ht="16.399999999999999" customHeight="1">
      <c r="A538" s="119" t="s">
        <v>3301</v>
      </c>
      <c r="B538" s="187" t="s">
        <v>3299</v>
      </c>
      <c r="C538" s="187" t="s">
        <v>321</v>
      </c>
      <c r="D538" s="187" t="s">
        <v>93</v>
      </c>
      <c r="E538" s="119"/>
      <c r="F538" s="187" t="s">
        <v>1136</v>
      </c>
      <c r="G538" s="187" t="s">
        <v>3483</v>
      </c>
      <c r="H538" s="187" t="s">
        <v>3306</v>
      </c>
      <c r="I538" s="187" t="s">
        <v>3299</v>
      </c>
      <c r="J538" s="187"/>
      <c r="K538" s="213" t="s">
        <v>3296</v>
      </c>
    </row>
    <row r="539" spans="1:11">
      <c r="A539" s="119" t="s">
        <v>3301</v>
      </c>
      <c r="B539" s="187" t="s">
        <v>3095</v>
      </c>
      <c r="C539" s="187" t="s">
        <v>321</v>
      </c>
      <c r="D539" s="187" t="s">
        <v>93</v>
      </c>
      <c r="E539" s="119"/>
      <c r="F539" s="187" t="s">
        <v>1136</v>
      </c>
      <c r="G539" s="187" t="s">
        <v>3484</v>
      </c>
      <c r="H539" s="187" t="s">
        <v>3306</v>
      </c>
      <c r="I539" s="187" t="s">
        <v>3095</v>
      </c>
      <c r="J539" s="187"/>
      <c r="K539" s="213" t="s">
        <v>3296</v>
      </c>
    </row>
    <row r="540" spans="1:11" ht="25">
      <c r="A540" s="123" t="s">
        <v>3485</v>
      </c>
      <c r="B540" s="187"/>
      <c r="C540" s="187" t="s">
        <v>321</v>
      </c>
      <c r="D540" s="187" t="s">
        <v>263</v>
      </c>
      <c r="E540" s="119" t="s">
        <v>3486</v>
      </c>
      <c r="F540" s="187" t="s">
        <v>1136</v>
      </c>
      <c r="G540" s="187" t="s">
        <v>3487</v>
      </c>
      <c r="H540" s="187" t="s">
        <v>3306</v>
      </c>
      <c r="I540" s="187" t="s">
        <v>3437</v>
      </c>
      <c r="J540" s="187"/>
      <c r="K540" s="213" t="s">
        <v>2988</v>
      </c>
    </row>
    <row r="541" spans="1:11" ht="25">
      <c r="A541" s="123" t="s">
        <v>3488</v>
      </c>
      <c r="B541" s="187"/>
      <c r="C541" s="187" t="s">
        <v>321</v>
      </c>
      <c r="D541" s="187" t="s">
        <v>263</v>
      </c>
      <c r="E541" s="119" t="s">
        <v>3486</v>
      </c>
      <c r="F541" s="187" t="s">
        <v>1136</v>
      </c>
      <c r="G541" s="187" t="s">
        <v>3489</v>
      </c>
      <c r="H541" s="187" t="s">
        <v>3306</v>
      </c>
      <c r="I541" s="187" t="s">
        <v>3437</v>
      </c>
      <c r="J541" s="187"/>
      <c r="K541" s="213" t="s">
        <v>2988</v>
      </c>
    </row>
    <row r="542" spans="1:11" ht="25">
      <c r="A542" s="123"/>
      <c r="B542" s="187"/>
      <c r="C542" s="187"/>
      <c r="D542" s="187" t="s">
        <v>263</v>
      </c>
      <c r="E542" s="119" t="s">
        <v>3490</v>
      </c>
      <c r="F542" s="187" t="s">
        <v>1136</v>
      </c>
      <c r="G542" s="187" t="s">
        <v>3491</v>
      </c>
      <c r="H542" s="187" t="s">
        <v>3306</v>
      </c>
      <c r="I542" s="187" t="s">
        <v>3437</v>
      </c>
      <c r="J542" s="187"/>
      <c r="K542" s="213" t="s">
        <v>2988</v>
      </c>
    </row>
    <row r="543" spans="1:11" ht="37.5">
      <c r="A543" s="123" t="s">
        <v>3485</v>
      </c>
      <c r="B543" s="187"/>
      <c r="C543" s="187" t="s">
        <v>321</v>
      </c>
      <c r="D543" s="187" t="s">
        <v>3492</v>
      </c>
      <c r="E543" s="119" t="s">
        <v>3493</v>
      </c>
      <c r="F543" s="187" t="s">
        <v>1136</v>
      </c>
      <c r="G543" s="187" t="s">
        <v>3494</v>
      </c>
      <c r="H543" s="187" t="s">
        <v>3306</v>
      </c>
      <c r="I543" s="187" t="s">
        <v>3437</v>
      </c>
      <c r="J543" s="187"/>
      <c r="K543" s="213" t="s">
        <v>2988</v>
      </c>
    </row>
    <row r="544" spans="1:11" ht="37.5">
      <c r="A544" s="123" t="s">
        <v>3488</v>
      </c>
      <c r="B544" s="187"/>
      <c r="C544" s="187" t="s">
        <v>321</v>
      </c>
      <c r="D544" s="187" t="s">
        <v>263</v>
      </c>
      <c r="E544" s="119" t="s">
        <v>3493</v>
      </c>
      <c r="F544" s="187" t="s">
        <v>1136</v>
      </c>
      <c r="G544" s="187" t="s">
        <v>3495</v>
      </c>
      <c r="H544" s="187" t="s">
        <v>3306</v>
      </c>
      <c r="I544" s="187" t="s">
        <v>3437</v>
      </c>
      <c r="J544" s="187"/>
      <c r="K544" s="213" t="s">
        <v>2988</v>
      </c>
    </row>
    <row r="545" spans="1:14" ht="25">
      <c r="A545" s="123"/>
      <c r="B545" s="187"/>
      <c r="C545" s="187"/>
      <c r="D545" s="187" t="s">
        <v>263</v>
      </c>
      <c r="E545" s="119" t="s">
        <v>3496</v>
      </c>
      <c r="F545" s="187" t="s">
        <v>1136</v>
      </c>
      <c r="G545" s="187" t="s">
        <v>3497</v>
      </c>
      <c r="H545" s="187" t="s">
        <v>3306</v>
      </c>
      <c r="I545" s="187" t="s">
        <v>3437</v>
      </c>
      <c r="J545" s="187"/>
      <c r="K545" s="213" t="s">
        <v>2988</v>
      </c>
    </row>
    <row r="546" spans="1:14" ht="143.5">
      <c r="A546" s="123"/>
      <c r="B546" s="141" t="s">
        <v>3498</v>
      </c>
      <c r="C546" s="142" t="s">
        <v>321</v>
      </c>
      <c r="D546" s="141" t="s">
        <v>263</v>
      </c>
      <c r="E546" s="220" t="s">
        <v>3499</v>
      </c>
      <c r="F546" s="187" t="s">
        <v>1136</v>
      </c>
      <c r="G546" s="219" t="s">
        <v>3500</v>
      </c>
      <c r="H546" s="187" t="s">
        <v>3306</v>
      </c>
      <c r="I546" s="141" t="s">
        <v>3501</v>
      </c>
      <c r="J546" s="142"/>
      <c r="K546" s="213" t="s">
        <v>2988</v>
      </c>
    </row>
    <row r="547" spans="1:14" ht="143.5">
      <c r="A547" s="123" t="s">
        <v>3488</v>
      </c>
      <c r="B547" s="141"/>
      <c r="C547" s="142" t="s">
        <v>321</v>
      </c>
      <c r="D547" s="141" t="s">
        <v>263</v>
      </c>
      <c r="E547" s="221" t="s">
        <v>3502</v>
      </c>
      <c r="F547" s="187" t="s">
        <v>1136</v>
      </c>
      <c r="G547" s="187" t="s">
        <v>3503</v>
      </c>
      <c r="H547" s="187" t="s">
        <v>3306</v>
      </c>
      <c r="I547" s="141" t="s">
        <v>3504</v>
      </c>
      <c r="J547" s="142"/>
      <c r="K547" s="213" t="s">
        <v>2988</v>
      </c>
    </row>
    <row r="548" spans="1:14" ht="37.5">
      <c r="A548" s="123"/>
      <c r="B548" s="141"/>
      <c r="C548" s="142"/>
      <c r="D548" s="141" t="s">
        <v>263</v>
      </c>
      <c r="E548" s="123" t="s">
        <v>3505</v>
      </c>
      <c r="F548" s="187" t="s">
        <v>1136</v>
      </c>
      <c r="G548" s="187" t="s">
        <v>3506</v>
      </c>
      <c r="H548" s="187" t="s">
        <v>3306</v>
      </c>
      <c r="I548" s="141" t="s">
        <v>3507</v>
      </c>
      <c r="J548" s="142"/>
      <c r="K548" s="213" t="s">
        <v>2988</v>
      </c>
    </row>
    <row r="549" spans="1:14">
      <c r="A549" s="123" t="s">
        <v>3485</v>
      </c>
      <c r="B549" s="141"/>
      <c r="C549" s="142" t="s">
        <v>321</v>
      </c>
      <c r="D549" s="141" t="s">
        <v>263</v>
      </c>
      <c r="E549" s="123" t="s">
        <v>3508</v>
      </c>
      <c r="F549" s="187" t="s">
        <v>1136</v>
      </c>
      <c r="G549" s="187" t="s">
        <v>3509</v>
      </c>
      <c r="H549" s="187" t="s">
        <v>3306</v>
      </c>
      <c r="I549" s="141" t="s">
        <v>3510</v>
      </c>
      <c r="J549" s="142"/>
      <c r="K549" s="213" t="s">
        <v>2988</v>
      </c>
    </row>
    <row r="550" spans="1:14">
      <c r="A550" s="123" t="s">
        <v>3488</v>
      </c>
      <c r="B550" s="141"/>
      <c r="C550" s="142" t="s">
        <v>321</v>
      </c>
      <c r="D550" s="141" t="s">
        <v>263</v>
      </c>
      <c r="E550" s="123" t="s">
        <v>3508</v>
      </c>
      <c r="F550" s="187" t="s">
        <v>1136</v>
      </c>
      <c r="G550" s="187" t="s">
        <v>3511</v>
      </c>
      <c r="H550" s="187" t="s">
        <v>3306</v>
      </c>
      <c r="I550" s="141" t="s">
        <v>3512</v>
      </c>
      <c r="J550" s="142"/>
      <c r="K550" s="213" t="s">
        <v>2988</v>
      </c>
    </row>
    <row r="551" spans="1:14" ht="25">
      <c r="A551" s="123"/>
      <c r="B551" s="141"/>
      <c r="C551" s="142"/>
      <c r="D551" s="141" t="s">
        <v>263</v>
      </c>
      <c r="E551" s="123" t="s">
        <v>3513</v>
      </c>
      <c r="F551" s="187" t="s">
        <v>1136</v>
      </c>
      <c r="G551" s="187" t="s">
        <v>3514</v>
      </c>
      <c r="H551" s="187" t="s">
        <v>3306</v>
      </c>
      <c r="I551" s="141" t="s">
        <v>3515</v>
      </c>
      <c r="J551" s="142"/>
      <c r="K551" s="213" t="s">
        <v>2988</v>
      </c>
    </row>
    <row r="552" spans="1:14">
      <c r="A552" s="123" t="s">
        <v>3485</v>
      </c>
      <c r="B552" s="141"/>
      <c r="C552" s="142" t="s">
        <v>321</v>
      </c>
      <c r="D552" s="141" t="s">
        <v>263</v>
      </c>
      <c r="E552" s="123" t="s">
        <v>3516</v>
      </c>
      <c r="F552" s="187" t="s">
        <v>1136</v>
      </c>
      <c r="G552" s="187" t="s">
        <v>3517</v>
      </c>
      <c r="H552" s="187" t="s">
        <v>3306</v>
      </c>
      <c r="I552" s="141" t="s">
        <v>3518</v>
      </c>
      <c r="J552" s="142"/>
      <c r="K552" s="213" t="s">
        <v>2988</v>
      </c>
    </row>
    <row r="553" spans="1:14">
      <c r="A553" s="123" t="s">
        <v>3488</v>
      </c>
      <c r="B553" s="141"/>
      <c r="C553" s="142" t="s">
        <v>321</v>
      </c>
      <c r="D553" s="141" t="s">
        <v>263</v>
      </c>
      <c r="E553" s="123" t="s">
        <v>3516</v>
      </c>
      <c r="F553" s="187" t="s">
        <v>1136</v>
      </c>
      <c r="G553" s="187" t="s">
        <v>3519</v>
      </c>
      <c r="H553" s="187" t="s">
        <v>3306</v>
      </c>
      <c r="I553" s="141" t="s">
        <v>3520</v>
      </c>
      <c r="J553" s="142"/>
      <c r="K553" s="213" t="s">
        <v>2988</v>
      </c>
    </row>
    <row r="554" spans="1:14" ht="37.5">
      <c r="A554" s="123"/>
      <c r="B554" s="141"/>
      <c r="C554" s="142"/>
      <c r="D554" s="141" t="s">
        <v>263</v>
      </c>
      <c r="E554" s="123" t="s">
        <v>3521</v>
      </c>
      <c r="F554" s="187" t="s">
        <v>1136</v>
      </c>
      <c r="G554" s="187" t="s">
        <v>3522</v>
      </c>
      <c r="H554" s="187" t="s">
        <v>3306</v>
      </c>
      <c r="I554" s="141" t="s">
        <v>3523</v>
      </c>
      <c r="J554" s="142"/>
      <c r="K554" s="213" t="s">
        <v>2988</v>
      </c>
    </row>
    <row r="555" spans="1:14">
      <c r="A555" s="275"/>
      <c r="B555" s="141"/>
      <c r="C555" s="142"/>
      <c r="D555" s="141" t="s">
        <v>263</v>
      </c>
      <c r="E555" s="123" t="s">
        <v>3524</v>
      </c>
      <c r="F555" s="187" t="s">
        <v>1136</v>
      </c>
      <c r="G555" s="187" t="s">
        <v>3525</v>
      </c>
      <c r="H555" s="187" t="s">
        <v>3306</v>
      </c>
      <c r="I555" s="187" t="s">
        <v>3526</v>
      </c>
      <c r="J555" s="142"/>
      <c r="K555" s="187" t="s">
        <v>2988</v>
      </c>
      <c r="L555" s="273"/>
      <c r="M555"/>
      <c r="N555"/>
    </row>
    <row r="556" spans="1:14" s="116" customFormat="1" ht="75">
      <c r="A556" s="119" t="s">
        <v>3527</v>
      </c>
      <c r="B556" s="276"/>
      <c r="C556" s="187" t="s">
        <v>274</v>
      </c>
      <c r="D556" s="142" t="s">
        <v>263</v>
      </c>
      <c r="E556" s="119" t="s">
        <v>3528</v>
      </c>
      <c r="F556" s="141" t="s">
        <v>1136</v>
      </c>
      <c r="G556" s="187" t="s">
        <v>3529</v>
      </c>
      <c r="H556" s="187" t="s">
        <v>274</v>
      </c>
      <c r="I556" s="187" t="s">
        <v>357</v>
      </c>
      <c r="J556" s="277"/>
      <c r="K556" s="142" t="s">
        <v>266</v>
      </c>
      <c r="L556" s="273"/>
      <c r="M556"/>
      <c r="N556"/>
    </row>
    <row r="557" spans="1:14" s="116" customFormat="1" ht="75">
      <c r="A557" s="119" t="s">
        <v>3527</v>
      </c>
      <c r="B557" s="187" t="s">
        <v>161</v>
      </c>
      <c r="C557" s="187" t="s">
        <v>274</v>
      </c>
      <c r="D557" s="142" t="s">
        <v>93</v>
      </c>
      <c r="E557" s="278"/>
      <c r="F557" s="141" t="s">
        <v>1136</v>
      </c>
      <c r="G557" s="187" t="s">
        <v>3530</v>
      </c>
      <c r="H557" s="187" t="s">
        <v>274</v>
      </c>
      <c r="I557" s="187" t="s">
        <v>161</v>
      </c>
      <c r="J557" s="142"/>
      <c r="K557" s="142" t="s">
        <v>266</v>
      </c>
      <c r="L557" s="273"/>
      <c r="M557"/>
      <c r="N557"/>
    </row>
    <row r="558" spans="1:14" s="116" customFormat="1" ht="75">
      <c r="A558" s="119" t="s">
        <v>3527</v>
      </c>
      <c r="B558" s="187" t="s">
        <v>163</v>
      </c>
      <c r="C558" s="187" t="s">
        <v>274</v>
      </c>
      <c r="D558" s="142" t="s">
        <v>93</v>
      </c>
      <c r="E558" s="278"/>
      <c r="F558" s="141" t="s">
        <v>1136</v>
      </c>
      <c r="G558" s="187" t="s">
        <v>3531</v>
      </c>
      <c r="H558" s="187" t="s">
        <v>274</v>
      </c>
      <c r="I558" s="187" t="s">
        <v>163</v>
      </c>
      <c r="J558" s="142"/>
      <c r="K558" s="142" t="s">
        <v>266</v>
      </c>
      <c r="L558" s="273"/>
      <c r="M558"/>
      <c r="N558"/>
    </row>
    <row r="559" spans="1:14" s="116" customFormat="1" ht="75">
      <c r="A559" s="119" t="s">
        <v>3527</v>
      </c>
      <c r="B559" s="276"/>
      <c r="C559" s="187" t="s">
        <v>274</v>
      </c>
      <c r="D559" s="142" t="s">
        <v>263</v>
      </c>
      <c r="E559" s="119" t="s">
        <v>3532</v>
      </c>
      <c r="F559" s="141" t="s">
        <v>1136</v>
      </c>
      <c r="G559" s="187" t="s">
        <v>3533</v>
      </c>
      <c r="H559" s="187" t="s">
        <v>274</v>
      </c>
      <c r="I559" s="187" t="s">
        <v>3534</v>
      </c>
      <c r="J559" s="142"/>
      <c r="K559" s="142" t="s">
        <v>266</v>
      </c>
      <c r="L559" s="273"/>
      <c r="M559"/>
      <c r="N559"/>
    </row>
    <row r="560" spans="1:14" s="116" customFormat="1">
      <c r="A560" s="119"/>
      <c r="B560" s="276"/>
      <c r="C560" s="187" t="s">
        <v>274</v>
      </c>
      <c r="D560" s="142" t="s">
        <v>279</v>
      </c>
      <c r="E560" s="119" t="s">
        <v>3535</v>
      </c>
      <c r="F560" s="141" t="s">
        <v>1136</v>
      </c>
      <c r="G560" s="187" t="s">
        <v>3536</v>
      </c>
      <c r="H560" s="187" t="s">
        <v>274</v>
      </c>
      <c r="I560" s="187" t="s">
        <v>3537</v>
      </c>
      <c r="J560" s="142"/>
      <c r="K560" s="142" t="s">
        <v>266</v>
      </c>
      <c r="L560" s="273"/>
      <c r="M560"/>
      <c r="N560"/>
    </row>
    <row r="561" spans="1:14" s="116" customFormat="1" ht="75">
      <c r="A561" s="119" t="s">
        <v>3527</v>
      </c>
      <c r="B561" s="141" t="s">
        <v>172</v>
      </c>
      <c r="C561" s="187" t="s">
        <v>267</v>
      </c>
      <c r="D561" s="142" t="s">
        <v>93</v>
      </c>
      <c r="E561" s="278"/>
      <c r="F561" s="141" t="s">
        <v>1136</v>
      </c>
      <c r="G561" s="187" t="s">
        <v>3538</v>
      </c>
      <c r="H561" s="187" t="s">
        <v>267</v>
      </c>
      <c r="I561" s="187" t="s">
        <v>3539</v>
      </c>
      <c r="J561" s="142"/>
      <c r="K561" s="142" t="s">
        <v>266</v>
      </c>
      <c r="L561" s="273"/>
      <c r="M561"/>
      <c r="N561"/>
    </row>
    <row r="562" spans="1:14" s="116" customFormat="1" ht="75">
      <c r="A562" s="119" t="s">
        <v>3527</v>
      </c>
      <c r="B562" s="141" t="s">
        <v>174</v>
      </c>
      <c r="C562" s="187" t="s">
        <v>267</v>
      </c>
      <c r="D562" s="142" t="s">
        <v>93</v>
      </c>
      <c r="E562" s="278"/>
      <c r="F562" s="141" t="s">
        <v>1136</v>
      </c>
      <c r="G562" s="187" t="s">
        <v>3540</v>
      </c>
      <c r="H562" s="187" t="s">
        <v>267</v>
      </c>
      <c r="I562" s="187" t="s">
        <v>3541</v>
      </c>
      <c r="J562" s="142"/>
      <c r="K562" s="142" t="s">
        <v>266</v>
      </c>
      <c r="L562" s="273"/>
      <c r="M562"/>
      <c r="N562"/>
    </row>
    <row r="563" spans="1:14" s="116" customFormat="1" ht="75">
      <c r="A563" s="119" t="s">
        <v>3527</v>
      </c>
      <c r="B563" s="141" t="s">
        <v>107</v>
      </c>
      <c r="C563" s="193" t="s">
        <v>379</v>
      </c>
      <c r="D563" s="142" t="s">
        <v>93</v>
      </c>
      <c r="E563" s="278"/>
      <c r="F563" s="141" t="s">
        <v>1136</v>
      </c>
      <c r="G563" s="187" t="s">
        <v>3542</v>
      </c>
      <c r="H563" s="193" t="s">
        <v>379</v>
      </c>
      <c r="I563" s="187" t="s">
        <v>107</v>
      </c>
      <c r="J563" s="142"/>
      <c r="K563" s="142" t="s">
        <v>266</v>
      </c>
      <c r="L563" s="273"/>
      <c r="M563"/>
      <c r="N563"/>
    </row>
    <row r="564" spans="1:14" s="116" customFormat="1" ht="75">
      <c r="A564" s="119" t="s">
        <v>3527</v>
      </c>
      <c r="B564" s="187" t="s">
        <v>186</v>
      </c>
      <c r="C564" s="187" t="s">
        <v>267</v>
      </c>
      <c r="D564" s="142" t="s">
        <v>93</v>
      </c>
      <c r="E564" s="278"/>
      <c r="F564" s="141" t="s">
        <v>1136</v>
      </c>
      <c r="G564" s="187" t="s">
        <v>3543</v>
      </c>
      <c r="H564" s="187" t="s">
        <v>267</v>
      </c>
      <c r="I564" s="187" t="s">
        <v>186</v>
      </c>
      <c r="J564" s="142"/>
      <c r="K564" s="142" t="s">
        <v>266</v>
      </c>
      <c r="L564" s="273"/>
      <c r="M564"/>
      <c r="N564"/>
    </row>
    <row r="565" spans="1:14" s="116" customFormat="1" ht="75">
      <c r="A565" s="119" t="s">
        <v>3527</v>
      </c>
      <c r="B565" s="187" t="s">
        <v>187</v>
      </c>
      <c r="C565" s="187" t="s">
        <v>267</v>
      </c>
      <c r="D565" s="142" t="s">
        <v>93</v>
      </c>
      <c r="E565" s="278"/>
      <c r="F565" s="141" t="s">
        <v>1136</v>
      </c>
      <c r="G565" s="187" t="s">
        <v>3544</v>
      </c>
      <c r="H565" s="187" t="s">
        <v>267</v>
      </c>
      <c r="I565" s="187" t="s">
        <v>187</v>
      </c>
      <c r="J565" s="142"/>
      <c r="K565" s="142" t="s">
        <v>266</v>
      </c>
      <c r="L565" s="273"/>
      <c r="M565"/>
      <c r="N565"/>
    </row>
    <row r="566" spans="1:14" s="116" customFormat="1" ht="75">
      <c r="A566" s="119" t="s">
        <v>3527</v>
      </c>
      <c r="B566" s="187" t="s">
        <v>188</v>
      </c>
      <c r="C566" s="187" t="s">
        <v>267</v>
      </c>
      <c r="D566" s="142" t="s">
        <v>93</v>
      </c>
      <c r="E566" s="278"/>
      <c r="F566" s="141" t="s">
        <v>1136</v>
      </c>
      <c r="G566" s="187" t="s">
        <v>3545</v>
      </c>
      <c r="H566" s="187" t="s">
        <v>267</v>
      </c>
      <c r="I566" s="187" t="s">
        <v>188</v>
      </c>
      <c r="J566" s="142"/>
      <c r="K566" s="142" t="s">
        <v>266</v>
      </c>
      <c r="L566" s="273"/>
      <c r="M566"/>
      <c r="N566"/>
    </row>
    <row r="567" spans="1:14" s="116" customFormat="1" ht="75">
      <c r="A567" s="119" t="s">
        <v>3527</v>
      </c>
      <c r="B567" s="187" t="s">
        <v>189</v>
      </c>
      <c r="C567" s="187" t="s">
        <v>267</v>
      </c>
      <c r="D567" s="142" t="s">
        <v>93</v>
      </c>
      <c r="E567" s="278"/>
      <c r="F567" s="141" t="s">
        <v>1136</v>
      </c>
      <c r="G567" s="187" t="s">
        <v>3546</v>
      </c>
      <c r="H567" s="187" t="s">
        <v>267</v>
      </c>
      <c r="I567" s="187" t="s">
        <v>189</v>
      </c>
      <c r="J567" s="142"/>
      <c r="K567" s="142" t="s">
        <v>266</v>
      </c>
      <c r="L567" s="273"/>
      <c r="M567"/>
      <c r="N567"/>
    </row>
    <row r="568" spans="1:14" s="116" customFormat="1" ht="75">
      <c r="A568" s="119" t="s">
        <v>3527</v>
      </c>
      <c r="B568" s="187" t="s">
        <v>193</v>
      </c>
      <c r="C568" s="187" t="s">
        <v>267</v>
      </c>
      <c r="D568" s="142" t="s">
        <v>93</v>
      </c>
      <c r="E568" s="278"/>
      <c r="F568" s="141" t="s">
        <v>1136</v>
      </c>
      <c r="G568" s="187" t="s">
        <v>3547</v>
      </c>
      <c r="H568" s="187" t="s">
        <v>267</v>
      </c>
      <c r="I568" s="187" t="s">
        <v>193</v>
      </c>
      <c r="J568" s="142"/>
      <c r="K568" s="142" t="s">
        <v>266</v>
      </c>
      <c r="L568" s="273"/>
      <c r="M568"/>
      <c r="N568"/>
    </row>
    <row r="569" spans="1:14" s="116" customFormat="1" ht="75">
      <c r="A569" s="119" t="s">
        <v>3527</v>
      </c>
      <c r="B569" s="187" t="s">
        <v>194</v>
      </c>
      <c r="C569" s="187" t="s">
        <v>267</v>
      </c>
      <c r="D569" s="142" t="s">
        <v>93</v>
      </c>
      <c r="E569" s="278"/>
      <c r="F569" s="141" t="s">
        <v>1136</v>
      </c>
      <c r="G569" s="187" t="s">
        <v>3548</v>
      </c>
      <c r="H569" s="187" t="s">
        <v>267</v>
      </c>
      <c r="I569" s="187" t="s">
        <v>194</v>
      </c>
      <c r="J569" s="142"/>
      <c r="K569" s="142" t="s">
        <v>266</v>
      </c>
      <c r="L569" s="273"/>
      <c r="M569"/>
      <c r="N569"/>
    </row>
    <row r="570" spans="1:14" s="116" customFormat="1" ht="75">
      <c r="A570" s="119" t="s">
        <v>3527</v>
      </c>
      <c r="B570" s="187" t="s">
        <v>195</v>
      </c>
      <c r="C570" s="187" t="s">
        <v>267</v>
      </c>
      <c r="D570" s="142" t="s">
        <v>93</v>
      </c>
      <c r="E570" s="278"/>
      <c r="F570" s="141" t="s">
        <v>1136</v>
      </c>
      <c r="G570" s="187" t="s">
        <v>3549</v>
      </c>
      <c r="H570" s="187" t="s">
        <v>267</v>
      </c>
      <c r="I570" s="187" t="s">
        <v>195</v>
      </c>
      <c r="J570" s="142"/>
      <c r="K570" s="142" t="s">
        <v>266</v>
      </c>
      <c r="L570" s="273"/>
      <c r="M570"/>
      <c r="N570"/>
    </row>
    <row r="571" spans="1:14" s="116" customFormat="1" ht="75">
      <c r="A571" s="119" t="s">
        <v>3527</v>
      </c>
      <c r="B571" s="187" t="s">
        <v>196</v>
      </c>
      <c r="C571" s="187" t="s">
        <v>267</v>
      </c>
      <c r="D571" s="142" t="s">
        <v>93</v>
      </c>
      <c r="E571" s="278"/>
      <c r="F571" s="141" t="s">
        <v>1136</v>
      </c>
      <c r="G571" s="187" t="s">
        <v>3550</v>
      </c>
      <c r="H571" s="187" t="s">
        <v>267</v>
      </c>
      <c r="I571" s="187" t="s">
        <v>196</v>
      </c>
      <c r="J571" s="142"/>
      <c r="K571" s="142" t="s">
        <v>266</v>
      </c>
      <c r="L571" s="273"/>
      <c r="M571"/>
      <c r="N571"/>
    </row>
    <row r="572" spans="1:14" s="116" customFormat="1">
      <c r="A572" s="119"/>
      <c r="B572" s="276"/>
      <c r="C572" s="187" t="s">
        <v>267</v>
      </c>
      <c r="D572" s="142" t="s">
        <v>279</v>
      </c>
      <c r="E572" s="279" t="s">
        <v>3551</v>
      </c>
      <c r="F572" s="141" t="s">
        <v>1136</v>
      </c>
      <c r="G572" s="187" t="s">
        <v>3552</v>
      </c>
      <c r="H572" s="187" t="s">
        <v>267</v>
      </c>
      <c r="I572" s="187" t="s">
        <v>3553</v>
      </c>
      <c r="J572" s="142"/>
      <c r="K572" s="142" t="s">
        <v>266</v>
      </c>
      <c r="L572" s="273"/>
      <c r="M572"/>
      <c r="N572"/>
    </row>
    <row r="573" spans="1:14" s="116" customFormat="1" ht="25">
      <c r="A573" s="119"/>
      <c r="B573" s="276"/>
      <c r="C573" s="187" t="s">
        <v>267</v>
      </c>
      <c r="D573" s="142" t="s">
        <v>279</v>
      </c>
      <c r="E573" s="119" t="s">
        <v>3535</v>
      </c>
      <c r="F573" s="141" t="s">
        <v>1136</v>
      </c>
      <c r="G573" s="187" t="s">
        <v>3554</v>
      </c>
      <c r="H573" s="187" t="s">
        <v>267</v>
      </c>
      <c r="I573" s="187" t="s">
        <v>3555</v>
      </c>
      <c r="J573" s="142"/>
      <c r="K573" s="142" t="s">
        <v>266</v>
      </c>
      <c r="L573" s="273"/>
      <c r="M573"/>
      <c r="N573"/>
    </row>
    <row r="574" spans="1:14" s="116" customFormat="1" ht="25">
      <c r="A574" s="119"/>
      <c r="B574" s="276"/>
      <c r="C574" s="187" t="s">
        <v>267</v>
      </c>
      <c r="D574" s="142" t="s">
        <v>279</v>
      </c>
      <c r="E574" s="119" t="s">
        <v>3535</v>
      </c>
      <c r="F574" s="141" t="s">
        <v>1136</v>
      </c>
      <c r="G574" s="187" t="s">
        <v>3556</v>
      </c>
      <c r="H574" s="187" t="s">
        <v>267</v>
      </c>
      <c r="I574" s="187" t="s">
        <v>3557</v>
      </c>
      <c r="J574" s="142"/>
      <c r="K574" s="142" t="s">
        <v>266</v>
      </c>
      <c r="L574" s="273"/>
      <c r="M574"/>
      <c r="N574"/>
    </row>
    <row r="575" spans="1:14" s="116" customFormat="1" ht="75">
      <c r="A575" s="119" t="s">
        <v>3527</v>
      </c>
      <c r="B575" s="141" t="s">
        <v>213</v>
      </c>
      <c r="C575" s="187" t="s">
        <v>267</v>
      </c>
      <c r="D575" s="142" t="s">
        <v>93</v>
      </c>
      <c r="E575" s="278"/>
      <c r="F575" s="141" t="s">
        <v>1136</v>
      </c>
      <c r="G575" s="187" t="s">
        <v>3558</v>
      </c>
      <c r="H575" s="187" t="s">
        <v>267</v>
      </c>
      <c r="I575" s="187" t="s">
        <v>3559</v>
      </c>
      <c r="J575" s="142"/>
      <c r="K575" s="142" t="s">
        <v>266</v>
      </c>
      <c r="L575" s="273"/>
      <c r="M575"/>
      <c r="N575"/>
    </row>
    <row r="576" spans="1:14" s="116" customFormat="1">
      <c r="A576" s="119"/>
      <c r="B576" s="276"/>
      <c r="C576" s="187" t="s">
        <v>267</v>
      </c>
      <c r="D576" s="142" t="s">
        <v>279</v>
      </c>
      <c r="E576" s="119" t="s">
        <v>3535</v>
      </c>
      <c r="F576" s="141" t="s">
        <v>1136</v>
      </c>
      <c r="G576" s="187" t="s">
        <v>3560</v>
      </c>
      <c r="H576" s="187" t="s">
        <v>267</v>
      </c>
      <c r="I576" s="187" t="s">
        <v>3561</v>
      </c>
      <c r="J576" s="142"/>
      <c r="K576" s="142" t="s">
        <v>266</v>
      </c>
      <c r="L576" s="273"/>
      <c r="M576"/>
      <c r="N576"/>
    </row>
    <row r="577" spans="1:14" s="116" customFormat="1">
      <c r="A577" s="119"/>
      <c r="B577" s="276"/>
      <c r="C577" s="187" t="s">
        <v>267</v>
      </c>
      <c r="D577" s="142" t="s">
        <v>279</v>
      </c>
      <c r="E577" s="119" t="s">
        <v>3535</v>
      </c>
      <c r="F577" s="141" t="s">
        <v>1136</v>
      </c>
      <c r="G577" s="187" t="s">
        <v>3562</v>
      </c>
      <c r="H577" s="187" t="s">
        <v>267</v>
      </c>
      <c r="I577" s="187" t="s">
        <v>3563</v>
      </c>
      <c r="J577" s="142"/>
      <c r="K577" s="142" t="s">
        <v>266</v>
      </c>
      <c r="L577" s="273"/>
      <c r="M577"/>
      <c r="N577"/>
    </row>
    <row r="578" spans="1:14" s="116" customFormat="1">
      <c r="A578" s="119"/>
      <c r="B578" s="276"/>
      <c r="C578" s="187" t="s">
        <v>267</v>
      </c>
      <c r="D578" s="142" t="s">
        <v>279</v>
      </c>
      <c r="E578" s="119" t="s">
        <v>3535</v>
      </c>
      <c r="F578" s="141" t="s">
        <v>1136</v>
      </c>
      <c r="G578" s="187" t="s">
        <v>3564</v>
      </c>
      <c r="H578" s="187" t="s">
        <v>267</v>
      </c>
      <c r="I578" s="187" t="s">
        <v>3565</v>
      </c>
      <c r="J578" s="142"/>
      <c r="K578" s="142" t="s">
        <v>266</v>
      </c>
      <c r="L578" s="273"/>
      <c r="M578"/>
      <c r="N578"/>
    </row>
    <row r="579" spans="1:14" s="116" customFormat="1" ht="75">
      <c r="A579" s="119" t="s">
        <v>3527</v>
      </c>
      <c r="B579" s="141" t="s">
        <v>216</v>
      </c>
      <c r="C579" s="187" t="s">
        <v>267</v>
      </c>
      <c r="D579" s="142" t="s">
        <v>93</v>
      </c>
      <c r="E579" s="278"/>
      <c r="F579" s="141" t="s">
        <v>1136</v>
      </c>
      <c r="G579" s="187" t="s">
        <v>3566</v>
      </c>
      <c r="H579" s="187" t="s">
        <v>267</v>
      </c>
      <c r="I579" s="187" t="s">
        <v>3567</v>
      </c>
      <c r="J579" s="142"/>
      <c r="K579" s="142" t="s">
        <v>266</v>
      </c>
      <c r="L579" s="273"/>
      <c r="M579"/>
      <c r="N579"/>
    </row>
    <row r="580" spans="1:14" s="116" customFormat="1">
      <c r="A580" s="119"/>
      <c r="B580" s="276"/>
      <c r="C580" s="187" t="s">
        <v>267</v>
      </c>
      <c r="D580" s="142" t="s">
        <v>279</v>
      </c>
      <c r="E580" s="119" t="s">
        <v>3535</v>
      </c>
      <c r="F580" s="141" t="s">
        <v>1136</v>
      </c>
      <c r="G580" s="187" t="s">
        <v>3568</v>
      </c>
      <c r="H580" s="187" t="s">
        <v>267</v>
      </c>
      <c r="I580" s="187" t="s">
        <v>3569</v>
      </c>
      <c r="J580" s="142"/>
      <c r="K580" s="142" t="s">
        <v>266</v>
      </c>
      <c r="L580" s="273"/>
      <c r="M580"/>
      <c r="N580"/>
    </row>
    <row r="581" spans="1:14" s="116" customFormat="1">
      <c r="A581" s="119"/>
      <c r="B581" s="276"/>
      <c r="C581" s="187" t="s">
        <v>267</v>
      </c>
      <c r="D581" s="142" t="s">
        <v>279</v>
      </c>
      <c r="E581" s="119" t="s">
        <v>3535</v>
      </c>
      <c r="F581" s="141" t="s">
        <v>1136</v>
      </c>
      <c r="G581" s="187" t="s">
        <v>3570</v>
      </c>
      <c r="H581" s="187" t="s">
        <v>267</v>
      </c>
      <c r="I581" s="187" t="s">
        <v>3571</v>
      </c>
      <c r="J581" s="142"/>
      <c r="K581" s="142" t="s">
        <v>266</v>
      </c>
      <c r="L581" s="273"/>
      <c r="M581"/>
      <c r="N581"/>
    </row>
    <row r="582" spans="1:14" s="116" customFormat="1">
      <c r="A582" s="119"/>
      <c r="B582" s="276"/>
      <c r="C582" s="187" t="s">
        <v>267</v>
      </c>
      <c r="D582" s="142" t="s">
        <v>279</v>
      </c>
      <c r="E582" s="119" t="s">
        <v>3535</v>
      </c>
      <c r="F582" s="141" t="s">
        <v>1136</v>
      </c>
      <c r="G582" s="187" t="s">
        <v>3572</v>
      </c>
      <c r="H582" s="187" t="s">
        <v>267</v>
      </c>
      <c r="I582" s="187" t="s">
        <v>3573</v>
      </c>
      <c r="J582" s="142"/>
      <c r="K582" s="142" t="s">
        <v>266</v>
      </c>
      <c r="L582" s="273"/>
      <c r="M582"/>
      <c r="N582"/>
    </row>
    <row r="583" spans="1:14" s="116" customFormat="1">
      <c r="A583" s="119"/>
      <c r="B583" s="276"/>
      <c r="C583" s="187" t="s">
        <v>267</v>
      </c>
      <c r="D583" s="142" t="s">
        <v>279</v>
      </c>
      <c r="E583" s="119" t="s">
        <v>3535</v>
      </c>
      <c r="F583" s="141" t="s">
        <v>1136</v>
      </c>
      <c r="G583" s="187" t="s">
        <v>3574</v>
      </c>
      <c r="H583" s="187" t="s">
        <v>267</v>
      </c>
      <c r="I583" s="187" t="s">
        <v>3575</v>
      </c>
      <c r="J583" s="142"/>
      <c r="K583" s="142" t="s">
        <v>266</v>
      </c>
      <c r="L583" s="273"/>
      <c r="M583"/>
      <c r="N583"/>
    </row>
    <row r="584" spans="1:14" s="116" customFormat="1">
      <c r="A584" s="119"/>
      <c r="B584" s="276"/>
      <c r="C584" s="187" t="s">
        <v>267</v>
      </c>
      <c r="D584" s="142" t="s">
        <v>279</v>
      </c>
      <c r="E584" s="119" t="s">
        <v>3535</v>
      </c>
      <c r="F584" s="141" t="s">
        <v>1136</v>
      </c>
      <c r="G584" s="187" t="s">
        <v>3576</v>
      </c>
      <c r="H584" s="187" t="s">
        <v>267</v>
      </c>
      <c r="I584" s="187" t="s">
        <v>3577</v>
      </c>
      <c r="J584" s="142"/>
      <c r="K584" s="142" t="s">
        <v>266</v>
      </c>
      <c r="L584" s="273"/>
      <c r="M584"/>
      <c r="N584"/>
    </row>
    <row r="585" spans="1:14" s="116" customFormat="1">
      <c r="A585" s="119"/>
      <c r="B585" s="276"/>
      <c r="C585" s="187" t="s">
        <v>267</v>
      </c>
      <c r="D585" s="142" t="s">
        <v>279</v>
      </c>
      <c r="E585" s="119" t="s">
        <v>3535</v>
      </c>
      <c r="F585" s="141" t="s">
        <v>1136</v>
      </c>
      <c r="G585" s="187" t="s">
        <v>3578</v>
      </c>
      <c r="H585" s="187" t="s">
        <v>267</v>
      </c>
      <c r="I585" s="187" t="s">
        <v>3579</v>
      </c>
      <c r="J585" s="142"/>
      <c r="K585" s="142" t="s">
        <v>266</v>
      </c>
      <c r="L585" s="273"/>
      <c r="M585"/>
      <c r="N585"/>
    </row>
    <row r="586" spans="1:14" s="116" customFormat="1">
      <c r="A586" s="119"/>
      <c r="B586" s="276"/>
      <c r="C586" s="187" t="s">
        <v>267</v>
      </c>
      <c r="D586" s="142" t="s">
        <v>279</v>
      </c>
      <c r="E586" s="119" t="s">
        <v>3535</v>
      </c>
      <c r="F586" s="141" t="s">
        <v>1136</v>
      </c>
      <c r="G586" s="187" t="s">
        <v>3580</v>
      </c>
      <c r="H586" s="187" t="s">
        <v>267</v>
      </c>
      <c r="I586" s="187" t="s">
        <v>3581</v>
      </c>
      <c r="J586" s="142"/>
      <c r="K586" s="142" t="s">
        <v>266</v>
      </c>
      <c r="L586" s="273"/>
      <c r="M586"/>
      <c r="N586"/>
    </row>
    <row r="587" spans="1:14" s="116" customFormat="1">
      <c r="A587" s="119"/>
      <c r="B587" s="276"/>
      <c r="C587" s="187" t="s">
        <v>267</v>
      </c>
      <c r="D587" s="142" t="s">
        <v>279</v>
      </c>
      <c r="E587" s="119" t="s">
        <v>3535</v>
      </c>
      <c r="F587" s="141" t="s">
        <v>1136</v>
      </c>
      <c r="G587" s="187" t="s">
        <v>3582</v>
      </c>
      <c r="H587" s="187" t="s">
        <v>267</v>
      </c>
      <c r="I587" s="187" t="s">
        <v>3583</v>
      </c>
      <c r="J587" s="142"/>
      <c r="K587" s="142" t="s">
        <v>266</v>
      </c>
      <c r="L587" s="273"/>
      <c r="M587"/>
      <c r="N587"/>
    </row>
    <row r="588" spans="1:14" s="116" customFormat="1">
      <c r="A588" s="119"/>
      <c r="B588" s="276"/>
      <c r="C588" s="187" t="s">
        <v>267</v>
      </c>
      <c r="D588" s="142" t="s">
        <v>279</v>
      </c>
      <c r="E588" s="119" t="s">
        <v>3535</v>
      </c>
      <c r="F588" s="141" t="s">
        <v>1136</v>
      </c>
      <c r="G588" s="187" t="s">
        <v>3584</v>
      </c>
      <c r="H588" s="187" t="s">
        <v>267</v>
      </c>
      <c r="I588" s="187" t="s">
        <v>3585</v>
      </c>
      <c r="J588" s="142"/>
      <c r="K588" s="142" t="s">
        <v>266</v>
      </c>
      <c r="L588" s="273"/>
      <c r="M588"/>
      <c r="N588"/>
    </row>
    <row r="589" spans="1:14" s="116" customFormat="1">
      <c r="A589" s="119"/>
      <c r="B589" s="276"/>
      <c r="C589" s="187" t="s">
        <v>267</v>
      </c>
      <c r="D589" s="142" t="s">
        <v>279</v>
      </c>
      <c r="E589" s="119" t="s">
        <v>3535</v>
      </c>
      <c r="F589" s="141" t="s">
        <v>1136</v>
      </c>
      <c r="G589" s="187" t="s">
        <v>3586</v>
      </c>
      <c r="H589" s="187" t="s">
        <v>267</v>
      </c>
      <c r="I589" s="187" t="s">
        <v>3587</v>
      </c>
      <c r="J589" s="142"/>
      <c r="K589" s="142" t="s">
        <v>266</v>
      </c>
      <c r="L589" s="273"/>
      <c r="M589"/>
      <c r="N589"/>
    </row>
    <row r="590" spans="1:14" s="116" customFormat="1">
      <c r="A590" s="119"/>
      <c r="B590" s="276"/>
      <c r="C590" s="187" t="s">
        <v>267</v>
      </c>
      <c r="D590" s="142" t="s">
        <v>279</v>
      </c>
      <c r="E590" s="119" t="s">
        <v>3535</v>
      </c>
      <c r="F590" s="141" t="s">
        <v>1136</v>
      </c>
      <c r="G590" s="187" t="s">
        <v>3588</v>
      </c>
      <c r="H590" s="187" t="s">
        <v>267</v>
      </c>
      <c r="I590" s="187" t="s">
        <v>3589</v>
      </c>
      <c r="J590" s="142"/>
      <c r="K590" s="142" t="s">
        <v>266</v>
      </c>
      <c r="L590" s="273"/>
      <c r="M590"/>
      <c r="N590"/>
    </row>
    <row r="591" spans="1:14" s="116" customFormat="1" ht="75">
      <c r="A591" s="119" t="s">
        <v>3527</v>
      </c>
      <c r="B591" s="105" t="s">
        <v>5204</v>
      </c>
      <c r="C591" s="105" t="s">
        <v>268</v>
      </c>
      <c r="D591" s="142" t="s">
        <v>93</v>
      </c>
      <c r="E591" s="119"/>
      <c r="F591" s="141" t="s">
        <v>1136</v>
      </c>
      <c r="G591" s="105" t="s">
        <v>5211</v>
      </c>
      <c r="H591" s="105" t="s">
        <v>268</v>
      </c>
      <c r="I591" s="105" t="s">
        <v>5204</v>
      </c>
      <c r="J591" s="142"/>
      <c r="K591" s="142" t="s">
        <v>266</v>
      </c>
      <c r="L591" s="273"/>
      <c r="M591"/>
      <c r="N591"/>
    </row>
    <row r="592" spans="1:14" s="116" customFormat="1" ht="75">
      <c r="A592" s="119" t="s">
        <v>3527</v>
      </c>
      <c r="B592" s="105" t="s">
        <v>5205</v>
      </c>
      <c r="C592" s="105" t="s">
        <v>268</v>
      </c>
      <c r="D592" s="142" t="s">
        <v>93</v>
      </c>
      <c r="E592" s="119"/>
      <c r="F592" s="141" t="s">
        <v>1136</v>
      </c>
      <c r="G592" s="105" t="s">
        <v>5212</v>
      </c>
      <c r="H592" s="105" t="s">
        <v>268</v>
      </c>
      <c r="I592" s="105" t="s">
        <v>5205</v>
      </c>
      <c r="J592" s="142"/>
      <c r="K592" s="142" t="s">
        <v>266</v>
      </c>
      <c r="L592" s="273"/>
      <c r="M592"/>
      <c r="N592"/>
    </row>
    <row r="593" spans="1:14" s="116" customFormat="1" ht="75">
      <c r="A593" s="119" t="s">
        <v>3527</v>
      </c>
      <c r="B593" s="105" t="s">
        <v>5207</v>
      </c>
      <c r="C593" s="105" t="s">
        <v>268</v>
      </c>
      <c r="D593" s="142" t="s">
        <v>93</v>
      </c>
      <c r="E593" s="119"/>
      <c r="F593" s="141" t="s">
        <v>1136</v>
      </c>
      <c r="G593" s="105" t="s">
        <v>5213</v>
      </c>
      <c r="H593" s="105" t="s">
        <v>268</v>
      </c>
      <c r="I593" s="105" t="s">
        <v>5207</v>
      </c>
      <c r="J593" s="105"/>
      <c r="K593" s="142" t="s">
        <v>266</v>
      </c>
      <c r="L593" s="273"/>
      <c r="M593"/>
      <c r="N593"/>
    </row>
    <row r="594" spans="1:14" s="116" customFormat="1">
      <c r="A594" s="119"/>
      <c r="B594" s="276"/>
      <c r="C594" s="187" t="s">
        <v>267</v>
      </c>
      <c r="D594" s="142" t="s">
        <v>279</v>
      </c>
      <c r="E594" s="119" t="s">
        <v>3535</v>
      </c>
      <c r="F594" s="141" t="s">
        <v>1136</v>
      </c>
      <c r="G594" s="187" t="s">
        <v>3590</v>
      </c>
      <c r="H594" s="187" t="s">
        <v>267</v>
      </c>
      <c r="I594" s="187" t="s">
        <v>3591</v>
      </c>
      <c r="J594" s="142"/>
      <c r="K594" s="142" t="s">
        <v>266</v>
      </c>
      <c r="L594" s="273"/>
      <c r="M594"/>
      <c r="N594"/>
    </row>
    <row r="595" spans="1:14" s="116" customFormat="1">
      <c r="A595" s="119"/>
      <c r="B595" s="276"/>
      <c r="C595" s="187" t="s">
        <v>267</v>
      </c>
      <c r="D595" s="142" t="s">
        <v>279</v>
      </c>
      <c r="E595" s="119" t="s">
        <v>3535</v>
      </c>
      <c r="F595" s="141" t="s">
        <v>1136</v>
      </c>
      <c r="G595" s="187" t="s">
        <v>3592</v>
      </c>
      <c r="H595" s="187" t="s">
        <v>267</v>
      </c>
      <c r="I595" s="187" t="s">
        <v>3593</v>
      </c>
      <c r="J595" s="142"/>
      <c r="K595" s="142" t="s">
        <v>266</v>
      </c>
      <c r="L595" s="273"/>
      <c r="M595"/>
      <c r="N595"/>
    </row>
    <row r="596" spans="1:14" s="116" customFormat="1" ht="113">
      <c r="A596" s="119" t="s">
        <v>3527</v>
      </c>
      <c r="B596" s="276"/>
      <c r="C596" s="187" t="s">
        <v>267</v>
      </c>
      <c r="D596" s="142" t="s">
        <v>263</v>
      </c>
      <c r="E596" s="119" t="s">
        <v>3594</v>
      </c>
      <c r="F596" s="141" t="s">
        <v>1136</v>
      </c>
      <c r="G596" s="187" t="s">
        <v>3595</v>
      </c>
      <c r="H596" s="187" t="s">
        <v>267</v>
      </c>
      <c r="I596" s="187" t="s">
        <v>3596</v>
      </c>
      <c r="J596" s="142"/>
      <c r="K596" s="142" t="s">
        <v>266</v>
      </c>
      <c r="L596" s="273"/>
      <c r="M596"/>
      <c r="N596"/>
    </row>
    <row r="597" spans="1:14" s="116" customFormat="1">
      <c r="A597" s="119"/>
      <c r="B597" s="276"/>
      <c r="C597" s="187" t="s">
        <v>267</v>
      </c>
      <c r="D597" s="142" t="s">
        <v>279</v>
      </c>
      <c r="E597" s="119" t="s">
        <v>3535</v>
      </c>
      <c r="F597" s="141" t="s">
        <v>1136</v>
      </c>
      <c r="G597" s="187" t="s">
        <v>3597</v>
      </c>
      <c r="H597" s="187" t="s">
        <v>267</v>
      </c>
      <c r="I597" s="187" t="s">
        <v>3598</v>
      </c>
      <c r="J597" s="142"/>
      <c r="K597" s="142" t="s">
        <v>266</v>
      </c>
      <c r="L597" s="273"/>
      <c r="M597"/>
      <c r="N597"/>
    </row>
    <row r="598" spans="1:14" s="116" customFormat="1">
      <c r="A598" s="119"/>
      <c r="B598" s="276"/>
      <c r="C598" s="280"/>
      <c r="D598" s="142" t="s">
        <v>279</v>
      </c>
      <c r="E598" s="119" t="s">
        <v>2116</v>
      </c>
      <c r="F598" s="141" t="s">
        <v>1136</v>
      </c>
      <c r="G598" s="187" t="s">
        <v>3599</v>
      </c>
      <c r="H598" s="142" t="s">
        <v>274</v>
      </c>
      <c r="I598" s="187" t="s">
        <v>3600</v>
      </c>
      <c r="J598" s="142"/>
      <c r="K598" s="142" t="s">
        <v>266</v>
      </c>
      <c r="L598" s="273"/>
      <c r="M598"/>
      <c r="N598"/>
    </row>
    <row r="599" spans="1:14" s="116" customFormat="1">
      <c r="A599" s="119"/>
      <c r="B599" s="276"/>
      <c r="C599" s="280"/>
      <c r="D599" s="142" t="s">
        <v>279</v>
      </c>
      <c r="E599" s="119" t="s">
        <v>482</v>
      </c>
      <c r="F599" s="141" t="s">
        <v>1136</v>
      </c>
      <c r="G599" s="187" t="s">
        <v>3601</v>
      </c>
      <c r="H599" s="142" t="s">
        <v>274</v>
      </c>
      <c r="I599" s="187" t="s">
        <v>3602</v>
      </c>
      <c r="J599" s="142"/>
      <c r="K599" s="142" t="s">
        <v>266</v>
      </c>
      <c r="L599" s="273"/>
      <c r="M599"/>
      <c r="N599"/>
    </row>
    <row r="600" spans="1:14" s="116" customFormat="1">
      <c r="A600" s="119"/>
      <c r="B600" s="276"/>
      <c r="C600" s="280"/>
      <c r="D600" s="142" t="s">
        <v>279</v>
      </c>
      <c r="E600" s="119" t="s">
        <v>482</v>
      </c>
      <c r="F600" s="141" t="s">
        <v>1136</v>
      </c>
      <c r="G600" s="187" t="s">
        <v>3603</v>
      </c>
      <c r="H600" s="142" t="s">
        <v>274</v>
      </c>
      <c r="I600" s="187" t="s">
        <v>3604</v>
      </c>
      <c r="J600" s="142"/>
      <c r="K600" s="142" t="s">
        <v>266</v>
      </c>
      <c r="L600" s="273"/>
      <c r="M600"/>
      <c r="N600"/>
    </row>
    <row r="601" spans="1:14" s="116" customFormat="1">
      <c r="A601" s="119"/>
      <c r="B601" s="276"/>
      <c r="C601" s="280"/>
      <c r="D601" s="142" t="s">
        <v>279</v>
      </c>
      <c r="E601" s="279" t="s">
        <v>3605</v>
      </c>
      <c r="F601" s="141" t="s">
        <v>1136</v>
      </c>
      <c r="G601" s="187" t="s">
        <v>3606</v>
      </c>
      <c r="H601" s="142" t="s">
        <v>267</v>
      </c>
      <c r="I601" s="187" t="s">
        <v>3607</v>
      </c>
      <c r="J601" s="142"/>
      <c r="K601" s="142" t="s">
        <v>266</v>
      </c>
      <c r="L601" s="273"/>
      <c r="M601"/>
      <c r="N601"/>
    </row>
    <row r="602" spans="1:14" s="116" customFormat="1">
      <c r="A602" s="119"/>
      <c r="B602" s="276"/>
      <c r="C602" s="280"/>
      <c r="D602" s="142" t="s">
        <v>279</v>
      </c>
      <c r="E602" s="119">
        <v>0</v>
      </c>
      <c r="F602" s="141" t="s">
        <v>1136</v>
      </c>
      <c r="G602" s="187" t="s">
        <v>3608</v>
      </c>
      <c r="H602" s="142" t="s">
        <v>274</v>
      </c>
      <c r="I602" s="187" t="s">
        <v>3609</v>
      </c>
      <c r="J602" s="142"/>
      <c r="K602" s="142" t="s">
        <v>266</v>
      </c>
      <c r="L602" s="273"/>
      <c r="M602"/>
      <c r="N602"/>
    </row>
    <row r="603" spans="1:14" s="116" customFormat="1">
      <c r="A603" s="119"/>
      <c r="B603" s="276"/>
      <c r="C603" s="280"/>
      <c r="D603" s="142" t="s">
        <v>279</v>
      </c>
      <c r="E603" s="119">
        <v>0</v>
      </c>
      <c r="F603" s="141" t="s">
        <v>1136</v>
      </c>
      <c r="G603" s="187" t="s">
        <v>3610</v>
      </c>
      <c r="H603" s="142" t="s">
        <v>274</v>
      </c>
      <c r="I603" s="187" t="s">
        <v>3611</v>
      </c>
      <c r="J603" s="142"/>
      <c r="K603" s="142" t="s">
        <v>266</v>
      </c>
      <c r="L603" s="273"/>
      <c r="M603"/>
      <c r="N603"/>
    </row>
    <row r="604" spans="1:14" s="116" customFormat="1">
      <c r="A604" s="119"/>
      <c r="B604" s="276"/>
      <c r="C604" s="280"/>
      <c r="D604" s="142" t="s">
        <v>279</v>
      </c>
      <c r="E604" s="119">
        <v>0</v>
      </c>
      <c r="F604" s="141" t="s">
        <v>1136</v>
      </c>
      <c r="G604" s="187" t="s">
        <v>3612</v>
      </c>
      <c r="H604" s="142" t="s">
        <v>274</v>
      </c>
      <c r="I604" s="187" t="s">
        <v>3613</v>
      </c>
      <c r="J604" s="142"/>
      <c r="K604" s="142" t="s">
        <v>266</v>
      </c>
      <c r="L604" s="273"/>
      <c r="M604"/>
      <c r="N604"/>
    </row>
    <row r="605" spans="1:14" s="116" customFormat="1" ht="30.65" customHeight="1">
      <c r="A605" s="119" t="s">
        <v>3527</v>
      </c>
      <c r="B605" s="187" t="s">
        <v>167</v>
      </c>
      <c r="C605" s="280"/>
      <c r="D605" s="142" t="s">
        <v>93</v>
      </c>
      <c r="E605" s="278"/>
      <c r="F605" s="141" t="s">
        <v>1136</v>
      </c>
      <c r="G605" s="187" t="s">
        <v>3614</v>
      </c>
      <c r="H605" s="142" t="s">
        <v>274</v>
      </c>
      <c r="I605" s="187" t="s">
        <v>167</v>
      </c>
      <c r="J605" s="142"/>
      <c r="K605" s="142" t="s">
        <v>266</v>
      </c>
      <c r="L605" s="273"/>
      <c r="M605"/>
      <c r="N605"/>
    </row>
    <row r="606" spans="1:14" s="116" customFormat="1" ht="75">
      <c r="A606" s="119" t="s">
        <v>3527</v>
      </c>
      <c r="B606" s="276"/>
      <c r="C606" s="280"/>
      <c r="D606" s="142" t="s">
        <v>263</v>
      </c>
      <c r="E606" s="119" t="s">
        <v>3615</v>
      </c>
      <c r="F606" s="141" t="s">
        <v>1136</v>
      </c>
      <c r="G606" s="187" t="s">
        <v>3616</v>
      </c>
      <c r="H606" s="142" t="s">
        <v>3306</v>
      </c>
      <c r="I606" s="187" t="s">
        <v>3617</v>
      </c>
      <c r="J606" s="142"/>
      <c r="K606" s="142" t="s">
        <v>266</v>
      </c>
      <c r="L606" s="273"/>
      <c r="M606"/>
      <c r="N606"/>
    </row>
    <row r="607" spans="1:14" s="116" customFormat="1" ht="75">
      <c r="A607" s="119" t="s">
        <v>3527</v>
      </c>
      <c r="B607" s="141" t="s">
        <v>103</v>
      </c>
      <c r="C607" s="280"/>
      <c r="D607" s="142" t="s">
        <v>93</v>
      </c>
      <c r="E607" s="278"/>
      <c r="F607" s="141" t="s">
        <v>1136</v>
      </c>
      <c r="G607" s="187" t="s">
        <v>3618</v>
      </c>
      <c r="H607" s="142" t="s">
        <v>267</v>
      </c>
      <c r="I607" s="187" t="s">
        <v>3619</v>
      </c>
      <c r="J607" s="142"/>
      <c r="K607" s="142" t="s">
        <v>266</v>
      </c>
      <c r="L607" s="273"/>
      <c r="M607"/>
      <c r="N607"/>
    </row>
    <row r="608" spans="1:14" s="116" customFormat="1" ht="75">
      <c r="A608" s="119" t="s">
        <v>3527</v>
      </c>
      <c r="B608" s="141" t="s">
        <v>113</v>
      </c>
      <c r="C608" s="280"/>
      <c r="D608" s="142" t="s">
        <v>93</v>
      </c>
      <c r="E608" s="278"/>
      <c r="F608" s="141" t="s">
        <v>1136</v>
      </c>
      <c r="G608" s="141" t="s">
        <v>3620</v>
      </c>
      <c r="H608" s="142" t="s">
        <v>267</v>
      </c>
      <c r="I608" s="141" t="s">
        <v>113</v>
      </c>
      <c r="J608" s="142"/>
      <c r="K608" s="142" t="s">
        <v>266</v>
      </c>
      <c r="L608" s="273"/>
      <c r="M608"/>
      <c r="N608"/>
    </row>
    <row r="609" spans="1:14" s="116" customFormat="1" ht="75">
      <c r="A609" s="119" t="s">
        <v>3527</v>
      </c>
      <c r="B609" s="141" t="s">
        <v>116</v>
      </c>
      <c r="C609" s="280"/>
      <c r="D609" s="142" t="s">
        <v>93</v>
      </c>
      <c r="E609" s="278"/>
      <c r="F609" s="141" t="s">
        <v>1136</v>
      </c>
      <c r="G609" s="141" t="s">
        <v>3621</v>
      </c>
      <c r="H609" s="142" t="s">
        <v>267</v>
      </c>
      <c r="I609" s="141" t="s">
        <v>116</v>
      </c>
      <c r="J609" s="142"/>
      <c r="K609" s="142" t="s">
        <v>266</v>
      </c>
      <c r="L609" s="273"/>
      <c r="M609"/>
      <c r="N609"/>
    </row>
    <row r="610" spans="1:14" s="116" customFormat="1" ht="75">
      <c r="A610" s="119" t="s">
        <v>3527</v>
      </c>
      <c r="B610" s="141" t="s">
        <v>118</v>
      </c>
      <c r="C610" s="280"/>
      <c r="D610" s="142" t="s">
        <v>93</v>
      </c>
      <c r="E610" s="278"/>
      <c r="F610" s="141" t="s">
        <v>1136</v>
      </c>
      <c r="G610" s="141" t="s">
        <v>3622</v>
      </c>
      <c r="H610" s="142" t="s">
        <v>267</v>
      </c>
      <c r="I610" s="141" t="s">
        <v>118</v>
      </c>
      <c r="J610" s="142"/>
      <c r="K610" s="142" t="s">
        <v>266</v>
      </c>
      <c r="L610" s="273"/>
      <c r="M610"/>
      <c r="N610"/>
    </row>
    <row r="611" spans="1:14" s="116" customFormat="1" ht="75">
      <c r="A611" s="119" t="s">
        <v>3527</v>
      </c>
      <c r="B611" s="141" t="s">
        <v>120</v>
      </c>
      <c r="C611" s="280"/>
      <c r="D611" s="142" t="s">
        <v>93</v>
      </c>
      <c r="E611" s="278"/>
      <c r="F611" s="141" t="s">
        <v>1136</v>
      </c>
      <c r="G611" s="141" t="s">
        <v>3623</v>
      </c>
      <c r="H611" s="142" t="s">
        <v>267</v>
      </c>
      <c r="I611" s="141" t="s">
        <v>120</v>
      </c>
      <c r="J611" s="142"/>
      <c r="K611" s="142" t="s">
        <v>266</v>
      </c>
      <c r="L611" s="273"/>
      <c r="M611"/>
      <c r="N611"/>
    </row>
    <row r="612" spans="1:14">
      <c r="A612" s="123" t="s">
        <v>320</v>
      </c>
      <c r="B612" s="141" t="s">
        <v>207</v>
      </c>
      <c r="C612" s="142" t="s">
        <v>3624</v>
      </c>
      <c r="D612" s="142" t="s">
        <v>93</v>
      </c>
      <c r="E612" s="274"/>
      <c r="F612" s="141" t="s">
        <v>1136</v>
      </c>
      <c r="G612" s="141" t="s">
        <v>3625</v>
      </c>
      <c r="H612" s="141" t="s">
        <v>3306</v>
      </c>
      <c r="I612" s="141" t="s">
        <v>3625</v>
      </c>
      <c r="J612" s="142"/>
      <c r="K612" s="142" t="s">
        <v>266</v>
      </c>
      <c r="L612" s="273"/>
      <c r="M612"/>
      <c r="N612"/>
    </row>
    <row r="613" spans="1:14" ht="25">
      <c r="A613" s="123"/>
      <c r="B613" s="141" t="s">
        <v>3626</v>
      </c>
      <c r="C613" s="142" t="s">
        <v>3627</v>
      </c>
      <c r="D613" s="142" t="s">
        <v>279</v>
      </c>
      <c r="E613" s="274">
        <v>0</v>
      </c>
      <c r="F613" s="141" t="s">
        <v>1136</v>
      </c>
      <c r="G613" s="141" t="s">
        <v>3628</v>
      </c>
      <c r="H613" s="187" t="s">
        <v>3306</v>
      </c>
      <c r="I613" s="141" t="s">
        <v>3628</v>
      </c>
      <c r="J613" s="142"/>
      <c r="K613" s="142" t="s">
        <v>266</v>
      </c>
      <c r="L613" s="273"/>
      <c r="M613"/>
      <c r="N613"/>
    </row>
    <row r="614" spans="1:14" ht="25">
      <c r="A614" s="123"/>
      <c r="B614" s="141" t="s">
        <v>3629</v>
      </c>
      <c r="C614" s="142" t="s">
        <v>3627</v>
      </c>
      <c r="D614" s="142" t="s">
        <v>279</v>
      </c>
      <c r="E614" s="274">
        <v>0</v>
      </c>
      <c r="F614" s="141" t="s">
        <v>1136</v>
      </c>
      <c r="G614" s="141" t="s">
        <v>3630</v>
      </c>
      <c r="H614" s="187" t="s">
        <v>3306</v>
      </c>
      <c r="I614" s="141" t="s">
        <v>3630</v>
      </c>
      <c r="J614" s="142"/>
      <c r="K614" s="142" t="s">
        <v>266</v>
      </c>
      <c r="L614" s="273"/>
      <c r="M614"/>
      <c r="N614"/>
    </row>
    <row r="615" spans="1:14" ht="25">
      <c r="A615" s="123"/>
      <c r="B615" s="141" t="s">
        <v>3631</v>
      </c>
      <c r="C615" s="142" t="s">
        <v>3627</v>
      </c>
      <c r="D615" s="142" t="s">
        <v>279</v>
      </c>
      <c r="E615" s="274">
        <v>0</v>
      </c>
      <c r="F615" s="141" t="s">
        <v>1136</v>
      </c>
      <c r="G615" s="141" t="s">
        <v>3632</v>
      </c>
      <c r="H615" s="187" t="s">
        <v>3306</v>
      </c>
      <c r="I615" s="141" t="s">
        <v>3632</v>
      </c>
      <c r="J615" s="142"/>
      <c r="K615" s="142" t="s">
        <v>266</v>
      </c>
      <c r="L615" s="273"/>
      <c r="M615"/>
      <c r="N615"/>
    </row>
    <row r="616" spans="1:14" ht="25">
      <c r="A616" s="123"/>
      <c r="B616" s="141" t="s">
        <v>3633</v>
      </c>
      <c r="C616" s="142" t="s">
        <v>3627</v>
      </c>
      <c r="D616" s="142" t="s">
        <v>279</v>
      </c>
      <c r="E616" s="274">
        <v>0</v>
      </c>
      <c r="F616" s="141" t="s">
        <v>1136</v>
      </c>
      <c r="G616" s="141" t="s">
        <v>3634</v>
      </c>
      <c r="H616" s="187" t="s">
        <v>3306</v>
      </c>
      <c r="I616" s="141" t="s">
        <v>3634</v>
      </c>
      <c r="J616" s="142"/>
      <c r="K616" s="142" t="s">
        <v>266</v>
      </c>
      <c r="L616" s="273"/>
      <c r="M616"/>
      <c r="N616"/>
    </row>
    <row r="617" spans="1:14">
      <c r="A617" s="123"/>
      <c r="B617" s="141" t="s">
        <v>3635</v>
      </c>
      <c r="C617" s="142" t="s">
        <v>3627</v>
      </c>
      <c r="D617" s="142" t="s">
        <v>279</v>
      </c>
      <c r="E617" s="274">
        <v>0</v>
      </c>
      <c r="F617" s="141" t="s">
        <v>1136</v>
      </c>
      <c r="G617" s="141" t="s">
        <v>3636</v>
      </c>
      <c r="H617" s="187" t="s">
        <v>3306</v>
      </c>
      <c r="I617" s="141" t="s">
        <v>3636</v>
      </c>
      <c r="J617" s="142"/>
      <c r="K617" s="142" t="s">
        <v>266</v>
      </c>
      <c r="L617" s="273"/>
      <c r="M617"/>
      <c r="N617"/>
    </row>
    <row r="618" spans="1:14" ht="25">
      <c r="A618" s="123"/>
      <c r="B618" s="141" t="s">
        <v>3637</v>
      </c>
      <c r="C618" s="142" t="s">
        <v>3627</v>
      </c>
      <c r="D618" s="142" t="s">
        <v>279</v>
      </c>
      <c r="E618" s="274">
        <v>0</v>
      </c>
      <c r="F618" s="141" t="s">
        <v>1136</v>
      </c>
      <c r="G618" s="141" t="s">
        <v>3638</v>
      </c>
      <c r="H618" s="187" t="s">
        <v>3306</v>
      </c>
      <c r="I618" s="141" t="s">
        <v>3638</v>
      </c>
      <c r="J618" s="142"/>
      <c r="K618" s="142" t="s">
        <v>266</v>
      </c>
      <c r="L618" s="273"/>
      <c r="M618"/>
      <c r="N618"/>
    </row>
    <row r="619" spans="1:14" ht="25">
      <c r="A619" s="123"/>
      <c r="B619" s="141" t="s">
        <v>3639</v>
      </c>
      <c r="C619" s="142" t="s">
        <v>3627</v>
      </c>
      <c r="D619" s="142" t="s">
        <v>279</v>
      </c>
      <c r="E619" s="274">
        <v>0</v>
      </c>
      <c r="F619" s="141" t="s">
        <v>1136</v>
      </c>
      <c r="G619" s="141" t="s">
        <v>3640</v>
      </c>
      <c r="H619" s="187" t="s">
        <v>3306</v>
      </c>
      <c r="I619" s="141" t="s">
        <v>3640</v>
      </c>
      <c r="J619" s="142"/>
      <c r="K619" s="142" t="s">
        <v>266</v>
      </c>
      <c r="L619" s="273"/>
      <c r="M619"/>
      <c r="N619"/>
    </row>
    <row r="620" spans="1:14">
      <c r="A620" s="123"/>
      <c r="B620" s="141" t="s">
        <v>3641</v>
      </c>
      <c r="C620" s="142" t="s">
        <v>3627</v>
      </c>
      <c r="D620" s="142" t="s">
        <v>279</v>
      </c>
      <c r="E620" s="274">
        <v>0</v>
      </c>
      <c r="F620" s="141" t="s">
        <v>1136</v>
      </c>
      <c r="G620" s="141" t="s">
        <v>3642</v>
      </c>
      <c r="H620" s="187" t="s">
        <v>3306</v>
      </c>
      <c r="I620" s="141" t="s">
        <v>3642</v>
      </c>
      <c r="J620" s="142"/>
      <c r="K620" s="142" t="s">
        <v>266</v>
      </c>
      <c r="L620" s="273"/>
      <c r="M620"/>
      <c r="N620"/>
    </row>
    <row r="621" spans="1:14" ht="25">
      <c r="A621" s="123"/>
      <c r="B621" s="141" t="s">
        <v>3643</v>
      </c>
      <c r="C621" s="142" t="s">
        <v>3627</v>
      </c>
      <c r="D621" s="142" t="s">
        <v>279</v>
      </c>
      <c r="E621" s="274">
        <v>0</v>
      </c>
      <c r="F621" s="141" t="s">
        <v>1136</v>
      </c>
      <c r="G621" s="141" t="s">
        <v>3644</v>
      </c>
      <c r="H621" s="187" t="s">
        <v>3306</v>
      </c>
      <c r="I621" s="141" t="s">
        <v>3644</v>
      </c>
      <c r="J621" s="142"/>
      <c r="K621" s="142" t="s">
        <v>266</v>
      </c>
      <c r="L621" s="273"/>
      <c r="M621"/>
      <c r="N621"/>
    </row>
    <row r="622" spans="1:14" ht="25">
      <c r="A622" s="123"/>
      <c r="B622" s="141" t="s">
        <v>3645</v>
      </c>
      <c r="C622" s="142" t="s">
        <v>3627</v>
      </c>
      <c r="D622" s="142" t="s">
        <v>279</v>
      </c>
      <c r="E622" s="274">
        <v>0</v>
      </c>
      <c r="F622" s="141" t="s">
        <v>1136</v>
      </c>
      <c r="G622" s="141" t="s">
        <v>3646</v>
      </c>
      <c r="H622" s="187" t="s">
        <v>3306</v>
      </c>
      <c r="I622" s="141" t="s">
        <v>3646</v>
      </c>
      <c r="J622" s="142"/>
      <c r="K622" s="142" t="s">
        <v>266</v>
      </c>
      <c r="L622" s="273"/>
      <c r="M622"/>
      <c r="N622"/>
    </row>
    <row r="623" spans="1:14" ht="25">
      <c r="A623" s="123"/>
      <c r="B623" s="141" t="s">
        <v>3647</v>
      </c>
      <c r="C623" s="142" t="s">
        <v>3627</v>
      </c>
      <c r="D623" s="142" t="s">
        <v>279</v>
      </c>
      <c r="E623" s="274">
        <v>0</v>
      </c>
      <c r="F623" s="141" t="s">
        <v>1136</v>
      </c>
      <c r="G623" s="141" t="s">
        <v>3648</v>
      </c>
      <c r="H623" s="187" t="s">
        <v>3306</v>
      </c>
      <c r="I623" s="141" t="s">
        <v>3648</v>
      </c>
      <c r="J623" s="142"/>
      <c r="K623" s="142" t="s">
        <v>266</v>
      </c>
      <c r="L623" s="273"/>
      <c r="M623"/>
      <c r="N623"/>
    </row>
    <row r="624" spans="1:14" ht="25">
      <c r="A624" s="123"/>
      <c r="B624" s="141" t="s">
        <v>3649</v>
      </c>
      <c r="C624" s="142" t="s">
        <v>3627</v>
      </c>
      <c r="D624" s="142" t="s">
        <v>279</v>
      </c>
      <c r="E624" s="274">
        <v>0</v>
      </c>
      <c r="F624" s="141" t="s">
        <v>1136</v>
      </c>
      <c r="G624" s="141" t="s">
        <v>3650</v>
      </c>
      <c r="H624" s="187" t="s">
        <v>3306</v>
      </c>
      <c r="I624" s="141" t="s">
        <v>3650</v>
      </c>
      <c r="J624" s="142"/>
      <c r="K624" s="142" t="s">
        <v>266</v>
      </c>
      <c r="L624" s="273"/>
      <c r="M624"/>
      <c r="N624"/>
    </row>
    <row r="625" spans="1:14">
      <c r="A625" s="123"/>
      <c r="B625" s="215"/>
      <c r="C625" s="216"/>
      <c r="D625" s="216"/>
      <c r="E625" s="281"/>
      <c r="F625" s="215"/>
      <c r="G625" s="215"/>
      <c r="H625" s="215"/>
      <c r="I625" s="187" t="s">
        <v>3651</v>
      </c>
      <c r="J625" s="216"/>
      <c r="K625" s="215" t="s">
        <v>266</v>
      </c>
      <c r="L625" s="273"/>
      <c r="M625"/>
      <c r="N625"/>
    </row>
    <row r="626" spans="1:14" ht="75">
      <c r="A626" s="119" t="s">
        <v>3527</v>
      </c>
      <c r="B626" s="141" t="s">
        <v>675</v>
      </c>
      <c r="C626" s="142" t="s">
        <v>1293</v>
      </c>
      <c r="D626" s="142" t="s">
        <v>93</v>
      </c>
      <c r="E626" s="274"/>
      <c r="F626" s="141" t="s">
        <v>1136</v>
      </c>
      <c r="G626" s="141" t="s">
        <v>157</v>
      </c>
      <c r="H626" s="187" t="s">
        <v>1293</v>
      </c>
      <c r="I626" s="187" t="s">
        <v>3652</v>
      </c>
      <c r="J626" s="142"/>
      <c r="K626" s="142" t="s">
        <v>266</v>
      </c>
      <c r="L626" s="273"/>
      <c r="M626"/>
      <c r="N626"/>
    </row>
    <row r="627" spans="1:14" ht="75">
      <c r="A627" s="119" t="s">
        <v>3527</v>
      </c>
      <c r="B627" s="141" t="s">
        <v>165</v>
      </c>
      <c r="C627" s="142" t="s">
        <v>1293</v>
      </c>
      <c r="D627" s="142" t="s">
        <v>93</v>
      </c>
      <c r="E627" s="274"/>
      <c r="F627" s="141" t="s">
        <v>1136</v>
      </c>
      <c r="G627" s="141" t="s">
        <v>165</v>
      </c>
      <c r="H627" s="187" t="s">
        <v>1293</v>
      </c>
      <c r="I627" s="187" t="s">
        <v>3653</v>
      </c>
      <c r="J627" s="142"/>
      <c r="K627" s="142" t="s">
        <v>266</v>
      </c>
      <c r="L627" s="273"/>
      <c r="M627"/>
      <c r="N627"/>
    </row>
    <row r="628" spans="1:14" ht="75">
      <c r="A628" s="119" t="s">
        <v>3527</v>
      </c>
      <c r="B628" s="141" t="s">
        <v>3654</v>
      </c>
      <c r="C628" s="142" t="s">
        <v>3627</v>
      </c>
      <c r="D628" s="142" t="s">
        <v>263</v>
      </c>
      <c r="E628" s="274" t="s">
        <v>3655</v>
      </c>
      <c r="F628" s="141" t="s">
        <v>1136</v>
      </c>
      <c r="G628" s="141" t="s">
        <v>3656</v>
      </c>
      <c r="H628" s="187" t="s">
        <v>3306</v>
      </c>
      <c r="I628" s="187" t="s">
        <v>3657</v>
      </c>
      <c r="J628" s="142"/>
      <c r="K628" s="142" t="s">
        <v>266</v>
      </c>
      <c r="L628" s="273"/>
      <c r="M628"/>
      <c r="N628"/>
    </row>
    <row r="629" spans="1:14" ht="75">
      <c r="A629" s="119" t="s">
        <v>3527</v>
      </c>
      <c r="B629" s="187" t="s">
        <v>217</v>
      </c>
      <c r="C629" s="193" t="s">
        <v>3627</v>
      </c>
      <c r="D629" s="193" t="s">
        <v>93</v>
      </c>
      <c r="E629" s="124" t="s">
        <v>217</v>
      </c>
      <c r="F629" s="187" t="s">
        <v>1136</v>
      </c>
      <c r="G629" s="187" t="s">
        <v>3658</v>
      </c>
      <c r="H629" s="187" t="s">
        <v>3306</v>
      </c>
      <c r="I629" s="187" t="s">
        <v>3659</v>
      </c>
      <c r="J629" s="193"/>
      <c r="K629" s="142" t="s">
        <v>266</v>
      </c>
      <c r="L629" s="273"/>
      <c r="M629"/>
      <c r="N629"/>
    </row>
    <row r="630" spans="1:14" ht="75">
      <c r="A630" s="119" t="s">
        <v>3527</v>
      </c>
      <c r="B630" s="187" t="s">
        <v>218</v>
      </c>
      <c r="C630" s="193" t="s">
        <v>3627</v>
      </c>
      <c r="D630" s="193" t="s">
        <v>93</v>
      </c>
      <c r="E630" s="124" t="s">
        <v>218</v>
      </c>
      <c r="F630" s="187" t="s">
        <v>1136</v>
      </c>
      <c r="G630" s="187" t="s">
        <v>3660</v>
      </c>
      <c r="H630" s="187" t="s">
        <v>3306</v>
      </c>
      <c r="I630" s="187" t="s">
        <v>3661</v>
      </c>
      <c r="J630" s="193"/>
      <c r="K630" s="142" t="s">
        <v>266</v>
      </c>
      <c r="L630" s="273"/>
      <c r="M630"/>
      <c r="N630"/>
    </row>
    <row r="631" spans="1:14" ht="75">
      <c r="A631" s="119" t="s">
        <v>3527</v>
      </c>
      <c r="B631" s="141" t="s">
        <v>3662</v>
      </c>
      <c r="C631" s="142" t="s">
        <v>3627</v>
      </c>
      <c r="D631" s="142" t="s">
        <v>263</v>
      </c>
      <c r="E631" s="274" t="s">
        <v>3663</v>
      </c>
      <c r="F631" s="141" t="s">
        <v>1136</v>
      </c>
      <c r="G631" s="141" t="s">
        <v>3664</v>
      </c>
      <c r="H631" s="187" t="s">
        <v>3306</v>
      </c>
      <c r="I631" s="187" t="s">
        <v>3665</v>
      </c>
      <c r="J631" s="142"/>
      <c r="K631" s="142" t="s">
        <v>266</v>
      </c>
      <c r="L631" s="273"/>
      <c r="M631"/>
      <c r="N631"/>
    </row>
    <row r="632" spans="1:14" ht="75">
      <c r="A632" s="119" t="s">
        <v>3527</v>
      </c>
      <c r="B632" s="187" t="s">
        <v>3666</v>
      </c>
      <c r="C632" s="193" t="s">
        <v>3627</v>
      </c>
      <c r="D632" s="193" t="s">
        <v>93</v>
      </c>
      <c r="E632" s="111" t="s">
        <v>3666</v>
      </c>
      <c r="F632" s="187" t="s">
        <v>1136</v>
      </c>
      <c r="G632" s="187" t="s">
        <v>3667</v>
      </c>
      <c r="H632" s="187" t="s">
        <v>3306</v>
      </c>
      <c r="I632" s="187" t="s">
        <v>3668</v>
      </c>
      <c r="J632" s="193"/>
      <c r="K632" s="142" t="s">
        <v>266</v>
      </c>
      <c r="L632" s="273"/>
      <c r="M632"/>
      <c r="N632"/>
    </row>
    <row r="633" spans="1:14" ht="75">
      <c r="A633" s="119" t="s">
        <v>3527</v>
      </c>
      <c r="B633" s="187" t="s">
        <v>332</v>
      </c>
      <c r="C633" s="193" t="s">
        <v>3627</v>
      </c>
      <c r="D633" s="193" t="s">
        <v>93</v>
      </c>
      <c r="E633" s="111" t="s">
        <v>332</v>
      </c>
      <c r="F633" s="187" t="s">
        <v>1136</v>
      </c>
      <c r="G633" s="187" t="s">
        <v>3669</v>
      </c>
      <c r="H633" s="187" t="s">
        <v>3306</v>
      </c>
      <c r="I633" s="187" t="s">
        <v>3670</v>
      </c>
      <c r="J633" s="193"/>
      <c r="K633" s="142" t="s">
        <v>266</v>
      </c>
      <c r="L633" s="273"/>
      <c r="M633"/>
      <c r="N633"/>
    </row>
    <row r="634" spans="1:14" ht="75">
      <c r="A634" s="119" t="s">
        <v>3527</v>
      </c>
      <c r="B634" s="187" t="s">
        <v>331</v>
      </c>
      <c r="C634" s="193" t="s">
        <v>3627</v>
      </c>
      <c r="D634" s="193" t="s">
        <v>93</v>
      </c>
      <c r="E634" s="111" t="s">
        <v>331</v>
      </c>
      <c r="F634" s="187" t="s">
        <v>1136</v>
      </c>
      <c r="G634" s="187" t="s">
        <v>3671</v>
      </c>
      <c r="H634" s="187" t="s">
        <v>3306</v>
      </c>
      <c r="I634" s="187" t="s">
        <v>3672</v>
      </c>
      <c r="J634" s="193"/>
      <c r="K634" s="142" t="s">
        <v>266</v>
      </c>
      <c r="L634" s="273"/>
      <c r="M634"/>
      <c r="N634"/>
    </row>
    <row r="635" spans="1:14" ht="75">
      <c r="A635" s="119" t="s">
        <v>3527</v>
      </c>
      <c r="B635" s="187" t="s">
        <v>3673</v>
      </c>
      <c r="C635" s="193" t="s">
        <v>3627</v>
      </c>
      <c r="D635" s="193" t="s">
        <v>263</v>
      </c>
      <c r="E635" s="111" t="s">
        <v>3674</v>
      </c>
      <c r="F635" s="187" t="s">
        <v>1136</v>
      </c>
      <c r="G635" s="187" t="s">
        <v>3675</v>
      </c>
      <c r="H635" s="187" t="s">
        <v>3306</v>
      </c>
      <c r="I635" s="187" t="s">
        <v>3676</v>
      </c>
      <c r="J635" s="193"/>
      <c r="K635" s="142" t="s">
        <v>266</v>
      </c>
      <c r="L635" s="273"/>
      <c r="M635"/>
      <c r="N635"/>
    </row>
    <row r="636" spans="1:14" ht="75">
      <c r="A636" s="119" t="s">
        <v>3527</v>
      </c>
      <c r="B636" s="187" t="s">
        <v>334</v>
      </c>
      <c r="C636" s="193" t="s">
        <v>3627</v>
      </c>
      <c r="D636" s="193" t="s">
        <v>93</v>
      </c>
      <c r="E636" s="124" t="s">
        <v>334</v>
      </c>
      <c r="F636" s="187" t="s">
        <v>1136</v>
      </c>
      <c r="G636" s="187" t="s">
        <v>3677</v>
      </c>
      <c r="H636" s="187" t="s">
        <v>3306</v>
      </c>
      <c r="I636" s="187" t="s">
        <v>3678</v>
      </c>
      <c r="J636" s="193"/>
      <c r="K636" s="142" t="s">
        <v>266</v>
      </c>
      <c r="L636" s="273"/>
      <c r="M636"/>
      <c r="N636"/>
    </row>
    <row r="637" spans="1:14" ht="75">
      <c r="A637" s="119" t="s">
        <v>3527</v>
      </c>
      <c r="B637" s="187" t="s">
        <v>335</v>
      </c>
      <c r="C637" s="193" t="s">
        <v>3627</v>
      </c>
      <c r="D637" s="193" t="s">
        <v>93</v>
      </c>
      <c r="E637" s="124" t="s">
        <v>335</v>
      </c>
      <c r="F637" s="187" t="s">
        <v>1136</v>
      </c>
      <c r="G637" s="187" t="s">
        <v>3679</v>
      </c>
      <c r="H637" s="187" t="s">
        <v>3306</v>
      </c>
      <c r="I637" s="187" t="s">
        <v>3680</v>
      </c>
      <c r="J637" s="193"/>
      <c r="K637" s="142" t="s">
        <v>266</v>
      </c>
      <c r="L637" s="273"/>
      <c r="M637"/>
      <c r="N637"/>
    </row>
    <row r="638" spans="1:14" ht="75">
      <c r="A638" s="119" t="s">
        <v>3527</v>
      </c>
      <c r="B638" s="187" t="s">
        <v>336</v>
      </c>
      <c r="C638" s="193" t="s">
        <v>3627</v>
      </c>
      <c r="D638" s="193" t="s">
        <v>93</v>
      </c>
      <c r="E638" s="124" t="s">
        <v>336</v>
      </c>
      <c r="F638" s="187" t="s">
        <v>1136</v>
      </c>
      <c r="G638" s="187" t="s">
        <v>3681</v>
      </c>
      <c r="H638" s="187" t="s">
        <v>3306</v>
      </c>
      <c r="I638" s="187" t="s">
        <v>3682</v>
      </c>
      <c r="J638" s="193"/>
      <c r="K638" s="142" t="s">
        <v>266</v>
      </c>
      <c r="L638" s="273"/>
      <c r="M638"/>
      <c r="N638"/>
    </row>
    <row r="639" spans="1:14" ht="75">
      <c r="A639" s="119" t="s">
        <v>3527</v>
      </c>
      <c r="B639" s="187"/>
      <c r="C639" s="193" t="s">
        <v>3627</v>
      </c>
      <c r="D639" s="193" t="s">
        <v>263</v>
      </c>
      <c r="E639" s="111" t="s">
        <v>3683</v>
      </c>
      <c r="F639" s="187" t="s">
        <v>1136</v>
      </c>
      <c r="G639" s="187" t="s">
        <v>3684</v>
      </c>
      <c r="H639" s="187" t="s">
        <v>3306</v>
      </c>
      <c r="I639" s="187" t="s">
        <v>3685</v>
      </c>
      <c r="J639" s="193"/>
      <c r="K639" s="142" t="s">
        <v>266</v>
      </c>
      <c r="L639" s="273"/>
      <c r="M639"/>
      <c r="N639"/>
    </row>
    <row r="640" spans="1:14" ht="75">
      <c r="A640" s="119" t="s">
        <v>3527</v>
      </c>
      <c r="B640" s="187" t="s">
        <v>229</v>
      </c>
      <c r="C640" s="193" t="s">
        <v>3627</v>
      </c>
      <c r="D640" s="193" t="s">
        <v>93</v>
      </c>
      <c r="E640" s="111"/>
      <c r="F640" s="187" t="s">
        <v>1136</v>
      </c>
      <c r="G640" s="187" t="s">
        <v>3686</v>
      </c>
      <c r="H640" s="187" t="s">
        <v>3306</v>
      </c>
      <c r="I640" s="187" t="s">
        <v>3687</v>
      </c>
      <c r="J640" s="193"/>
      <c r="K640" s="142" t="s">
        <v>266</v>
      </c>
      <c r="L640" s="273"/>
      <c r="M640"/>
      <c r="N640"/>
    </row>
    <row r="641" spans="1:14" ht="75">
      <c r="A641" s="119" t="s">
        <v>3527</v>
      </c>
      <c r="B641" s="187" t="s">
        <v>230</v>
      </c>
      <c r="C641" s="193" t="s">
        <v>3627</v>
      </c>
      <c r="D641" s="193" t="s">
        <v>93</v>
      </c>
      <c r="E641" s="111"/>
      <c r="F641" s="187" t="s">
        <v>1136</v>
      </c>
      <c r="G641" s="187" t="s">
        <v>3688</v>
      </c>
      <c r="H641" s="187" t="s">
        <v>3306</v>
      </c>
      <c r="I641" s="187" t="s">
        <v>3689</v>
      </c>
      <c r="J641" s="193"/>
      <c r="K641" s="142" t="s">
        <v>266</v>
      </c>
      <c r="L641" s="273"/>
      <c r="M641"/>
      <c r="N641"/>
    </row>
    <row r="642" spans="1:14" ht="75">
      <c r="A642" s="119" t="s">
        <v>3527</v>
      </c>
      <c r="B642" s="187" t="s">
        <v>231</v>
      </c>
      <c r="C642" s="193" t="s">
        <v>3627</v>
      </c>
      <c r="D642" s="193" t="s">
        <v>93</v>
      </c>
      <c r="E642" s="111"/>
      <c r="F642" s="187" t="s">
        <v>1136</v>
      </c>
      <c r="G642" s="187" t="s">
        <v>3690</v>
      </c>
      <c r="H642" s="187" t="s">
        <v>3306</v>
      </c>
      <c r="I642" s="187" t="s">
        <v>3691</v>
      </c>
      <c r="J642" s="193"/>
      <c r="K642" s="142" t="s">
        <v>266</v>
      </c>
      <c r="L642" s="273"/>
      <c r="M642"/>
      <c r="N642"/>
    </row>
    <row r="643" spans="1:14" ht="75">
      <c r="A643" s="119" t="s">
        <v>3527</v>
      </c>
      <c r="B643" s="187" t="s">
        <v>232</v>
      </c>
      <c r="C643" s="193" t="s">
        <v>3627</v>
      </c>
      <c r="D643" s="193" t="s">
        <v>93</v>
      </c>
      <c r="E643" s="111"/>
      <c r="F643" s="187" t="s">
        <v>1136</v>
      </c>
      <c r="G643" s="187" t="s">
        <v>3692</v>
      </c>
      <c r="H643" s="187" t="s">
        <v>3306</v>
      </c>
      <c r="I643" s="187" t="s">
        <v>3693</v>
      </c>
      <c r="J643" s="193"/>
      <c r="K643" s="142" t="s">
        <v>266</v>
      </c>
      <c r="L643" s="273"/>
      <c r="M643"/>
      <c r="N643"/>
    </row>
    <row r="644" spans="1:14" ht="75">
      <c r="A644" s="119" t="s">
        <v>3527</v>
      </c>
      <c r="B644" s="141" t="s">
        <v>250</v>
      </c>
      <c r="C644" s="142" t="s">
        <v>3627</v>
      </c>
      <c r="D644" s="142" t="s">
        <v>93</v>
      </c>
      <c r="E644" s="274"/>
      <c r="F644" s="141" t="s">
        <v>1136</v>
      </c>
      <c r="G644" s="141" t="s">
        <v>3694</v>
      </c>
      <c r="H644" s="187" t="s">
        <v>3306</v>
      </c>
      <c r="I644" s="187" t="s">
        <v>3695</v>
      </c>
      <c r="J644" s="142"/>
      <c r="K644" s="142" t="s">
        <v>266</v>
      </c>
      <c r="L644" s="273"/>
      <c r="M644"/>
      <c r="N644"/>
    </row>
    <row r="645" spans="1:14" ht="75">
      <c r="A645" s="119" t="s">
        <v>3527</v>
      </c>
      <c r="B645" s="141" t="s">
        <v>256</v>
      </c>
      <c r="C645" s="142" t="s">
        <v>3627</v>
      </c>
      <c r="D645" s="142" t="s">
        <v>93</v>
      </c>
      <c r="E645" s="274"/>
      <c r="F645" s="141" t="s">
        <v>1136</v>
      </c>
      <c r="G645" s="141" t="s">
        <v>3696</v>
      </c>
      <c r="H645" s="187" t="s">
        <v>3306</v>
      </c>
      <c r="I645" s="187" t="s">
        <v>3697</v>
      </c>
      <c r="J645" s="142"/>
      <c r="K645" s="142" t="s">
        <v>266</v>
      </c>
      <c r="L645" s="273"/>
      <c r="M645"/>
      <c r="N645"/>
    </row>
    <row r="646" spans="1:14" ht="75">
      <c r="A646" s="119" t="s">
        <v>3527</v>
      </c>
      <c r="B646" s="141" t="s">
        <v>228</v>
      </c>
      <c r="C646" s="142" t="s">
        <v>3627</v>
      </c>
      <c r="D646" s="142" t="s">
        <v>93</v>
      </c>
      <c r="E646" s="274"/>
      <c r="F646" s="141" t="s">
        <v>1136</v>
      </c>
      <c r="G646" s="141" t="s">
        <v>3698</v>
      </c>
      <c r="H646" s="187" t="s">
        <v>3306</v>
      </c>
      <c r="I646" s="187" t="s">
        <v>3699</v>
      </c>
      <c r="J646" s="142"/>
      <c r="K646" s="142" t="s">
        <v>266</v>
      </c>
      <c r="L646" s="273"/>
      <c r="M646"/>
      <c r="N646"/>
    </row>
    <row r="647" spans="1:14" ht="25">
      <c r="A647" s="124"/>
      <c r="B647" s="141" t="s">
        <v>3700</v>
      </c>
      <c r="C647" s="142" t="s">
        <v>3627</v>
      </c>
      <c r="D647" s="142" t="s">
        <v>279</v>
      </c>
      <c r="E647" s="274">
        <v>0</v>
      </c>
      <c r="F647" s="141" t="s">
        <v>1136</v>
      </c>
      <c r="G647" s="141" t="s">
        <v>3701</v>
      </c>
      <c r="H647" s="187" t="s">
        <v>3306</v>
      </c>
      <c r="I647" s="187" t="s">
        <v>3702</v>
      </c>
      <c r="J647" s="142"/>
      <c r="K647" s="142" t="s">
        <v>266</v>
      </c>
      <c r="L647" s="273"/>
      <c r="M647"/>
      <c r="N647"/>
    </row>
    <row r="648" spans="1:14" ht="25">
      <c r="A648" s="124"/>
      <c r="B648" s="141" t="s">
        <v>3703</v>
      </c>
      <c r="C648" s="142" t="s">
        <v>3627</v>
      </c>
      <c r="D648" s="142" t="s">
        <v>279</v>
      </c>
      <c r="E648" s="274">
        <v>0</v>
      </c>
      <c r="F648" s="141" t="s">
        <v>1136</v>
      </c>
      <c r="G648" s="141" t="s">
        <v>3704</v>
      </c>
      <c r="H648" s="187" t="s">
        <v>3306</v>
      </c>
      <c r="I648" s="187" t="s">
        <v>3705</v>
      </c>
      <c r="J648" s="142"/>
      <c r="K648" s="142" t="s">
        <v>266</v>
      </c>
      <c r="L648" s="273"/>
      <c r="M648"/>
      <c r="N648"/>
    </row>
    <row r="649" spans="1:14" ht="25">
      <c r="A649" s="124"/>
      <c r="B649" s="141" t="s">
        <v>3706</v>
      </c>
      <c r="C649" s="142" t="s">
        <v>3627</v>
      </c>
      <c r="D649" s="142" t="s">
        <v>279</v>
      </c>
      <c r="E649" s="274">
        <v>0</v>
      </c>
      <c r="F649" s="141" t="s">
        <v>1136</v>
      </c>
      <c r="G649" s="141" t="s">
        <v>3707</v>
      </c>
      <c r="H649" s="187" t="s">
        <v>3306</v>
      </c>
      <c r="I649" s="187" t="s">
        <v>3708</v>
      </c>
      <c r="J649" s="142"/>
      <c r="K649" s="142" t="s">
        <v>266</v>
      </c>
      <c r="L649" s="273"/>
      <c r="M649"/>
      <c r="N649"/>
    </row>
    <row r="650" spans="1:14" ht="25">
      <c r="A650" s="124"/>
      <c r="B650" s="141" t="s">
        <v>3709</v>
      </c>
      <c r="C650" s="142" t="s">
        <v>3627</v>
      </c>
      <c r="D650" s="142" t="s">
        <v>279</v>
      </c>
      <c r="E650" s="274">
        <v>0</v>
      </c>
      <c r="F650" s="141" t="s">
        <v>1136</v>
      </c>
      <c r="G650" s="141" t="s">
        <v>3710</v>
      </c>
      <c r="H650" s="187" t="s">
        <v>3306</v>
      </c>
      <c r="I650" s="187" t="s">
        <v>3711</v>
      </c>
      <c r="J650" s="142"/>
      <c r="K650" s="142" t="s">
        <v>266</v>
      </c>
      <c r="L650" s="273"/>
      <c r="M650"/>
      <c r="N650"/>
    </row>
    <row r="651" spans="1:14" ht="25">
      <c r="A651" s="124"/>
      <c r="B651" s="141" t="s">
        <v>3712</v>
      </c>
      <c r="C651" s="142" t="s">
        <v>3627</v>
      </c>
      <c r="D651" s="142" t="s">
        <v>279</v>
      </c>
      <c r="E651" s="274">
        <v>0</v>
      </c>
      <c r="F651" s="141" t="s">
        <v>1136</v>
      </c>
      <c r="G651" s="141" t="s">
        <v>3713</v>
      </c>
      <c r="H651" s="187" t="s">
        <v>3306</v>
      </c>
      <c r="I651" s="187" t="s">
        <v>3714</v>
      </c>
      <c r="J651" s="142"/>
      <c r="K651" s="142" t="s">
        <v>266</v>
      </c>
      <c r="L651" s="273"/>
      <c r="M651"/>
      <c r="N651"/>
    </row>
    <row r="652" spans="1:14" ht="25">
      <c r="A652" s="124"/>
      <c r="B652" s="141" t="s">
        <v>3715</v>
      </c>
      <c r="C652" s="142" t="s">
        <v>3627</v>
      </c>
      <c r="D652" s="142" t="s">
        <v>279</v>
      </c>
      <c r="E652" s="274">
        <v>0</v>
      </c>
      <c r="F652" s="141" t="s">
        <v>1136</v>
      </c>
      <c r="G652" s="141" t="s">
        <v>3716</v>
      </c>
      <c r="H652" s="187" t="s">
        <v>3306</v>
      </c>
      <c r="I652" s="187" t="s">
        <v>3717</v>
      </c>
      <c r="J652" s="142"/>
      <c r="K652" s="142" t="s">
        <v>266</v>
      </c>
      <c r="L652" s="273"/>
      <c r="M652"/>
      <c r="N652"/>
    </row>
    <row r="653" spans="1:14" ht="25">
      <c r="A653" s="124"/>
      <c r="B653" s="141" t="s">
        <v>3718</v>
      </c>
      <c r="C653" s="142" t="s">
        <v>3627</v>
      </c>
      <c r="D653" s="142" t="s">
        <v>279</v>
      </c>
      <c r="E653" s="274">
        <v>0</v>
      </c>
      <c r="F653" s="141" t="s">
        <v>1136</v>
      </c>
      <c r="G653" s="141" t="s">
        <v>3719</v>
      </c>
      <c r="H653" s="187" t="s">
        <v>3306</v>
      </c>
      <c r="I653" s="187" t="s">
        <v>3720</v>
      </c>
      <c r="J653" s="142"/>
      <c r="K653" s="142" t="s">
        <v>266</v>
      </c>
      <c r="L653" s="273"/>
      <c r="M653"/>
      <c r="N653"/>
    </row>
    <row r="654" spans="1:14" ht="25">
      <c r="A654" s="124"/>
      <c r="B654" s="141" t="s">
        <v>3721</v>
      </c>
      <c r="C654" s="142" t="s">
        <v>3627</v>
      </c>
      <c r="D654" s="142" t="s">
        <v>279</v>
      </c>
      <c r="E654" s="274">
        <v>0</v>
      </c>
      <c r="F654" s="141" t="s">
        <v>1136</v>
      </c>
      <c r="G654" s="141" t="s">
        <v>3722</v>
      </c>
      <c r="H654" s="187" t="s">
        <v>3306</v>
      </c>
      <c r="I654" s="187" t="s">
        <v>3723</v>
      </c>
      <c r="J654" s="142"/>
      <c r="K654" s="142" t="s">
        <v>266</v>
      </c>
      <c r="L654" s="273"/>
      <c r="M654"/>
      <c r="N654"/>
    </row>
    <row r="655" spans="1:14" ht="25">
      <c r="A655" s="124"/>
      <c r="B655" s="141" t="s">
        <v>3724</v>
      </c>
      <c r="C655" s="142" t="s">
        <v>3627</v>
      </c>
      <c r="D655" s="142" t="s">
        <v>279</v>
      </c>
      <c r="E655" s="274">
        <v>0</v>
      </c>
      <c r="F655" s="141" t="s">
        <v>1136</v>
      </c>
      <c r="G655" s="141" t="s">
        <v>3725</v>
      </c>
      <c r="H655" s="187" t="s">
        <v>3306</v>
      </c>
      <c r="I655" s="187" t="s">
        <v>3726</v>
      </c>
      <c r="J655" s="142"/>
      <c r="K655" s="142" t="s">
        <v>266</v>
      </c>
      <c r="L655" s="273"/>
      <c r="M655"/>
      <c r="N655"/>
    </row>
    <row r="656" spans="1:14" ht="25">
      <c r="A656" s="124"/>
      <c r="B656" s="141" t="s">
        <v>3727</v>
      </c>
      <c r="C656" s="142" t="s">
        <v>3627</v>
      </c>
      <c r="D656" s="142" t="s">
        <v>279</v>
      </c>
      <c r="E656" s="274">
        <v>0</v>
      </c>
      <c r="F656" s="141" t="s">
        <v>1136</v>
      </c>
      <c r="G656" s="141" t="s">
        <v>3728</v>
      </c>
      <c r="H656" s="187" t="s">
        <v>3306</v>
      </c>
      <c r="I656" s="187" t="s">
        <v>3729</v>
      </c>
      <c r="J656" s="142"/>
      <c r="K656" s="142" t="s">
        <v>266</v>
      </c>
      <c r="L656" s="273"/>
      <c r="M656"/>
      <c r="N656"/>
    </row>
    <row r="657" spans="1:14" ht="25">
      <c r="A657" s="124"/>
      <c r="B657" s="141" t="s">
        <v>3730</v>
      </c>
      <c r="C657" s="142" t="s">
        <v>3627</v>
      </c>
      <c r="D657" s="142" t="s">
        <v>279</v>
      </c>
      <c r="E657" s="274">
        <v>0</v>
      </c>
      <c r="F657" s="141" t="s">
        <v>1136</v>
      </c>
      <c r="G657" s="141" t="s">
        <v>3731</v>
      </c>
      <c r="H657" s="187" t="s">
        <v>3306</v>
      </c>
      <c r="I657" s="187" t="s">
        <v>3732</v>
      </c>
      <c r="J657" s="142"/>
      <c r="K657" s="142" t="s">
        <v>266</v>
      </c>
      <c r="L657" s="273"/>
      <c r="M657"/>
      <c r="N657"/>
    </row>
    <row r="658" spans="1:14" ht="25">
      <c r="A658" s="124"/>
      <c r="B658" s="141" t="s">
        <v>3733</v>
      </c>
      <c r="C658" s="142" t="s">
        <v>3627</v>
      </c>
      <c r="D658" s="142" t="s">
        <v>279</v>
      </c>
      <c r="E658" s="274">
        <v>0</v>
      </c>
      <c r="F658" s="141" t="s">
        <v>1136</v>
      </c>
      <c r="G658" s="141" t="s">
        <v>3734</v>
      </c>
      <c r="H658" s="187" t="s">
        <v>3306</v>
      </c>
      <c r="I658" s="187" t="s">
        <v>3735</v>
      </c>
      <c r="J658" s="142"/>
      <c r="K658" s="142" t="s">
        <v>266</v>
      </c>
      <c r="L658" s="273"/>
      <c r="M658"/>
      <c r="N658"/>
    </row>
    <row r="659" spans="1:14" ht="75">
      <c r="A659" s="119" t="s">
        <v>3527</v>
      </c>
      <c r="B659" s="141" t="s">
        <v>3736</v>
      </c>
      <c r="C659" s="142" t="s">
        <v>3627</v>
      </c>
      <c r="D659" s="142" t="s">
        <v>263</v>
      </c>
      <c r="E659" s="274" t="s">
        <v>3737</v>
      </c>
      <c r="F659" s="141" t="s">
        <v>1136</v>
      </c>
      <c r="G659" s="141" t="s">
        <v>3738</v>
      </c>
      <c r="H659" s="187" t="s">
        <v>3306</v>
      </c>
      <c r="I659" s="187" t="s">
        <v>3739</v>
      </c>
      <c r="J659" s="142"/>
      <c r="K659" s="142" t="s">
        <v>266</v>
      </c>
      <c r="L659" s="273"/>
      <c r="M659"/>
      <c r="N659"/>
    </row>
    <row r="660" spans="1:14" ht="75">
      <c r="A660" s="119" t="s">
        <v>3527</v>
      </c>
      <c r="B660" s="187" t="s">
        <v>233</v>
      </c>
      <c r="C660" s="193" t="s">
        <v>3627</v>
      </c>
      <c r="D660" s="193" t="s">
        <v>93</v>
      </c>
      <c r="E660" s="124" t="s">
        <v>233</v>
      </c>
      <c r="F660" s="187" t="s">
        <v>1136</v>
      </c>
      <c r="G660" s="187" t="s">
        <v>3740</v>
      </c>
      <c r="H660" s="187" t="s">
        <v>3306</v>
      </c>
      <c r="I660" s="187" t="s">
        <v>3741</v>
      </c>
      <c r="J660" s="193"/>
      <c r="K660" s="142" t="s">
        <v>266</v>
      </c>
      <c r="L660" s="273"/>
      <c r="M660"/>
      <c r="N660"/>
    </row>
    <row r="661" spans="1:14" ht="75">
      <c r="A661" s="119" t="s">
        <v>3527</v>
      </c>
      <c r="B661" s="187" t="s">
        <v>234</v>
      </c>
      <c r="C661" s="193" t="s">
        <v>3627</v>
      </c>
      <c r="D661" s="193" t="s">
        <v>93</v>
      </c>
      <c r="E661" s="124" t="s">
        <v>234</v>
      </c>
      <c r="F661" s="187" t="s">
        <v>1136</v>
      </c>
      <c r="G661" s="187" t="s">
        <v>3742</v>
      </c>
      <c r="H661" s="187" t="s">
        <v>3306</v>
      </c>
      <c r="I661" s="187" t="s">
        <v>3743</v>
      </c>
      <c r="J661" s="193"/>
      <c r="K661" s="142" t="s">
        <v>266</v>
      </c>
      <c r="L661" s="273"/>
      <c r="M661"/>
      <c r="N661"/>
    </row>
    <row r="662" spans="1:14" ht="75">
      <c r="A662" s="119" t="s">
        <v>3527</v>
      </c>
      <c r="B662" s="187" t="s">
        <v>3744</v>
      </c>
      <c r="C662" s="193" t="s">
        <v>3627</v>
      </c>
      <c r="D662" s="193" t="s">
        <v>263</v>
      </c>
      <c r="E662" s="111" t="s">
        <v>3745</v>
      </c>
      <c r="F662" s="187" t="s">
        <v>1136</v>
      </c>
      <c r="G662" s="187" t="s">
        <v>3746</v>
      </c>
      <c r="H662" s="187" t="s">
        <v>3306</v>
      </c>
      <c r="I662" s="187" t="s">
        <v>3747</v>
      </c>
      <c r="J662" s="193"/>
      <c r="K662" s="142" t="s">
        <v>266</v>
      </c>
      <c r="L662" s="273"/>
      <c r="M662"/>
      <c r="N662"/>
    </row>
    <row r="663" spans="1:14" ht="75">
      <c r="A663" s="119" t="s">
        <v>3527</v>
      </c>
      <c r="B663" s="187" t="s">
        <v>340</v>
      </c>
      <c r="C663" s="193" t="s">
        <v>3627</v>
      </c>
      <c r="D663" s="193" t="s">
        <v>93</v>
      </c>
      <c r="E663" s="124" t="s">
        <v>340</v>
      </c>
      <c r="F663" s="187" t="s">
        <v>1136</v>
      </c>
      <c r="G663" s="187" t="s">
        <v>3748</v>
      </c>
      <c r="H663" s="187" t="s">
        <v>3306</v>
      </c>
      <c r="I663" s="187" t="s">
        <v>3749</v>
      </c>
      <c r="J663" s="193"/>
      <c r="K663" s="142" t="s">
        <v>266</v>
      </c>
      <c r="L663" s="273"/>
      <c r="M663"/>
      <c r="N663"/>
    </row>
    <row r="664" spans="1:14" ht="75">
      <c r="A664" s="119" t="s">
        <v>3527</v>
      </c>
      <c r="B664" s="187" t="s">
        <v>343</v>
      </c>
      <c r="C664" s="193" t="s">
        <v>3627</v>
      </c>
      <c r="D664" s="193" t="s">
        <v>93</v>
      </c>
      <c r="E664" s="124" t="s">
        <v>343</v>
      </c>
      <c r="F664" s="187" t="s">
        <v>1136</v>
      </c>
      <c r="G664" s="187" t="s">
        <v>3750</v>
      </c>
      <c r="H664" s="187" t="s">
        <v>3306</v>
      </c>
      <c r="I664" s="187" t="s">
        <v>3751</v>
      </c>
      <c r="J664" s="193"/>
      <c r="K664" s="142" t="s">
        <v>266</v>
      </c>
      <c r="L664" s="273"/>
      <c r="M664"/>
      <c r="N664"/>
    </row>
    <row r="665" spans="1:14" ht="75">
      <c r="A665" s="119" t="s">
        <v>3527</v>
      </c>
      <c r="B665" s="187" t="s">
        <v>342</v>
      </c>
      <c r="C665" s="193" t="s">
        <v>3627</v>
      </c>
      <c r="D665" s="193" t="s">
        <v>93</v>
      </c>
      <c r="E665" s="124" t="s">
        <v>342</v>
      </c>
      <c r="F665" s="187" t="s">
        <v>1136</v>
      </c>
      <c r="G665" s="187" t="s">
        <v>3752</v>
      </c>
      <c r="H665" s="187" t="s">
        <v>3306</v>
      </c>
      <c r="I665" s="187" t="s">
        <v>3753</v>
      </c>
      <c r="J665" s="193"/>
      <c r="K665" s="142" t="s">
        <v>266</v>
      </c>
      <c r="L665" s="273"/>
      <c r="M665"/>
      <c r="N665"/>
    </row>
    <row r="666" spans="1:14" ht="75">
      <c r="A666" s="119" t="s">
        <v>3527</v>
      </c>
      <c r="B666" s="141" t="s">
        <v>3754</v>
      </c>
      <c r="C666" s="142" t="s">
        <v>3627</v>
      </c>
      <c r="D666" s="142" t="s">
        <v>263</v>
      </c>
      <c r="E666" s="274" t="s">
        <v>3755</v>
      </c>
      <c r="F666" s="141" t="s">
        <v>1136</v>
      </c>
      <c r="G666" s="141" t="s">
        <v>3756</v>
      </c>
      <c r="H666" s="187" t="s">
        <v>3306</v>
      </c>
      <c r="I666" s="187" t="s">
        <v>3757</v>
      </c>
      <c r="J666" s="142"/>
      <c r="K666" s="142" t="s">
        <v>266</v>
      </c>
      <c r="L666" s="273"/>
      <c r="M666"/>
      <c r="N666"/>
    </row>
    <row r="667" spans="1:14" ht="75">
      <c r="A667" s="119" t="s">
        <v>3527</v>
      </c>
      <c r="B667" s="187" t="s">
        <v>345</v>
      </c>
      <c r="C667" s="193" t="s">
        <v>3627</v>
      </c>
      <c r="D667" s="193" t="s">
        <v>93</v>
      </c>
      <c r="E667" s="124" t="s">
        <v>345</v>
      </c>
      <c r="F667" s="187" t="s">
        <v>1136</v>
      </c>
      <c r="G667" s="187" t="s">
        <v>3758</v>
      </c>
      <c r="H667" s="187" t="s">
        <v>3306</v>
      </c>
      <c r="I667" s="187" t="s">
        <v>3759</v>
      </c>
      <c r="J667" s="193"/>
      <c r="K667" s="142" t="s">
        <v>266</v>
      </c>
      <c r="L667" s="273"/>
      <c r="M667"/>
      <c r="N667"/>
    </row>
    <row r="668" spans="1:14" ht="75">
      <c r="A668" s="119" t="s">
        <v>3527</v>
      </c>
      <c r="B668" s="187" t="s">
        <v>346</v>
      </c>
      <c r="C668" s="193" t="s">
        <v>3627</v>
      </c>
      <c r="D668" s="193" t="s">
        <v>93</v>
      </c>
      <c r="E668" s="124" t="s">
        <v>346</v>
      </c>
      <c r="F668" s="187" t="s">
        <v>1136</v>
      </c>
      <c r="G668" s="187" t="s">
        <v>3760</v>
      </c>
      <c r="H668" s="187" t="s">
        <v>3306</v>
      </c>
      <c r="I668" s="187" t="s">
        <v>3761</v>
      </c>
      <c r="J668" s="193"/>
      <c r="K668" s="142" t="s">
        <v>266</v>
      </c>
      <c r="L668" s="273"/>
      <c r="M668"/>
      <c r="N668"/>
    </row>
    <row r="669" spans="1:14" ht="75">
      <c r="A669" s="119" t="s">
        <v>3527</v>
      </c>
      <c r="B669" s="187" t="s">
        <v>347</v>
      </c>
      <c r="C669" s="193" t="s">
        <v>3627</v>
      </c>
      <c r="D669" s="193" t="s">
        <v>93</v>
      </c>
      <c r="E669" s="124" t="s">
        <v>347</v>
      </c>
      <c r="F669" s="187" t="s">
        <v>1136</v>
      </c>
      <c r="G669" s="187" t="s">
        <v>3762</v>
      </c>
      <c r="H669" s="187" t="s">
        <v>3306</v>
      </c>
      <c r="I669" s="187" t="s">
        <v>3763</v>
      </c>
      <c r="J669" s="193"/>
      <c r="K669" s="142" t="s">
        <v>266</v>
      </c>
      <c r="L669" s="273"/>
      <c r="M669"/>
      <c r="N669"/>
    </row>
    <row r="670" spans="1:14" ht="75">
      <c r="A670" s="119" t="s">
        <v>3527</v>
      </c>
      <c r="B670" s="187"/>
      <c r="C670" s="193" t="s">
        <v>3627</v>
      </c>
      <c r="D670" s="193" t="s">
        <v>263</v>
      </c>
      <c r="E670" s="111" t="s">
        <v>3764</v>
      </c>
      <c r="F670" s="187" t="s">
        <v>1136</v>
      </c>
      <c r="G670" s="187" t="s">
        <v>3765</v>
      </c>
      <c r="H670" s="187" t="s">
        <v>3306</v>
      </c>
      <c r="I670" s="187" t="s">
        <v>3766</v>
      </c>
      <c r="J670" s="193"/>
      <c r="K670" s="142" t="s">
        <v>266</v>
      </c>
      <c r="L670" s="273"/>
      <c r="M670"/>
      <c r="N670"/>
    </row>
    <row r="671" spans="1:14" ht="75">
      <c r="A671" s="119" t="s">
        <v>3527</v>
      </c>
      <c r="B671" s="141" t="s">
        <v>245</v>
      </c>
      <c r="C671" s="142" t="s">
        <v>3627</v>
      </c>
      <c r="D671" s="142" t="s">
        <v>93</v>
      </c>
      <c r="E671" s="274"/>
      <c r="F671" s="141" t="s">
        <v>1136</v>
      </c>
      <c r="G671" s="141" t="s">
        <v>3767</v>
      </c>
      <c r="H671" s="187" t="s">
        <v>3306</v>
      </c>
      <c r="I671" s="187" t="s">
        <v>3768</v>
      </c>
      <c r="J671" s="142"/>
      <c r="K671" s="142" t="s">
        <v>266</v>
      </c>
      <c r="L671" s="273"/>
      <c r="M671"/>
      <c r="N671"/>
    </row>
    <row r="672" spans="1:14" ht="75">
      <c r="A672" s="119" t="s">
        <v>3527</v>
      </c>
      <c r="B672" s="141" t="s">
        <v>246</v>
      </c>
      <c r="C672" s="142" t="s">
        <v>3627</v>
      </c>
      <c r="D672" s="142" t="s">
        <v>93</v>
      </c>
      <c r="E672" s="274"/>
      <c r="F672" s="141" t="s">
        <v>1136</v>
      </c>
      <c r="G672" s="141" t="s">
        <v>3769</v>
      </c>
      <c r="H672" s="187" t="s">
        <v>3306</v>
      </c>
      <c r="I672" s="187" t="s">
        <v>3770</v>
      </c>
      <c r="J672" s="142"/>
      <c r="K672" s="142" t="s">
        <v>266</v>
      </c>
      <c r="L672" s="273"/>
      <c r="M672"/>
      <c r="N672"/>
    </row>
    <row r="673" spans="1:14" ht="75">
      <c r="A673" s="119" t="s">
        <v>3527</v>
      </c>
      <c r="B673" s="141" t="s">
        <v>247</v>
      </c>
      <c r="C673" s="142" t="s">
        <v>3627</v>
      </c>
      <c r="D673" s="142" t="s">
        <v>93</v>
      </c>
      <c r="E673" s="274"/>
      <c r="F673" s="141" t="s">
        <v>1136</v>
      </c>
      <c r="G673" s="141" t="s">
        <v>3771</v>
      </c>
      <c r="H673" s="187" t="s">
        <v>3306</v>
      </c>
      <c r="I673" s="187" t="s">
        <v>3772</v>
      </c>
      <c r="J673" s="142"/>
      <c r="K673" s="142" t="s">
        <v>266</v>
      </c>
      <c r="L673" s="273"/>
      <c r="M673"/>
      <c r="N673"/>
    </row>
    <row r="674" spans="1:14" ht="16.75" customHeight="1">
      <c r="A674" s="119" t="s">
        <v>3527</v>
      </c>
      <c r="B674" s="141" t="s">
        <v>248</v>
      </c>
      <c r="C674" s="142" t="s">
        <v>3627</v>
      </c>
      <c r="D674" s="142" t="s">
        <v>93</v>
      </c>
      <c r="E674" s="274"/>
      <c r="F674" s="141" t="s">
        <v>1136</v>
      </c>
      <c r="G674" s="141" t="s">
        <v>3773</v>
      </c>
      <c r="H674" s="187" t="s">
        <v>3306</v>
      </c>
      <c r="I674" s="187" t="s">
        <v>3774</v>
      </c>
      <c r="J674" s="142"/>
      <c r="K674" s="142" t="s">
        <v>266</v>
      </c>
      <c r="L674" s="273"/>
      <c r="M674"/>
      <c r="N674"/>
    </row>
    <row r="675" spans="1:14" ht="16.399999999999999" customHeight="1">
      <c r="A675" s="119" t="s">
        <v>3527</v>
      </c>
      <c r="B675" s="141" t="s">
        <v>253</v>
      </c>
      <c r="C675" s="142" t="s">
        <v>3627</v>
      </c>
      <c r="D675" s="142" t="s">
        <v>93</v>
      </c>
      <c r="E675" s="274"/>
      <c r="F675" s="141" t="s">
        <v>1136</v>
      </c>
      <c r="G675" s="141" t="s">
        <v>3775</v>
      </c>
      <c r="H675" s="187" t="s">
        <v>3306</v>
      </c>
      <c r="I675" s="187" t="s">
        <v>3776</v>
      </c>
      <c r="J675" s="142"/>
      <c r="K675" s="142" t="s">
        <v>266</v>
      </c>
      <c r="L675" s="273"/>
      <c r="M675"/>
      <c r="N675"/>
    </row>
    <row r="676" spans="1:14" ht="75">
      <c r="A676" s="119" t="s">
        <v>3527</v>
      </c>
      <c r="B676" s="141" t="s">
        <v>258</v>
      </c>
      <c r="C676" s="142" t="s">
        <v>3627</v>
      </c>
      <c r="D676" s="142" t="s">
        <v>93</v>
      </c>
      <c r="E676" s="274"/>
      <c r="F676" s="141" t="s">
        <v>1136</v>
      </c>
      <c r="G676" s="141" t="s">
        <v>3777</v>
      </c>
      <c r="H676" s="187" t="s">
        <v>3306</v>
      </c>
      <c r="I676" s="187" t="s">
        <v>3778</v>
      </c>
      <c r="J676" s="142"/>
      <c r="K676" s="142" t="s">
        <v>266</v>
      </c>
      <c r="L676" s="273"/>
      <c r="M676"/>
      <c r="N676"/>
    </row>
    <row r="677" spans="1:14" ht="75">
      <c r="A677" s="119" t="s">
        <v>3527</v>
      </c>
      <c r="B677" s="141" t="s">
        <v>244</v>
      </c>
      <c r="C677" s="142" t="s">
        <v>3627</v>
      </c>
      <c r="D677" s="142" t="s">
        <v>93</v>
      </c>
      <c r="E677" s="274"/>
      <c r="F677" s="141" t="s">
        <v>1136</v>
      </c>
      <c r="G677" s="141" t="s">
        <v>3779</v>
      </c>
      <c r="H677" s="187" t="s">
        <v>3306</v>
      </c>
      <c r="I677" s="187" t="s">
        <v>3780</v>
      </c>
      <c r="J677" s="142"/>
      <c r="K677" s="142" t="s">
        <v>266</v>
      </c>
      <c r="L677" s="273"/>
      <c r="M677"/>
      <c r="N677"/>
    </row>
    <row r="678" spans="1:14" ht="75">
      <c r="A678" s="119" t="s">
        <v>3527</v>
      </c>
      <c r="B678" s="141" t="s">
        <v>3781</v>
      </c>
      <c r="C678" s="142" t="s">
        <v>1293</v>
      </c>
      <c r="D678" s="142" t="s">
        <v>263</v>
      </c>
      <c r="E678" s="274" t="s">
        <v>3782</v>
      </c>
      <c r="F678" s="141" t="s">
        <v>1136</v>
      </c>
      <c r="G678" s="141" t="s">
        <v>3783</v>
      </c>
      <c r="H678" s="187" t="s">
        <v>3306</v>
      </c>
      <c r="I678" s="187" t="s">
        <v>3784</v>
      </c>
      <c r="J678" s="142"/>
      <c r="K678" s="142" t="s">
        <v>266</v>
      </c>
      <c r="L678" s="273"/>
      <c r="M678"/>
      <c r="N678"/>
    </row>
    <row r="679" spans="1:14" ht="75">
      <c r="A679" s="119" t="s">
        <v>3527</v>
      </c>
      <c r="B679" s="141" t="s">
        <v>3785</v>
      </c>
      <c r="C679" s="142" t="s">
        <v>1293</v>
      </c>
      <c r="D679" s="142" t="s">
        <v>263</v>
      </c>
      <c r="E679" s="274" t="s">
        <v>3786</v>
      </c>
      <c r="F679" s="141" t="s">
        <v>1136</v>
      </c>
      <c r="G679" s="141" t="s">
        <v>3787</v>
      </c>
      <c r="H679" s="187" t="s">
        <v>3306</v>
      </c>
      <c r="I679" s="187" t="s">
        <v>3788</v>
      </c>
      <c r="J679" s="142"/>
      <c r="K679" s="142" t="s">
        <v>266</v>
      </c>
      <c r="L679" s="273"/>
      <c r="M679"/>
      <c r="N679"/>
    </row>
    <row r="680" spans="1:14" ht="75">
      <c r="A680" s="119" t="s">
        <v>3527</v>
      </c>
      <c r="B680" s="141" t="s">
        <v>305</v>
      </c>
      <c r="C680" s="142" t="s">
        <v>1292</v>
      </c>
      <c r="D680" s="142" t="s">
        <v>93</v>
      </c>
      <c r="E680" s="274"/>
      <c r="F680" s="141" t="s">
        <v>1136</v>
      </c>
      <c r="G680" s="141" t="s">
        <v>305</v>
      </c>
      <c r="H680" s="142" t="s">
        <v>1292</v>
      </c>
      <c r="I680" s="187" t="s">
        <v>3789</v>
      </c>
      <c r="J680" s="142"/>
      <c r="K680" s="142" t="s">
        <v>3100</v>
      </c>
      <c r="L680" s="273"/>
      <c r="M680"/>
      <c r="N680"/>
    </row>
    <row r="681" spans="1:14" ht="37.5">
      <c r="A681" s="120" t="s">
        <v>3790</v>
      </c>
      <c r="B681" s="141" t="s">
        <v>3791</v>
      </c>
      <c r="C681" s="142" t="s">
        <v>373</v>
      </c>
      <c r="D681" s="142" t="s">
        <v>93</v>
      </c>
      <c r="E681" s="274"/>
      <c r="F681" s="141" t="s">
        <v>1136</v>
      </c>
      <c r="G681" s="141" t="s">
        <v>372</v>
      </c>
      <c r="H681" s="142" t="s">
        <v>1292</v>
      </c>
      <c r="I681" s="187" t="s">
        <v>3792</v>
      </c>
      <c r="J681" s="142"/>
      <c r="K681" s="142" t="s">
        <v>374</v>
      </c>
      <c r="L681" s="273"/>
      <c r="M681"/>
      <c r="N681"/>
    </row>
    <row r="682" spans="1:14" ht="37.5">
      <c r="A682" s="120" t="s">
        <v>3790</v>
      </c>
      <c r="B682" s="141" t="s">
        <v>3793</v>
      </c>
      <c r="C682" s="142" t="s">
        <v>373</v>
      </c>
      <c r="D682" s="142" t="s">
        <v>93</v>
      </c>
      <c r="E682" s="274"/>
      <c r="F682" s="141" t="s">
        <v>1136</v>
      </c>
      <c r="G682" s="141" t="s">
        <v>378</v>
      </c>
      <c r="H682" s="142" t="s">
        <v>265</v>
      </c>
      <c r="I682" s="187" t="s">
        <v>3794</v>
      </c>
      <c r="J682" s="142"/>
      <c r="K682" s="142" t="s">
        <v>374</v>
      </c>
      <c r="L682" s="273"/>
      <c r="M682"/>
      <c r="N682"/>
    </row>
    <row r="683" spans="1:14" ht="37.5">
      <c r="A683" s="120" t="s">
        <v>3790</v>
      </c>
      <c r="B683" s="141" t="s">
        <v>3795</v>
      </c>
      <c r="C683" s="142" t="s">
        <v>373</v>
      </c>
      <c r="D683" s="142" t="s">
        <v>93</v>
      </c>
      <c r="E683" s="274"/>
      <c r="F683" s="141" t="s">
        <v>1136</v>
      </c>
      <c r="G683" s="141" t="s">
        <v>382</v>
      </c>
      <c r="H683" s="142" t="s">
        <v>1292</v>
      </c>
      <c r="I683" s="187" t="s">
        <v>3796</v>
      </c>
      <c r="J683" s="142"/>
      <c r="K683" s="142" t="s">
        <v>374</v>
      </c>
      <c r="L683" s="273"/>
      <c r="M683"/>
      <c r="N683"/>
    </row>
    <row r="684" spans="1:14" ht="37.5">
      <c r="A684" s="120" t="s">
        <v>3790</v>
      </c>
      <c r="B684" s="141" t="s">
        <v>3797</v>
      </c>
      <c r="C684" s="142" t="s">
        <v>373</v>
      </c>
      <c r="D684" s="142" t="s">
        <v>93</v>
      </c>
      <c r="E684" s="274"/>
      <c r="F684" s="141" t="s">
        <v>1136</v>
      </c>
      <c r="G684" s="141" t="s">
        <v>384</v>
      </c>
      <c r="H684" s="142" t="s">
        <v>1292</v>
      </c>
      <c r="I684" s="187" t="s">
        <v>3798</v>
      </c>
      <c r="J684" s="142"/>
      <c r="K684" s="142" t="s">
        <v>374</v>
      </c>
      <c r="L684" s="273"/>
      <c r="M684"/>
      <c r="N684"/>
    </row>
    <row r="685" spans="1:14" ht="37.5">
      <c r="A685" s="120" t="s">
        <v>3790</v>
      </c>
      <c r="B685" s="141" t="s">
        <v>3799</v>
      </c>
      <c r="C685" s="142" t="s">
        <v>373</v>
      </c>
      <c r="D685" s="142" t="s">
        <v>93</v>
      </c>
      <c r="E685" s="274"/>
      <c r="F685" s="141" t="s">
        <v>1136</v>
      </c>
      <c r="G685" s="141" t="s">
        <v>386</v>
      </c>
      <c r="H685" s="142" t="s">
        <v>1292</v>
      </c>
      <c r="I685" s="187" t="s">
        <v>3800</v>
      </c>
      <c r="J685" s="142"/>
      <c r="K685" s="142" t="s">
        <v>374</v>
      </c>
      <c r="L685" s="273"/>
      <c r="M685"/>
      <c r="N685"/>
    </row>
    <row r="686" spans="1:14" ht="37.5">
      <c r="A686" s="120" t="s">
        <v>3790</v>
      </c>
      <c r="B686" s="141" t="s">
        <v>3801</v>
      </c>
      <c r="C686" s="142" t="s">
        <v>373</v>
      </c>
      <c r="D686" s="142" t="s">
        <v>93</v>
      </c>
      <c r="E686" s="274"/>
      <c r="F686" s="141" t="s">
        <v>1136</v>
      </c>
      <c r="G686" s="141" t="s">
        <v>388</v>
      </c>
      <c r="H686" s="142" t="s">
        <v>1292</v>
      </c>
      <c r="I686" s="187" t="s">
        <v>3802</v>
      </c>
      <c r="J686" s="142"/>
      <c r="K686" s="142" t="s">
        <v>374</v>
      </c>
      <c r="L686" s="273"/>
      <c r="M686"/>
      <c r="N686"/>
    </row>
    <row r="687" spans="1:14" ht="37.5">
      <c r="A687" s="120" t="s">
        <v>3790</v>
      </c>
      <c r="B687" s="141" t="s">
        <v>3803</v>
      </c>
      <c r="C687" s="142" t="s">
        <v>373</v>
      </c>
      <c r="D687" s="142" t="s">
        <v>93</v>
      </c>
      <c r="E687" s="274"/>
      <c r="F687" s="141" t="s">
        <v>1136</v>
      </c>
      <c r="G687" s="141" t="s">
        <v>390</v>
      </c>
      <c r="H687" s="142" t="s">
        <v>1292</v>
      </c>
      <c r="I687" s="187" t="s">
        <v>3804</v>
      </c>
      <c r="J687" s="142"/>
      <c r="K687" s="142" t="s">
        <v>374</v>
      </c>
      <c r="L687" s="273"/>
      <c r="M687"/>
      <c r="N687"/>
    </row>
    <row r="688" spans="1:14" ht="37.5">
      <c r="A688" s="120" t="s">
        <v>3790</v>
      </c>
      <c r="B688" s="141" t="s">
        <v>3805</v>
      </c>
      <c r="C688" s="142" t="s">
        <v>373</v>
      </c>
      <c r="D688" s="142" t="s">
        <v>93</v>
      </c>
      <c r="E688" s="274"/>
      <c r="F688" s="141" t="s">
        <v>1136</v>
      </c>
      <c r="G688" s="141" t="s">
        <v>392</v>
      </c>
      <c r="H688" s="142" t="s">
        <v>1292</v>
      </c>
      <c r="I688" s="187" t="s">
        <v>3806</v>
      </c>
      <c r="J688" s="142"/>
      <c r="K688" s="142" t="s">
        <v>374</v>
      </c>
      <c r="L688" s="273"/>
      <c r="M688"/>
      <c r="N688"/>
    </row>
    <row r="689" spans="1:14" ht="37.5">
      <c r="A689" s="120" t="s">
        <v>3790</v>
      </c>
      <c r="B689" s="141" t="s">
        <v>3807</v>
      </c>
      <c r="C689" s="142" t="s">
        <v>373</v>
      </c>
      <c r="D689" s="142" t="s">
        <v>93</v>
      </c>
      <c r="E689" s="274"/>
      <c r="F689" s="141" t="s">
        <v>1136</v>
      </c>
      <c r="G689" s="141" t="s">
        <v>394</v>
      </c>
      <c r="H689" s="142" t="s">
        <v>1292</v>
      </c>
      <c r="I689" s="187" t="s">
        <v>3808</v>
      </c>
      <c r="J689" s="142"/>
      <c r="K689" s="142" t="s">
        <v>374</v>
      </c>
      <c r="L689" s="273"/>
      <c r="M689"/>
      <c r="N689"/>
    </row>
    <row r="690" spans="1:14" ht="37.5">
      <c r="A690" s="120" t="s">
        <v>3790</v>
      </c>
      <c r="B690" s="141" t="s">
        <v>3809</v>
      </c>
      <c r="C690" s="142" t="s">
        <v>373</v>
      </c>
      <c r="D690" s="142" t="s">
        <v>93</v>
      </c>
      <c r="E690" s="274"/>
      <c r="F690" s="141" t="s">
        <v>1136</v>
      </c>
      <c r="G690" s="141" t="s">
        <v>396</v>
      </c>
      <c r="H690" s="142" t="s">
        <v>1292</v>
      </c>
      <c r="I690" s="187" t="s">
        <v>3810</v>
      </c>
      <c r="J690" s="142"/>
      <c r="K690" s="142" t="s">
        <v>374</v>
      </c>
      <c r="L690" s="273"/>
      <c r="M690"/>
      <c r="N690"/>
    </row>
    <row r="691" spans="1:14" ht="37.5">
      <c r="A691" s="120" t="s">
        <v>3790</v>
      </c>
      <c r="B691" s="141" t="s">
        <v>3811</v>
      </c>
      <c r="C691" s="142" t="s">
        <v>373</v>
      </c>
      <c r="D691" s="142" t="s">
        <v>93</v>
      </c>
      <c r="E691" s="274"/>
      <c r="F691" s="141" t="s">
        <v>1136</v>
      </c>
      <c r="G691" s="141" t="s">
        <v>398</v>
      </c>
      <c r="H691" s="142" t="s">
        <v>1292</v>
      </c>
      <c r="I691" s="187" t="s">
        <v>3812</v>
      </c>
      <c r="J691" s="142"/>
      <c r="K691" s="142" t="s">
        <v>374</v>
      </c>
      <c r="L691" s="273"/>
      <c r="M691"/>
      <c r="N691"/>
    </row>
    <row r="692" spans="1:14" ht="37.5">
      <c r="A692" s="120" t="s">
        <v>3790</v>
      </c>
      <c r="B692" s="141" t="s">
        <v>3813</v>
      </c>
      <c r="C692" s="142" t="s">
        <v>373</v>
      </c>
      <c r="D692" s="142" t="s">
        <v>93</v>
      </c>
      <c r="E692" s="274"/>
      <c r="F692" s="141" t="s">
        <v>1136</v>
      </c>
      <c r="G692" s="141" t="s">
        <v>400</v>
      </c>
      <c r="H692" s="142" t="s">
        <v>1292</v>
      </c>
      <c r="I692" s="187" t="s">
        <v>3814</v>
      </c>
      <c r="J692" s="142"/>
      <c r="K692" s="142" t="s">
        <v>374</v>
      </c>
      <c r="L692" s="273"/>
      <c r="M692"/>
      <c r="N692"/>
    </row>
    <row r="693" spans="1:14" ht="37.5">
      <c r="A693" s="120" t="s">
        <v>3790</v>
      </c>
      <c r="B693" s="141" t="s">
        <v>401</v>
      </c>
      <c r="C693" s="142" t="s">
        <v>373</v>
      </c>
      <c r="D693" s="142" t="s">
        <v>93</v>
      </c>
      <c r="E693" s="274"/>
      <c r="F693" s="141" t="s">
        <v>1136</v>
      </c>
      <c r="G693" s="141" t="s">
        <v>403</v>
      </c>
      <c r="H693" s="142" t="s">
        <v>1292</v>
      </c>
      <c r="I693" s="187" t="s">
        <v>1138</v>
      </c>
      <c r="J693" s="142"/>
      <c r="K693" s="142" t="s">
        <v>374</v>
      </c>
      <c r="L693" s="273"/>
      <c r="M693"/>
      <c r="N693"/>
    </row>
    <row r="694" spans="1:14" ht="37.5">
      <c r="A694" s="120" t="s">
        <v>3790</v>
      </c>
      <c r="B694" s="141" t="s">
        <v>404</v>
      </c>
      <c r="C694" s="142" t="s">
        <v>373</v>
      </c>
      <c r="D694" s="142" t="s">
        <v>93</v>
      </c>
      <c r="E694" s="274"/>
      <c r="F694" s="141" t="s">
        <v>1136</v>
      </c>
      <c r="G694" s="141" t="s">
        <v>405</v>
      </c>
      <c r="H694" s="142" t="s">
        <v>1292</v>
      </c>
      <c r="I694" s="187" t="s">
        <v>3815</v>
      </c>
      <c r="J694" s="142"/>
      <c r="K694" s="142" t="s">
        <v>374</v>
      </c>
      <c r="L694" s="273"/>
      <c r="M694"/>
      <c r="N694"/>
    </row>
    <row r="695" spans="1:14" ht="37.5">
      <c r="A695" s="120" t="s">
        <v>3790</v>
      </c>
      <c r="B695" s="141" t="s">
        <v>558</v>
      </c>
      <c r="C695" s="142" t="s">
        <v>373</v>
      </c>
      <c r="D695" s="142" t="s">
        <v>93</v>
      </c>
      <c r="E695" s="274"/>
      <c r="F695" s="141" t="s">
        <v>1136</v>
      </c>
      <c r="G695" s="141" t="s">
        <v>559</v>
      </c>
      <c r="H695" s="142" t="s">
        <v>1292</v>
      </c>
      <c r="I695" s="187" t="s">
        <v>3816</v>
      </c>
      <c r="J695" s="142"/>
      <c r="K695" s="142" t="s">
        <v>374</v>
      </c>
      <c r="L695" s="273"/>
      <c r="M695"/>
      <c r="N695"/>
    </row>
    <row r="696" spans="1:14" ht="37.5">
      <c r="A696" s="120" t="s">
        <v>3790</v>
      </c>
      <c r="B696" s="141" t="s">
        <v>3817</v>
      </c>
      <c r="C696" s="142" t="s">
        <v>373</v>
      </c>
      <c r="D696" s="142" t="s">
        <v>93</v>
      </c>
      <c r="E696" s="274"/>
      <c r="F696" s="141" t="s">
        <v>1136</v>
      </c>
      <c r="G696" s="141" t="s">
        <v>409</v>
      </c>
      <c r="H696" s="142" t="s">
        <v>1292</v>
      </c>
      <c r="I696" s="187" t="s">
        <v>3818</v>
      </c>
      <c r="J696" s="142"/>
      <c r="K696" s="142" t="s">
        <v>374</v>
      </c>
      <c r="L696" s="273"/>
      <c r="M696"/>
      <c r="N696"/>
    </row>
    <row r="697" spans="1:14" ht="37.5">
      <c r="A697" s="120" t="s">
        <v>3790</v>
      </c>
      <c r="B697" s="141" t="s">
        <v>3819</v>
      </c>
      <c r="C697" s="142" t="s">
        <v>373</v>
      </c>
      <c r="D697" s="142" t="s">
        <v>93</v>
      </c>
      <c r="E697" s="274"/>
      <c r="F697" s="141" t="s">
        <v>1136</v>
      </c>
      <c r="G697" s="141" t="s">
        <v>411</v>
      </c>
      <c r="H697" s="142" t="s">
        <v>1292</v>
      </c>
      <c r="I697" s="187" t="s">
        <v>3820</v>
      </c>
      <c r="J697" s="142"/>
      <c r="K697" s="142" t="s">
        <v>374</v>
      </c>
      <c r="L697" s="273"/>
      <c r="M697"/>
      <c r="N697"/>
    </row>
    <row r="698" spans="1:14" ht="37.5">
      <c r="A698" s="120" t="s">
        <v>3790</v>
      </c>
      <c r="B698" s="141" t="s">
        <v>380</v>
      </c>
      <c r="C698" s="142" t="s">
        <v>373</v>
      </c>
      <c r="D698" s="142" t="s">
        <v>93</v>
      </c>
      <c r="E698" s="274"/>
      <c r="F698" s="141" t="s">
        <v>1136</v>
      </c>
      <c r="G698" s="141" t="s">
        <v>170</v>
      </c>
      <c r="H698" s="142" t="s">
        <v>1292</v>
      </c>
      <c r="I698" s="187" t="s">
        <v>1142</v>
      </c>
      <c r="J698" s="142"/>
      <c r="K698" s="142" t="s">
        <v>374</v>
      </c>
      <c r="L698" s="273"/>
      <c r="M698"/>
      <c r="N698"/>
    </row>
    <row r="699" spans="1:14" ht="37.5">
      <c r="A699" s="120" t="s">
        <v>3790</v>
      </c>
      <c r="B699" s="141" t="s">
        <v>3821</v>
      </c>
      <c r="C699" s="142" t="s">
        <v>373</v>
      </c>
      <c r="D699" s="142" t="s">
        <v>93</v>
      </c>
      <c r="E699" s="274"/>
      <c r="F699" s="141" t="s">
        <v>1136</v>
      </c>
      <c r="G699" s="141" t="s">
        <v>413</v>
      </c>
      <c r="H699" s="142" t="s">
        <v>1292</v>
      </c>
      <c r="I699" s="187" t="s">
        <v>3822</v>
      </c>
      <c r="J699" s="142"/>
      <c r="K699" s="142" t="s">
        <v>374</v>
      </c>
      <c r="L699" s="273"/>
      <c r="M699"/>
      <c r="N699"/>
    </row>
    <row r="700" spans="1:14" ht="37.5">
      <c r="A700" s="120" t="s">
        <v>3790</v>
      </c>
      <c r="B700" s="141" t="s">
        <v>3823</v>
      </c>
      <c r="C700" s="142" t="s">
        <v>373</v>
      </c>
      <c r="D700" s="142" t="s">
        <v>93</v>
      </c>
      <c r="E700" s="274"/>
      <c r="F700" s="141" t="s">
        <v>1136</v>
      </c>
      <c r="G700" s="141" t="s">
        <v>415</v>
      </c>
      <c r="H700" s="142" t="s">
        <v>1292</v>
      </c>
      <c r="I700" s="187" t="s">
        <v>3824</v>
      </c>
      <c r="J700" s="142"/>
      <c r="K700" s="142" t="s">
        <v>374</v>
      </c>
      <c r="L700" s="273"/>
      <c r="M700"/>
      <c r="N700"/>
    </row>
    <row r="701" spans="1:14" ht="37.5">
      <c r="A701" s="120" t="s">
        <v>3790</v>
      </c>
      <c r="B701" s="141" t="s">
        <v>3825</v>
      </c>
      <c r="C701" s="142" t="s">
        <v>373</v>
      </c>
      <c r="D701" s="142" t="s">
        <v>93</v>
      </c>
      <c r="E701" s="274"/>
      <c r="F701" s="141" t="s">
        <v>1136</v>
      </c>
      <c r="G701" s="141" t="s">
        <v>418</v>
      </c>
      <c r="H701" s="142" t="s">
        <v>1292</v>
      </c>
      <c r="I701" s="187" t="s">
        <v>3826</v>
      </c>
      <c r="J701" s="142"/>
      <c r="K701" s="142" t="s">
        <v>374</v>
      </c>
      <c r="L701" s="273"/>
      <c r="M701"/>
      <c r="N701"/>
    </row>
    <row r="702" spans="1:14" ht="37.5">
      <c r="A702" s="120" t="s">
        <v>3790</v>
      </c>
      <c r="B702" s="141" t="s">
        <v>3827</v>
      </c>
      <c r="C702" s="142" t="s">
        <v>373</v>
      </c>
      <c r="D702" s="142" t="s">
        <v>93</v>
      </c>
      <c r="E702" s="274"/>
      <c r="F702" s="141" t="s">
        <v>1136</v>
      </c>
      <c r="G702" s="141" t="s">
        <v>3828</v>
      </c>
      <c r="H702" s="141" t="s">
        <v>3306</v>
      </c>
      <c r="I702" s="187" t="s">
        <v>3829</v>
      </c>
      <c r="J702" s="142"/>
      <c r="K702" s="142" t="s">
        <v>374</v>
      </c>
      <c r="L702" s="273"/>
      <c r="M702"/>
      <c r="N702"/>
    </row>
    <row r="703" spans="1:14" ht="37.5">
      <c r="A703" s="120" t="s">
        <v>3790</v>
      </c>
      <c r="B703" s="141" t="s">
        <v>3830</v>
      </c>
      <c r="C703" s="142" t="s">
        <v>373</v>
      </c>
      <c r="D703" s="142" t="s">
        <v>93</v>
      </c>
      <c r="E703" s="274"/>
      <c r="F703" s="141" t="s">
        <v>1136</v>
      </c>
      <c r="G703" s="141" t="s">
        <v>422</v>
      </c>
      <c r="H703" s="142" t="s">
        <v>1292</v>
      </c>
      <c r="I703" s="187" t="s">
        <v>3831</v>
      </c>
      <c r="J703" s="142"/>
      <c r="K703" s="142" t="s">
        <v>374</v>
      </c>
      <c r="L703" s="273"/>
      <c r="M703"/>
      <c r="N703"/>
    </row>
    <row r="704" spans="1:14" ht="37.5">
      <c r="A704" s="120" t="s">
        <v>3790</v>
      </c>
      <c r="B704" s="141" t="s">
        <v>3832</v>
      </c>
      <c r="C704" s="142" t="s">
        <v>373</v>
      </c>
      <c r="D704" s="142" t="s">
        <v>93</v>
      </c>
      <c r="E704" s="274"/>
      <c r="F704" s="141" t="s">
        <v>1136</v>
      </c>
      <c r="G704" s="141" t="s">
        <v>425</v>
      </c>
      <c r="H704" s="142" t="s">
        <v>1292</v>
      </c>
      <c r="I704" s="187" t="s">
        <v>3833</v>
      </c>
      <c r="J704" s="142"/>
      <c r="K704" s="142" t="s">
        <v>374</v>
      </c>
      <c r="L704" s="273"/>
      <c r="M704"/>
      <c r="N704"/>
    </row>
    <row r="705" spans="1:14" ht="37.5">
      <c r="A705" s="120" t="s">
        <v>3790</v>
      </c>
      <c r="B705" s="141" t="s">
        <v>3834</v>
      </c>
      <c r="C705" s="142" t="s">
        <v>373</v>
      </c>
      <c r="D705" s="142" t="s">
        <v>93</v>
      </c>
      <c r="E705" s="274"/>
      <c r="F705" s="141" t="s">
        <v>1136</v>
      </c>
      <c r="G705" s="141" t="s">
        <v>428</v>
      </c>
      <c r="H705" s="142" t="s">
        <v>1292</v>
      </c>
      <c r="I705" s="187" t="s">
        <v>3835</v>
      </c>
      <c r="J705" s="142"/>
      <c r="K705" s="142" t="s">
        <v>374</v>
      </c>
      <c r="L705" s="273"/>
      <c r="M705"/>
      <c r="N705"/>
    </row>
    <row r="706" spans="1:14" ht="37.5">
      <c r="A706" s="120" t="s">
        <v>3790</v>
      </c>
      <c r="B706" s="141" t="s">
        <v>3836</v>
      </c>
      <c r="C706" s="142" t="s">
        <v>373</v>
      </c>
      <c r="D706" s="142" t="s">
        <v>93</v>
      </c>
      <c r="E706" s="274"/>
      <c r="F706" s="141" t="s">
        <v>1136</v>
      </c>
      <c r="G706" s="141" t="s">
        <v>430</v>
      </c>
      <c r="H706" s="142" t="s">
        <v>1292</v>
      </c>
      <c r="I706" s="187" t="s">
        <v>3837</v>
      </c>
      <c r="J706" s="142"/>
      <c r="K706" s="142" t="s">
        <v>374</v>
      </c>
      <c r="L706" s="273"/>
      <c r="M706"/>
      <c r="N706"/>
    </row>
    <row r="707" spans="1:14" ht="37.5">
      <c r="A707" s="120" t="s">
        <v>3790</v>
      </c>
      <c r="B707" s="141" t="s">
        <v>3838</v>
      </c>
      <c r="C707" s="142" t="s">
        <v>373</v>
      </c>
      <c r="D707" s="142" t="s">
        <v>93</v>
      </c>
      <c r="E707" s="274"/>
      <c r="F707" s="141" t="s">
        <v>1136</v>
      </c>
      <c r="G707" s="141" t="s">
        <v>431</v>
      </c>
      <c r="H707" s="142" t="s">
        <v>1292</v>
      </c>
      <c r="I707" s="187" t="s">
        <v>3839</v>
      </c>
      <c r="J707" s="142"/>
      <c r="K707" s="142" t="s">
        <v>374</v>
      </c>
      <c r="L707" s="273"/>
      <c r="M707"/>
      <c r="N707"/>
    </row>
    <row r="708" spans="1:14" ht="37.5">
      <c r="A708" s="120" t="s">
        <v>3790</v>
      </c>
      <c r="B708" s="141" t="s">
        <v>3840</v>
      </c>
      <c r="C708" s="142" t="s">
        <v>373</v>
      </c>
      <c r="D708" s="142" t="s">
        <v>93</v>
      </c>
      <c r="E708" s="274"/>
      <c r="F708" s="141" t="s">
        <v>1136</v>
      </c>
      <c r="G708" s="141" t="s">
        <v>433</v>
      </c>
      <c r="H708" s="142" t="s">
        <v>1292</v>
      </c>
      <c r="I708" s="187" t="s">
        <v>3841</v>
      </c>
      <c r="J708" s="142"/>
      <c r="K708" s="142" t="s">
        <v>374</v>
      </c>
      <c r="L708" s="273"/>
      <c r="M708"/>
      <c r="N708"/>
    </row>
    <row r="709" spans="1:14" ht="37.5">
      <c r="A709" s="120" t="s">
        <v>3790</v>
      </c>
      <c r="B709" s="141" t="s">
        <v>3842</v>
      </c>
      <c r="C709" s="142" t="s">
        <v>373</v>
      </c>
      <c r="D709" s="142" t="s">
        <v>93</v>
      </c>
      <c r="E709" s="274"/>
      <c r="F709" s="141" t="s">
        <v>1136</v>
      </c>
      <c r="G709" s="141" t="s">
        <v>434</v>
      </c>
      <c r="H709" s="142" t="s">
        <v>1292</v>
      </c>
      <c r="I709" s="187" t="s">
        <v>3843</v>
      </c>
      <c r="J709" s="142"/>
      <c r="K709" s="142" t="s">
        <v>374</v>
      </c>
      <c r="L709" s="273"/>
      <c r="M709"/>
      <c r="N709"/>
    </row>
    <row r="710" spans="1:14" ht="51">
      <c r="A710" s="120" t="s">
        <v>3790</v>
      </c>
      <c r="B710" s="141" t="s">
        <v>3844</v>
      </c>
      <c r="C710" s="142" t="s">
        <v>373</v>
      </c>
      <c r="D710" s="142" t="s">
        <v>263</v>
      </c>
      <c r="E710" s="274" t="s">
        <v>3845</v>
      </c>
      <c r="F710" s="141" t="s">
        <v>1136</v>
      </c>
      <c r="G710" s="141" t="s">
        <v>437</v>
      </c>
      <c r="H710" s="142" t="s">
        <v>1292</v>
      </c>
      <c r="I710" s="187" t="s">
        <v>3846</v>
      </c>
      <c r="J710" s="142"/>
      <c r="K710" s="142" t="s">
        <v>374</v>
      </c>
      <c r="L710" s="273"/>
      <c r="M710"/>
      <c r="N710"/>
    </row>
    <row r="711" spans="1:14" ht="37.5">
      <c r="A711" s="120" t="s">
        <v>3790</v>
      </c>
      <c r="B711" s="141" t="s">
        <v>3847</v>
      </c>
      <c r="C711" s="142" t="s">
        <v>373</v>
      </c>
      <c r="D711" s="142" t="s">
        <v>93</v>
      </c>
      <c r="E711" s="274"/>
      <c r="F711" s="141" t="s">
        <v>1136</v>
      </c>
      <c r="G711" s="141" t="s">
        <v>440</v>
      </c>
      <c r="H711" s="142" t="s">
        <v>1292</v>
      </c>
      <c r="I711" s="187" t="s">
        <v>3848</v>
      </c>
      <c r="J711" s="142"/>
      <c r="K711" s="142" t="s">
        <v>374</v>
      </c>
      <c r="L711" s="273"/>
      <c r="M711"/>
      <c r="N711"/>
    </row>
    <row r="712" spans="1:14" ht="37.5">
      <c r="A712" s="120" t="s">
        <v>3790</v>
      </c>
      <c r="B712" s="141" t="s">
        <v>441</v>
      </c>
      <c r="C712" s="142" t="s">
        <v>373</v>
      </c>
      <c r="D712" s="142" t="s">
        <v>93</v>
      </c>
      <c r="E712" s="274"/>
      <c r="F712" s="141" t="s">
        <v>1136</v>
      </c>
      <c r="G712" s="141" t="s">
        <v>443</v>
      </c>
      <c r="H712" s="142" t="s">
        <v>1292</v>
      </c>
      <c r="I712" s="187" t="s">
        <v>1137</v>
      </c>
      <c r="J712" s="142"/>
      <c r="K712" s="142" t="s">
        <v>374</v>
      </c>
      <c r="L712" s="273"/>
      <c r="M712"/>
      <c r="N712"/>
    </row>
    <row r="713" spans="1:14" ht="37.5">
      <c r="A713" s="120" t="s">
        <v>3790</v>
      </c>
      <c r="B713" s="141" t="s">
        <v>3849</v>
      </c>
      <c r="C713" s="142" t="s">
        <v>373</v>
      </c>
      <c r="D713" s="142" t="s">
        <v>93</v>
      </c>
      <c r="E713" s="274"/>
      <c r="F713" s="141" t="s">
        <v>1136</v>
      </c>
      <c r="G713" s="141" t="s">
        <v>444</v>
      </c>
      <c r="H713" s="142" t="s">
        <v>1292</v>
      </c>
      <c r="I713" s="187" t="s">
        <v>3850</v>
      </c>
      <c r="J713" s="142"/>
      <c r="K713" s="142" t="s">
        <v>374</v>
      </c>
      <c r="L713" s="273"/>
      <c r="M713"/>
      <c r="N713"/>
    </row>
    <row r="714" spans="1:14" ht="37.5">
      <c r="A714" s="120" t="s">
        <v>3790</v>
      </c>
      <c r="B714" s="141" t="s">
        <v>3851</v>
      </c>
      <c r="C714" s="142" t="s">
        <v>373</v>
      </c>
      <c r="D714" s="142" t="s">
        <v>93</v>
      </c>
      <c r="E714" s="274"/>
      <c r="F714" s="141" t="s">
        <v>1136</v>
      </c>
      <c r="G714" s="141" t="s">
        <v>448</v>
      </c>
      <c r="H714" s="142" t="s">
        <v>1292</v>
      </c>
      <c r="I714" s="187" t="s">
        <v>3852</v>
      </c>
      <c r="J714" s="142"/>
      <c r="K714" s="142" t="s">
        <v>374</v>
      </c>
      <c r="L714" s="273"/>
      <c r="M714"/>
      <c r="N714"/>
    </row>
    <row r="715" spans="1:14" ht="37.5">
      <c r="A715" s="120" t="s">
        <v>3790</v>
      </c>
      <c r="B715" s="141" t="s">
        <v>3853</v>
      </c>
      <c r="C715" s="142" t="s">
        <v>373</v>
      </c>
      <c r="D715" s="142" t="s">
        <v>93</v>
      </c>
      <c r="E715" s="274"/>
      <c r="F715" s="141" t="s">
        <v>1136</v>
      </c>
      <c r="G715" s="141" t="s">
        <v>449</v>
      </c>
      <c r="H715" s="142" t="s">
        <v>1292</v>
      </c>
      <c r="I715" s="187" t="s">
        <v>3854</v>
      </c>
      <c r="J715" s="142"/>
      <c r="K715" s="142" t="s">
        <v>374</v>
      </c>
      <c r="L715" s="273"/>
      <c r="M715"/>
      <c r="N715"/>
    </row>
    <row r="716" spans="1:14" ht="37.5">
      <c r="A716" s="120" t="s">
        <v>3790</v>
      </c>
      <c r="B716" s="141" t="s">
        <v>3855</v>
      </c>
      <c r="C716" s="142" t="s">
        <v>373</v>
      </c>
      <c r="D716" s="142" t="s">
        <v>93</v>
      </c>
      <c r="E716" s="274"/>
      <c r="F716" s="141" t="s">
        <v>1136</v>
      </c>
      <c r="G716" s="141" t="s">
        <v>450</v>
      </c>
      <c r="H716" s="142" t="s">
        <v>1292</v>
      </c>
      <c r="I716" s="187" t="s">
        <v>3856</v>
      </c>
      <c r="J716" s="142"/>
      <c r="K716" s="142" t="s">
        <v>374</v>
      </c>
      <c r="L716" s="273"/>
      <c r="M716"/>
      <c r="N716"/>
    </row>
    <row r="717" spans="1:14" ht="37.5">
      <c r="A717" s="120" t="s">
        <v>3790</v>
      </c>
      <c r="B717" s="141" t="s">
        <v>636</v>
      </c>
      <c r="C717" s="142" t="s">
        <v>321</v>
      </c>
      <c r="D717" s="142" t="s">
        <v>93</v>
      </c>
      <c r="E717" s="274"/>
      <c r="F717" s="141" t="s">
        <v>1136</v>
      </c>
      <c r="G717" s="141" t="s">
        <v>637</v>
      </c>
      <c r="H717" s="141" t="s">
        <v>3306</v>
      </c>
      <c r="I717" s="187" t="s">
        <v>3857</v>
      </c>
      <c r="J717" s="142"/>
      <c r="K717" s="142" t="s">
        <v>374</v>
      </c>
      <c r="L717" s="273"/>
      <c r="M717"/>
      <c r="N717"/>
    </row>
    <row r="718" spans="1:14" ht="37.5">
      <c r="A718" s="120" t="s">
        <v>3790</v>
      </c>
      <c r="B718" s="141" t="s">
        <v>3858</v>
      </c>
      <c r="C718" s="142" t="s">
        <v>321</v>
      </c>
      <c r="D718" s="142" t="s">
        <v>93</v>
      </c>
      <c r="E718" s="274"/>
      <c r="F718" s="141" t="s">
        <v>1136</v>
      </c>
      <c r="G718" s="141" t="s">
        <v>3859</v>
      </c>
      <c r="H718" s="141" t="s">
        <v>3306</v>
      </c>
      <c r="I718" s="187" t="s">
        <v>3860</v>
      </c>
      <c r="J718" s="142"/>
      <c r="K718" s="142" t="s">
        <v>374</v>
      </c>
      <c r="L718" s="273"/>
      <c r="M718"/>
      <c r="N718"/>
    </row>
    <row r="719" spans="1:14" ht="37.5">
      <c r="A719" s="120" t="s">
        <v>3790</v>
      </c>
      <c r="B719" s="141" t="s">
        <v>3861</v>
      </c>
      <c r="C719" s="142" t="s">
        <v>321</v>
      </c>
      <c r="D719" s="142" t="s">
        <v>93</v>
      </c>
      <c r="E719" s="274"/>
      <c r="F719" s="141" t="s">
        <v>1136</v>
      </c>
      <c r="G719" s="141" t="s">
        <v>3862</v>
      </c>
      <c r="H719" s="141" t="s">
        <v>3306</v>
      </c>
      <c r="I719" s="187" t="s">
        <v>3863</v>
      </c>
      <c r="J719" s="142"/>
      <c r="K719" s="142" t="s">
        <v>374</v>
      </c>
      <c r="L719" s="273"/>
      <c r="M719"/>
      <c r="N719"/>
    </row>
    <row r="720" spans="1:14" ht="37.5">
      <c r="A720" s="120" t="s">
        <v>3790</v>
      </c>
      <c r="B720" s="141" t="s">
        <v>3864</v>
      </c>
      <c r="C720" s="142" t="s">
        <v>321</v>
      </c>
      <c r="D720" s="142" t="s">
        <v>93</v>
      </c>
      <c r="E720" s="274"/>
      <c r="F720" s="141" t="s">
        <v>1136</v>
      </c>
      <c r="G720" s="141" t="s">
        <v>3865</v>
      </c>
      <c r="H720" s="141" t="s">
        <v>3306</v>
      </c>
      <c r="I720" s="187" t="s">
        <v>3866</v>
      </c>
      <c r="J720" s="142"/>
      <c r="K720" s="142" t="s">
        <v>374</v>
      </c>
      <c r="L720" s="273"/>
      <c r="M720"/>
      <c r="N720"/>
    </row>
    <row r="721" spans="1:14" ht="37.5">
      <c r="A721" s="120" t="s">
        <v>3790</v>
      </c>
      <c r="B721" s="141" t="s">
        <v>3867</v>
      </c>
      <c r="C721" s="142" t="s">
        <v>321</v>
      </c>
      <c r="D721" s="142" t="s">
        <v>93</v>
      </c>
      <c r="E721" s="274"/>
      <c r="F721" s="141" t="s">
        <v>1136</v>
      </c>
      <c r="G721" s="141" t="s">
        <v>3868</v>
      </c>
      <c r="H721" s="141" t="s">
        <v>3306</v>
      </c>
      <c r="I721" s="187" t="s">
        <v>3869</v>
      </c>
      <c r="J721" s="142"/>
      <c r="K721" s="142" t="s">
        <v>374</v>
      </c>
      <c r="L721" s="273"/>
      <c r="M721"/>
      <c r="N721"/>
    </row>
    <row r="722" spans="1:14" ht="37.5">
      <c r="A722" s="120" t="s">
        <v>3790</v>
      </c>
      <c r="B722" s="141" t="s">
        <v>3870</v>
      </c>
      <c r="C722" s="142" t="s">
        <v>321</v>
      </c>
      <c r="D722" s="142" t="s">
        <v>93</v>
      </c>
      <c r="E722" s="274"/>
      <c r="F722" s="141" t="s">
        <v>1136</v>
      </c>
      <c r="G722" s="141" t="s">
        <v>3871</v>
      </c>
      <c r="H722" s="141" t="s">
        <v>3306</v>
      </c>
      <c r="I722" s="187" t="s">
        <v>3872</v>
      </c>
      <c r="J722" s="142"/>
      <c r="K722" s="142" t="s">
        <v>374</v>
      </c>
      <c r="L722" s="273"/>
      <c r="M722"/>
      <c r="N722"/>
    </row>
    <row r="723" spans="1:14" ht="37.5">
      <c r="A723" s="120" t="s">
        <v>3790</v>
      </c>
      <c r="B723" s="141" t="s">
        <v>3873</v>
      </c>
      <c r="C723" s="142" t="s">
        <v>321</v>
      </c>
      <c r="D723" s="142" t="s">
        <v>93</v>
      </c>
      <c r="E723" s="274"/>
      <c r="F723" s="141" t="s">
        <v>1136</v>
      </c>
      <c r="G723" s="141" t="s">
        <v>3874</v>
      </c>
      <c r="H723" s="141" t="s">
        <v>3306</v>
      </c>
      <c r="I723" s="187" t="s">
        <v>3875</v>
      </c>
      <c r="J723" s="142"/>
      <c r="K723" s="142" t="s">
        <v>374</v>
      </c>
      <c r="L723" s="273"/>
      <c r="M723"/>
      <c r="N723"/>
    </row>
    <row r="724" spans="1:14" ht="37.5">
      <c r="A724" s="120" t="s">
        <v>3790</v>
      </c>
      <c r="B724" s="141" t="s">
        <v>3876</v>
      </c>
      <c r="C724" s="142" t="s">
        <v>321</v>
      </c>
      <c r="D724" s="142" t="s">
        <v>93</v>
      </c>
      <c r="E724" s="274"/>
      <c r="F724" s="141" t="s">
        <v>1136</v>
      </c>
      <c r="G724" s="141" t="s">
        <v>3877</v>
      </c>
      <c r="H724" s="141" t="s">
        <v>3306</v>
      </c>
      <c r="I724" s="187" t="s">
        <v>3878</v>
      </c>
      <c r="J724" s="142"/>
      <c r="K724" s="142" t="s">
        <v>374</v>
      </c>
      <c r="L724" s="273"/>
      <c r="M724"/>
      <c r="N724"/>
    </row>
    <row r="725" spans="1:14" ht="37.5">
      <c r="A725" s="120" t="s">
        <v>3790</v>
      </c>
      <c r="B725" s="141" t="s">
        <v>3879</v>
      </c>
      <c r="C725" s="142" t="s">
        <v>321</v>
      </c>
      <c r="D725" s="142" t="s">
        <v>93</v>
      </c>
      <c r="E725" s="274"/>
      <c r="F725" s="141" t="s">
        <v>1136</v>
      </c>
      <c r="G725" s="141" t="s">
        <v>3880</v>
      </c>
      <c r="H725" s="141" t="s">
        <v>3306</v>
      </c>
      <c r="I725" s="187" t="s">
        <v>3881</v>
      </c>
      <c r="J725" s="142"/>
      <c r="K725" s="142" t="s">
        <v>374</v>
      </c>
      <c r="L725" s="273"/>
      <c r="M725"/>
      <c r="N725"/>
    </row>
    <row r="726" spans="1:14" ht="37.5">
      <c r="A726" s="120" t="s">
        <v>3790</v>
      </c>
      <c r="B726" s="141" t="s">
        <v>3882</v>
      </c>
      <c r="C726" s="142" t="s">
        <v>321</v>
      </c>
      <c r="D726" s="142" t="s">
        <v>93</v>
      </c>
      <c r="E726" s="274"/>
      <c r="F726" s="141" t="s">
        <v>1136</v>
      </c>
      <c r="G726" s="141" t="s">
        <v>3883</v>
      </c>
      <c r="H726" s="141" t="s">
        <v>3306</v>
      </c>
      <c r="I726" s="187" t="s">
        <v>3884</v>
      </c>
      <c r="J726" s="142"/>
      <c r="K726" s="142" t="s">
        <v>374</v>
      </c>
      <c r="L726" s="273"/>
      <c r="M726"/>
      <c r="N726"/>
    </row>
    <row r="727" spans="1:14" ht="37.5">
      <c r="A727" s="120" t="s">
        <v>3790</v>
      </c>
      <c r="B727" s="141" t="s">
        <v>3885</v>
      </c>
      <c r="C727" s="142" t="s">
        <v>321</v>
      </c>
      <c r="D727" s="142" t="s">
        <v>93</v>
      </c>
      <c r="E727" s="274"/>
      <c r="F727" s="141" t="s">
        <v>1136</v>
      </c>
      <c r="G727" s="141" t="s">
        <v>3886</v>
      </c>
      <c r="H727" s="141" t="s">
        <v>3306</v>
      </c>
      <c r="I727" s="187" t="s">
        <v>3887</v>
      </c>
      <c r="J727" s="142"/>
      <c r="K727" s="142" t="s">
        <v>374</v>
      </c>
      <c r="L727" s="273"/>
      <c r="M727"/>
      <c r="N727"/>
    </row>
    <row r="728" spans="1:14" ht="37.5">
      <c r="A728" s="120" t="s">
        <v>3790</v>
      </c>
      <c r="B728" s="141" t="s">
        <v>3888</v>
      </c>
      <c r="C728" s="142" t="s">
        <v>321</v>
      </c>
      <c r="D728" s="142" t="s">
        <v>93</v>
      </c>
      <c r="E728" s="274"/>
      <c r="F728" s="141" t="s">
        <v>1136</v>
      </c>
      <c r="G728" s="141" t="s">
        <v>3889</v>
      </c>
      <c r="H728" s="141" t="s">
        <v>3306</v>
      </c>
      <c r="I728" s="187" t="s">
        <v>3890</v>
      </c>
      <c r="J728" s="142"/>
      <c r="K728" s="142" t="s">
        <v>374</v>
      </c>
      <c r="L728" s="273"/>
      <c r="M728"/>
      <c r="N728"/>
    </row>
    <row r="729" spans="1:14" ht="37.5">
      <c r="A729" s="120" t="s">
        <v>3790</v>
      </c>
      <c r="B729" s="141" t="s">
        <v>3891</v>
      </c>
      <c r="C729" s="142" t="s">
        <v>321</v>
      </c>
      <c r="D729" s="142" t="s">
        <v>93</v>
      </c>
      <c r="E729" s="274"/>
      <c r="F729" s="141" t="s">
        <v>1136</v>
      </c>
      <c r="G729" s="141" t="s">
        <v>3892</v>
      </c>
      <c r="H729" s="141" t="s">
        <v>3306</v>
      </c>
      <c r="I729" s="187" t="s">
        <v>3893</v>
      </c>
      <c r="J729" s="142"/>
      <c r="K729" s="142" t="s">
        <v>374</v>
      </c>
      <c r="L729" s="273"/>
      <c r="M729"/>
      <c r="N729"/>
    </row>
    <row r="730" spans="1:14" ht="37.5">
      <c r="A730" s="120" t="s">
        <v>3790</v>
      </c>
      <c r="B730" s="141" t="s">
        <v>3894</v>
      </c>
      <c r="C730" s="142" t="s">
        <v>321</v>
      </c>
      <c r="D730" s="142" t="s">
        <v>93</v>
      </c>
      <c r="E730" s="274"/>
      <c r="F730" s="141" t="s">
        <v>1136</v>
      </c>
      <c r="G730" s="141" t="s">
        <v>3895</v>
      </c>
      <c r="H730" s="141" t="s">
        <v>3306</v>
      </c>
      <c r="I730" s="187" t="s">
        <v>3896</v>
      </c>
      <c r="J730" s="142"/>
      <c r="K730" s="142" t="s">
        <v>374</v>
      </c>
      <c r="L730" s="273"/>
      <c r="M730"/>
      <c r="N730"/>
    </row>
    <row r="731" spans="1:14" ht="37.5">
      <c r="A731" s="120" t="s">
        <v>3790</v>
      </c>
      <c r="B731" s="141" t="s">
        <v>3897</v>
      </c>
      <c r="C731" s="142" t="s">
        <v>321</v>
      </c>
      <c r="D731" s="142" t="s">
        <v>93</v>
      </c>
      <c r="E731" s="274"/>
      <c r="F731" s="141" t="s">
        <v>1136</v>
      </c>
      <c r="G731" s="141" t="s">
        <v>3898</v>
      </c>
      <c r="H731" s="141" t="s">
        <v>3306</v>
      </c>
      <c r="I731" s="187" t="s">
        <v>3899</v>
      </c>
      <c r="J731" s="142"/>
      <c r="K731" s="142" t="s">
        <v>374</v>
      </c>
      <c r="L731" s="273"/>
      <c r="M731"/>
      <c r="N731"/>
    </row>
    <row r="732" spans="1:14" ht="37.5">
      <c r="A732" s="120" t="s">
        <v>3790</v>
      </c>
      <c r="B732" s="141" t="s">
        <v>3900</v>
      </c>
      <c r="C732" s="142" t="s">
        <v>321</v>
      </c>
      <c r="D732" s="142" t="s">
        <v>93</v>
      </c>
      <c r="E732" s="274"/>
      <c r="F732" s="141" t="s">
        <v>1136</v>
      </c>
      <c r="G732" s="141" t="s">
        <v>3901</v>
      </c>
      <c r="H732" s="141" t="s">
        <v>3306</v>
      </c>
      <c r="I732" s="187" t="s">
        <v>3902</v>
      </c>
      <c r="J732" s="142"/>
      <c r="K732" s="142" t="s">
        <v>374</v>
      </c>
      <c r="L732" s="273"/>
      <c r="M732"/>
      <c r="N732"/>
    </row>
    <row r="733" spans="1:14" ht="51">
      <c r="A733" s="120" t="s">
        <v>3790</v>
      </c>
      <c r="B733" s="141" t="s">
        <v>491</v>
      </c>
      <c r="C733" s="142" t="s">
        <v>321</v>
      </c>
      <c r="D733" s="142" t="s">
        <v>263</v>
      </c>
      <c r="E733" s="274" t="s">
        <v>3903</v>
      </c>
      <c r="F733" s="141" t="s">
        <v>1136</v>
      </c>
      <c r="G733" s="141" t="s">
        <v>3904</v>
      </c>
      <c r="H733" s="141" t="s">
        <v>3306</v>
      </c>
      <c r="I733" s="187" t="s">
        <v>3905</v>
      </c>
      <c r="J733" s="142"/>
      <c r="K733" s="142" t="s">
        <v>374</v>
      </c>
      <c r="L733" s="273"/>
      <c r="M733"/>
      <c r="N733"/>
    </row>
    <row r="734" spans="1:14" ht="38.5">
      <c r="A734" s="120" t="s">
        <v>3790</v>
      </c>
      <c r="B734" s="141" t="s">
        <v>491</v>
      </c>
      <c r="C734" s="142" t="s">
        <v>321</v>
      </c>
      <c r="D734" s="142" t="s">
        <v>263</v>
      </c>
      <c r="E734" s="274" t="s">
        <v>3906</v>
      </c>
      <c r="F734" s="141" t="s">
        <v>1136</v>
      </c>
      <c r="G734" s="141" t="s">
        <v>3907</v>
      </c>
      <c r="H734" s="141" t="s">
        <v>3306</v>
      </c>
      <c r="I734" s="187" t="s">
        <v>3908</v>
      </c>
      <c r="J734" s="142"/>
      <c r="K734" s="142" t="s">
        <v>374</v>
      </c>
      <c r="L734" s="273"/>
      <c r="M734"/>
      <c r="N734"/>
    </row>
    <row r="735" spans="1:14" ht="37.5">
      <c r="A735" s="120" t="s">
        <v>3790</v>
      </c>
      <c r="B735" s="141" t="s">
        <v>3909</v>
      </c>
      <c r="C735" s="142" t="s">
        <v>321</v>
      </c>
      <c r="D735" s="142" t="s">
        <v>93</v>
      </c>
      <c r="E735" s="274"/>
      <c r="F735" s="141" t="s">
        <v>1136</v>
      </c>
      <c r="G735" s="141" t="s">
        <v>3910</v>
      </c>
      <c r="H735" s="141" t="s">
        <v>3306</v>
      </c>
      <c r="I735" s="187" t="s">
        <v>3911</v>
      </c>
      <c r="J735" s="142"/>
      <c r="K735" s="142" t="s">
        <v>374</v>
      </c>
      <c r="L735" s="273"/>
      <c r="M735"/>
      <c r="N735"/>
    </row>
    <row r="736" spans="1:14" ht="37.5">
      <c r="A736" s="120" t="s">
        <v>3790</v>
      </c>
      <c r="B736" s="141" t="s">
        <v>3912</v>
      </c>
      <c r="C736" s="142" t="s">
        <v>321</v>
      </c>
      <c r="D736" s="142" t="s">
        <v>93</v>
      </c>
      <c r="E736" s="274"/>
      <c r="F736" s="141" t="s">
        <v>1136</v>
      </c>
      <c r="G736" s="141" t="s">
        <v>3913</v>
      </c>
      <c r="H736" s="141" t="s">
        <v>3306</v>
      </c>
      <c r="I736" s="187" t="s">
        <v>3914</v>
      </c>
      <c r="J736" s="142"/>
      <c r="K736" s="142" t="s">
        <v>374</v>
      </c>
      <c r="L736" s="273"/>
      <c r="M736"/>
      <c r="N736"/>
    </row>
    <row r="737" spans="1:14" ht="37.5">
      <c r="A737" s="120" t="s">
        <v>3790</v>
      </c>
      <c r="B737" s="141" t="s">
        <v>3915</v>
      </c>
      <c r="C737" s="142" t="s">
        <v>321</v>
      </c>
      <c r="D737" s="142" t="s">
        <v>93</v>
      </c>
      <c r="E737" s="274"/>
      <c r="F737" s="141" t="s">
        <v>1136</v>
      </c>
      <c r="G737" s="141" t="s">
        <v>3916</v>
      </c>
      <c r="H737" s="141" t="s">
        <v>3306</v>
      </c>
      <c r="I737" s="187" t="s">
        <v>3917</v>
      </c>
      <c r="J737" s="142"/>
      <c r="K737" s="142" t="s">
        <v>374</v>
      </c>
      <c r="L737" s="273"/>
      <c r="M737"/>
      <c r="N737"/>
    </row>
    <row r="738" spans="1:14" ht="37.5">
      <c r="A738" s="120" t="s">
        <v>3790</v>
      </c>
      <c r="B738" s="141" t="s">
        <v>3918</v>
      </c>
      <c r="C738" s="142" t="s">
        <v>321</v>
      </c>
      <c r="D738" s="142" t="s">
        <v>93</v>
      </c>
      <c r="E738" s="274"/>
      <c r="F738" s="141" t="s">
        <v>1136</v>
      </c>
      <c r="G738" s="141" t="s">
        <v>3919</v>
      </c>
      <c r="H738" s="141" t="s">
        <v>3306</v>
      </c>
      <c r="I738" s="187" t="s">
        <v>3920</v>
      </c>
      <c r="J738" s="142"/>
      <c r="K738" s="142" t="s">
        <v>374</v>
      </c>
      <c r="L738" s="273"/>
      <c r="M738"/>
      <c r="N738"/>
    </row>
    <row r="739" spans="1:14" ht="37.5">
      <c r="A739" s="120" t="s">
        <v>3790</v>
      </c>
      <c r="B739" s="141" t="s">
        <v>3921</v>
      </c>
      <c r="C739" s="142" t="s">
        <v>321</v>
      </c>
      <c r="D739" s="142" t="s">
        <v>93</v>
      </c>
      <c r="E739" s="274"/>
      <c r="F739" s="141" t="s">
        <v>1136</v>
      </c>
      <c r="G739" s="141" t="s">
        <v>3922</v>
      </c>
      <c r="H739" s="141" t="s">
        <v>3306</v>
      </c>
      <c r="I739" s="187" t="s">
        <v>3923</v>
      </c>
      <c r="J739" s="142"/>
      <c r="K739" s="142" t="s">
        <v>374</v>
      </c>
      <c r="L739" s="273"/>
      <c r="M739"/>
      <c r="N739"/>
    </row>
    <row r="740" spans="1:14" ht="37.5">
      <c r="A740" s="120" t="s">
        <v>3790</v>
      </c>
      <c r="B740" s="141" t="s">
        <v>3924</v>
      </c>
      <c r="C740" s="142" t="s">
        <v>321</v>
      </c>
      <c r="D740" s="142" t="s">
        <v>93</v>
      </c>
      <c r="E740" s="274"/>
      <c r="F740" s="141" t="s">
        <v>1136</v>
      </c>
      <c r="G740" s="141" t="s">
        <v>3925</v>
      </c>
      <c r="H740" s="141" t="s">
        <v>3306</v>
      </c>
      <c r="I740" s="187" t="s">
        <v>3926</v>
      </c>
      <c r="J740" s="142"/>
      <c r="K740" s="142" t="s">
        <v>374</v>
      </c>
      <c r="L740" s="273"/>
      <c r="M740"/>
      <c r="N740"/>
    </row>
    <row r="741" spans="1:14" ht="37.5">
      <c r="A741" s="120" t="s">
        <v>3790</v>
      </c>
      <c r="B741" s="141" t="s">
        <v>3927</v>
      </c>
      <c r="C741" s="142" t="s">
        <v>321</v>
      </c>
      <c r="D741" s="142" t="s">
        <v>93</v>
      </c>
      <c r="E741" s="274"/>
      <c r="F741" s="141" t="s">
        <v>1136</v>
      </c>
      <c r="G741" s="141" t="s">
        <v>3928</v>
      </c>
      <c r="H741" s="141" t="s">
        <v>3306</v>
      </c>
      <c r="I741" s="187" t="s">
        <v>3929</v>
      </c>
      <c r="J741" s="142"/>
      <c r="K741" s="142" t="s">
        <v>374</v>
      </c>
      <c r="L741" s="273"/>
      <c r="M741"/>
      <c r="N741"/>
    </row>
    <row r="742" spans="1:14" ht="37.5">
      <c r="A742" s="120" t="s">
        <v>3790</v>
      </c>
      <c r="B742" s="141" t="s">
        <v>3930</v>
      </c>
      <c r="C742" s="142" t="s">
        <v>321</v>
      </c>
      <c r="D742" s="142" t="s">
        <v>93</v>
      </c>
      <c r="E742" s="274"/>
      <c r="F742" s="141" t="s">
        <v>1136</v>
      </c>
      <c r="G742" s="141" t="s">
        <v>3931</v>
      </c>
      <c r="H742" s="141" t="s">
        <v>3306</v>
      </c>
      <c r="I742" s="187" t="s">
        <v>3932</v>
      </c>
      <c r="J742" s="142"/>
      <c r="K742" s="142" t="s">
        <v>374</v>
      </c>
      <c r="L742" s="273"/>
      <c r="M742"/>
      <c r="N742"/>
    </row>
    <row r="743" spans="1:14" ht="37.5">
      <c r="A743" s="120" t="s">
        <v>3790</v>
      </c>
      <c r="B743" s="141" t="s">
        <v>3933</v>
      </c>
      <c r="C743" s="142" t="s">
        <v>321</v>
      </c>
      <c r="D743" s="142" t="s">
        <v>93</v>
      </c>
      <c r="E743" s="274"/>
      <c r="F743" s="141" t="s">
        <v>1136</v>
      </c>
      <c r="G743" s="141" t="s">
        <v>3934</v>
      </c>
      <c r="H743" s="141" t="s">
        <v>3306</v>
      </c>
      <c r="I743" s="187" t="s">
        <v>3935</v>
      </c>
      <c r="J743" s="142"/>
      <c r="K743" s="142" t="s">
        <v>374</v>
      </c>
      <c r="L743" s="273"/>
      <c r="M743"/>
      <c r="N743"/>
    </row>
    <row r="744" spans="1:14" ht="37.5">
      <c r="A744" s="120" t="s">
        <v>3790</v>
      </c>
      <c r="B744" s="141" t="s">
        <v>3936</v>
      </c>
      <c r="C744" s="142" t="s">
        <v>321</v>
      </c>
      <c r="D744" s="142" t="s">
        <v>93</v>
      </c>
      <c r="E744" s="274"/>
      <c r="F744" s="141" t="s">
        <v>1136</v>
      </c>
      <c r="G744" s="141" t="s">
        <v>3937</v>
      </c>
      <c r="H744" s="141" t="s">
        <v>3306</v>
      </c>
      <c r="I744" s="187" t="s">
        <v>3938</v>
      </c>
      <c r="J744" s="142"/>
      <c r="K744" s="142" t="s">
        <v>374</v>
      </c>
      <c r="L744" s="273"/>
      <c r="M744"/>
      <c r="N744"/>
    </row>
    <row r="745" spans="1:14" ht="37.5">
      <c r="A745" s="120" t="s">
        <v>3790</v>
      </c>
      <c r="B745" s="141" t="s">
        <v>3939</v>
      </c>
      <c r="C745" s="142" t="s">
        <v>321</v>
      </c>
      <c r="D745" s="142" t="s">
        <v>93</v>
      </c>
      <c r="E745" s="274"/>
      <c r="F745" s="141" t="s">
        <v>1136</v>
      </c>
      <c r="G745" s="141" t="s">
        <v>3940</v>
      </c>
      <c r="H745" s="141" t="s">
        <v>3306</v>
      </c>
      <c r="I745" s="187" t="s">
        <v>3941</v>
      </c>
      <c r="J745" s="142"/>
      <c r="K745" s="142" t="s">
        <v>374</v>
      </c>
      <c r="L745" s="273"/>
      <c r="M745"/>
      <c r="N745"/>
    </row>
    <row r="746" spans="1:14" ht="37.5">
      <c r="A746" s="120" t="s">
        <v>3790</v>
      </c>
      <c r="B746" s="141" t="s">
        <v>3942</v>
      </c>
      <c r="C746" s="142" t="s">
        <v>321</v>
      </c>
      <c r="D746" s="142" t="s">
        <v>93</v>
      </c>
      <c r="E746" s="274"/>
      <c r="F746" s="141" t="s">
        <v>1136</v>
      </c>
      <c r="G746" s="141" t="s">
        <v>3943</v>
      </c>
      <c r="H746" s="141" t="s">
        <v>3306</v>
      </c>
      <c r="I746" s="187" t="s">
        <v>3944</v>
      </c>
      <c r="J746" s="142"/>
      <c r="K746" s="142" t="s">
        <v>374</v>
      </c>
      <c r="L746" s="273"/>
      <c r="M746"/>
      <c r="N746"/>
    </row>
    <row r="747" spans="1:14" ht="37.5">
      <c r="A747" s="120" t="s">
        <v>3790</v>
      </c>
      <c r="B747" s="141" t="s">
        <v>3945</v>
      </c>
      <c r="C747" s="142" t="s">
        <v>321</v>
      </c>
      <c r="D747" s="142" t="s">
        <v>93</v>
      </c>
      <c r="E747" s="274"/>
      <c r="F747" s="141" t="s">
        <v>1136</v>
      </c>
      <c r="G747" s="141" t="s">
        <v>3946</v>
      </c>
      <c r="H747" s="141" t="s">
        <v>3306</v>
      </c>
      <c r="I747" s="187" t="s">
        <v>3947</v>
      </c>
      <c r="J747" s="142"/>
      <c r="K747" s="142" t="s">
        <v>374</v>
      </c>
      <c r="L747" s="273"/>
      <c r="M747"/>
      <c r="N747"/>
    </row>
    <row r="748" spans="1:14" ht="37.5">
      <c r="A748" s="120" t="s">
        <v>3790</v>
      </c>
      <c r="B748" s="141" t="s">
        <v>551</v>
      </c>
      <c r="C748" s="142" t="s">
        <v>321</v>
      </c>
      <c r="D748" s="142" t="s">
        <v>93</v>
      </c>
      <c r="E748" s="274"/>
      <c r="F748" s="141" t="s">
        <v>1136</v>
      </c>
      <c r="G748" s="141" t="s">
        <v>3948</v>
      </c>
      <c r="H748" s="141" t="s">
        <v>3306</v>
      </c>
      <c r="I748" s="187" t="s">
        <v>3949</v>
      </c>
      <c r="J748" s="142"/>
      <c r="K748" s="142" t="s">
        <v>374</v>
      </c>
      <c r="L748" s="273"/>
      <c r="M748"/>
      <c r="N748"/>
    </row>
    <row r="749" spans="1:14" ht="37.5">
      <c r="A749" s="120" t="s">
        <v>3790</v>
      </c>
      <c r="B749" s="141" t="s">
        <v>3950</v>
      </c>
      <c r="C749" s="142" t="s">
        <v>321</v>
      </c>
      <c r="D749" s="142" t="s">
        <v>93</v>
      </c>
      <c r="E749" s="274"/>
      <c r="F749" s="141" t="s">
        <v>1136</v>
      </c>
      <c r="G749" s="141" t="s">
        <v>3951</v>
      </c>
      <c r="H749" s="141" t="s">
        <v>3306</v>
      </c>
      <c r="I749" s="187" t="s">
        <v>3952</v>
      </c>
      <c r="J749" s="142"/>
      <c r="K749" s="142" t="s">
        <v>374</v>
      </c>
      <c r="L749" s="273"/>
      <c r="M749"/>
      <c r="N749"/>
    </row>
    <row r="750" spans="1:14" ht="37.5">
      <c r="A750" s="120" t="s">
        <v>3790</v>
      </c>
      <c r="B750" s="141" t="s">
        <v>3953</v>
      </c>
      <c r="C750" s="142" t="s">
        <v>321</v>
      </c>
      <c r="D750" s="142" t="s">
        <v>93</v>
      </c>
      <c r="E750" s="274"/>
      <c r="F750" s="141" t="s">
        <v>1136</v>
      </c>
      <c r="G750" s="141" t="s">
        <v>3954</v>
      </c>
      <c r="H750" s="141" t="s">
        <v>3306</v>
      </c>
      <c r="I750" s="187" t="s">
        <v>3955</v>
      </c>
      <c r="J750" s="142"/>
      <c r="K750" s="142" t="s">
        <v>374</v>
      </c>
      <c r="L750" s="273"/>
      <c r="M750"/>
      <c r="N750"/>
    </row>
    <row r="751" spans="1:14" ht="37.5">
      <c r="A751" s="120" t="s">
        <v>3790</v>
      </c>
      <c r="B751" s="141" t="s">
        <v>3956</v>
      </c>
      <c r="C751" s="142" t="s">
        <v>321</v>
      </c>
      <c r="D751" s="142" t="s">
        <v>93</v>
      </c>
      <c r="E751" s="274"/>
      <c r="F751" s="141" t="s">
        <v>1136</v>
      </c>
      <c r="G751" s="141" t="s">
        <v>3957</v>
      </c>
      <c r="H751" s="141" t="s">
        <v>3306</v>
      </c>
      <c r="I751" s="187" t="s">
        <v>3958</v>
      </c>
      <c r="J751" s="142"/>
      <c r="K751" s="142" t="s">
        <v>374</v>
      </c>
      <c r="L751" s="273"/>
      <c r="M751"/>
      <c r="N751"/>
    </row>
    <row r="752" spans="1:14" ht="37.5">
      <c r="A752" s="120" t="s">
        <v>3790</v>
      </c>
      <c r="B752" s="141" t="s">
        <v>3959</v>
      </c>
      <c r="C752" s="142" t="s">
        <v>321</v>
      </c>
      <c r="D752" s="142" t="s">
        <v>93</v>
      </c>
      <c r="E752" s="274"/>
      <c r="F752" s="141" t="s">
        <v>1136</v>
      </c>
      <c r="G752" s="141" t="s">
        <v>3960</v>
      </c>
      <c r="H752" s="141" t="s">
        <v>3306</v>
      </c>
      <c r="I752" s="187" t="s">
        <v>3961</v>
      </c>
      <c r="J752" s="142"/>
      <c r="K752" s="142" t="s">
        <v>374</v>
      </c>
      <c r="L752" s="273"/>
      <c r="M752"/>
      <c r="N752"/>
    </row>
    <row r="753" spans="1:14" ht="37.5">
      <c r="A753" s="120" t="s">
        <v>3790</v>
      </c>
      <c r="B753" s="141" t="s">
        <v>3962</v>
      </c>
      <c r="C753" s="142" t="s">
        <v>321</v>
      </c>
      <c r="D753" s="142" t="s">
        <v>93</v>
      </c>
      <c r="E753" s="274"/>
      <c r="F753" s="141" t="s">
        <v>1136</v>
      </c>
      <c r="G753" s="141" t="s">
        <v>3963</v>
      </c>
      <c r="H753" s="141" t="s">
        <v>3306</v>
      </c>
      <c r="I753" s="187" t="s">
        <v>3964</v>
      </c>
      <c r="J753" s="142"/>
      <c r="K753" s="142" t="s">
        <v>374</v>
      </c>
      <c r="L753" s="273"/>
      <c r="M753"/>
      <c r="N753"/>
    </row>
    <row r="754" spans="1:14" ht="37.5">
      <c r="A754" s="120" t="s">
        <v>3790</v>
      </c>
      <c r="B754" s="141" t="s">
        <v>3965</v>
      </c>
      <c r="C754" s="142" t="s">
        <v>321</v>
      </c>
      <c r="D754" s="142" t="s">
        <v>93</v>
      </c>
      <c r="E754" s="274"/>
      <c r="F754" s="141" t="s">
        <v>1136</v>
      </c>
      <c r="G754" s="141" t="s">
        <v>3966</v>
      </c>
      <c r="H754" s="141" t="s">
        <v>3306</v>
      </c>
      <c r="I754" s="187" t="s">
        <v>3967</v>
      </c>
      <c r="J754" s="142"/>
      <c r="K754" s="142" t="s">
        <v>374</v>
      </c>
      <c r="L754" s="273"/>
      <c r="M754"/>
      <c r="N754"/>
    </row>
    <row r="755" spans="1:14" ht="37.5">
      <c r="A755" s="120" t="s">
        <v>3790</v>
      </c>
      <c r="B755" s="141" t="s">
        <v>3968</v>
      </c>
      <c r="C755" s="142" t="s">
        <v>321</v>
      </c>
      <c r="D755" s="142" t="s">
        <v>93</v>
      </c>
      <c r="E755" s="274"/>
      <c r="F755" s="141" t="s">
        <v>1136</v>
      </c>
      <c r="G755" s="141" t="s">
        <v>3969</v>
      </c>
      <c r="H755" s="141" t="s">
        <v>3306</v>
      </c>
      <c r="I755" s="187" t="s">
        <v>3970</v>
      </c>
      <c r="J755" s="142"/>
      <c r="K755" s="142" t="s">
        <v>374</v>
      </c>
      <c r="L755" s="273"/>
      <c r="M755"/>
      <c r="N755"/>
    </row>
    <row r="756" spans="1:14" ht="37.5">
      <c r="A756" s="120" t="s">
        <v>3790</v>
      </c>
      <c r="B756" s="141" t="s">
        <v>3971</v>
      </c>
      <c r="C756" s="142" t="s">
        <v>321</v>
      </c>
      <c r="D756" s="142" t="s">
        <v>93</v>
      </c>
      <c r="E756" s="274"/>
      <c r="F756" s="141" t="s">
        <v>1136</v>
      </c>
      <c r="G756" s="141" t="s">
        <v>3972</v>
      </c>
      <c r="H756" s="141" t="s">
        <v>3306</v>
      </c>
      <c r="I756" s="187" t="s">
        <v>3973</v>
      </c>
      <c r="J756" s="142"/>
      <c r="K756" s="142" t="s">
        <v>374</v>
      </c>
      <c r="L756" s="273"/>
      <c r="M756"/>
      <c r="N756"/>
    </row>
    <row r="757" spans="1:14" ht="37.5">
      <c r="A757" s="120" t="s">
        <v>3790</v>
      </c>
      <c r="B757" s="141" t="s">
        <v>3974</v>
      </c>
      <c r="C757" s="142" t="s">
        <v>321</v>
      </c>
      <c r="D757" s="142" t="s">
        <v>93</v>
      </c>
      <c r="E757" s="274"/>
      <c r="F757" s="141" t="s">
        <v>1136</v>
      </c>
      <c r="G757" s="141" t="s">
        <v>3975</v>
      </c>
      <c r="H757" s="141" t="s">
        <v>3306</v>
      </c>
      <c r="I757" s="187" t="s">
        <v>3976</v>
      </c>
      <c r="J757" s="142"/>
      <c r="K757" s="142" t="s">
        <v>374</v>
      </c>
      <c r="L757" s="273"/>
      <c r="M757"/>
      <c r="N757"/>
    </row>
    <row r="758" spans="1:14" ht="37.5">
      <c r="A758" s="120" t="s">
        <v>3790</v>
      </c>
      <c r="B758" s="141" t="s">
        <v>3977</v>
      </c>
      <c r="C758" s="142" t="s">
        <v>321</v>
      </c>
      <c r="D758" s="142" t="s">
        <v>93</v>
      </c>
      <c r="E758" s="274"/>
      <c r="F758" s="141" t="s">
        <v>1136</v>
      </c>
      <c r="G758" s="141" t="s">
        <v>3978</v>
      </c>
      <c r="H758" s="141" t="s">
        <v>3306</v>
      </c>
      <c r="I758" s="187" t="s">
        <v>3979</v>
      </c>
      <c r="J758" s="142"/>
      <c r="K758" s="142" t="s">
        <v>374</v>
      </c>
      <c r="L758" s="273"/>
      <c r="M758"/>
      <c r="N758"/>
    </row>
    <row r="759" spans="1:14" ht="37.5">
      <c r="A759" s="120" t="s">
        <v>3790</v>
      </c>
      <c r="B759" s="141" t="s">
        <v>3980</v>
      </c>
      <c r="C759" s="142" t="s">
        <v>321</v>
      </c>
      <c r="D759" s="142" t="s">
        <v>93</v>
      </c>
      <c r="E759" s="274"/>
      <c r="F759" s="141" t="s">
        <v>1136</v>
      </c>
      <c r="G759" s="141" t="s">
        <v>3981</v>
      </c>
      <c r="H759" s="141" t="s">
        <v>3306</v>
      </c>
      <c r="I759" s="187" t="s">
        <v>3982</v>
      </c>
      <c r="J759" s="142"/>
      <c r="K759" s="142" t="s">
        <v>374</v>
      </c>
      <c r="L759" s="273"/>
      <c r="M759"/>
      <c r="N759"/>
    </row>
    <row r="760" spans="1:14" ht="37.5">
      <c r="A760" s="120" t="s">
        <v>3790</v>
      </c>
      <c r="B760" s="141" t="s">
        <v>3983</v>
      </c>
      <c r="C760" s="142" t="s">
        <v>321</v>
      </c>
      <c r="D760" s="142" t="s">
        <v>93</v>
      </c>
      <c r="E760" s="274"/>
      <c r="F760" s="141" t="s">
        <v>1136</v>
      </c>
      <c r="G760" s="141" t="s">
        <v>3984</v>
      </c>
      <c r="H760" s="141" t="s">
        <v>3306</v>
      </c>
      <c r="I760" s="187" t="s">
        <v>3985</v>
      </c>
      <c r="J760" s="142"/>
      <c r="K760" s="142" t="s">
        <v>374</v>
      </c>
      <c r="L760" s="273"/>
      <c r="M760"/>
      <c r="N760"/>
    </row>
    <row r="761" spans="1:14" ht="37.5">
      <c r="A761" s="120" t="s">
        <v>3790</v>
      </c>
      <c r="B761" s="141" t="s">
        <v>3986</v>
      </c>
      <c r="C761" s="142" t="s">
        <v>321</v>
      </c>
      <c r="D761" s="142" t="s">
        <v>93</v>
      </c>
      <c r="E761" s="274"/>
      <c r="F761" s="141" t="s">
        <v>1136</v>
      </c>
      <c r="G761" s="141" t="s">
        <v>3987</v>
      </c>
      <c r="H761" s="141" t="s">
        <v>3306</v>
      </c>
      <c r="I761" s="187" t="s">
        <v>3988</v>
      </c>
      <c r="J761" s="142"/>
      <c r="K761" s="142" t="s">
        <v>374</v>
      </c>
      <c r="L761" s="273"/>
      <c r="M761"/>
      <c r="N761"/>
    </row>
    <row r="762" spans="1:14" ht="37.5">
      <c r="A762" s="120" t="s">
        <v>3790</v>
      </c>
      <c r="B762" s="141" t="s">
        <v>3989</v>
      </c>
      <c r="C762" s="142" t="s">
        <v>321</v>
      </c>
      <c r="D762" s="142" t="s">
        <v>93</v>
      </c>
      <c r="E762" s="274"/>
      <c r="F762" s="141" t="s">
        <v>1136</v>
      </c>
      <c r="G762" s="141" t="s">
        <v>3990</v>
      </c>
      <c r="H762" s="141" t="s">
        <v>3306</v>
      </c>
      <c r="I762" s="187" t="s">
        <v>3991</v>
      </c>
      <c r="J762" s="142"/>
      <c r="K762" s="142" t="s">
        <v>374</v>
      </c>
      <c r="L762" s="273"/>
      <c r="M762"/>
      <c r="N762"/>
    </row>
    <row r="763" spans="1:14" ht="37.5">
      <c r="A763" s="120" t="s">
        <v>3790</v>
      </c>
      <c r="B763" s="141" t="s">
        <v>3992</v>
      </c>
      <c r="C763" s="142" t="s">
        <v>321</v>
      </c>
      <c r="D763" s="142" t="s">
        <v>93</v>
      </c>
      <c r="E763" s="274"/>
      <c r="F763" s="141" t="s">
        <v>1136</v>
      </c>
      <c r="G763" s="141" t="s">
        <v>3993</v>
      </c>
      <c r="H763" s="141" t="s">
        <v>3306</v>
      </c>
      <c r="I763" s="187" t="s">
        <v>3994</v>
      </c>
      <c r="J763" s="142"/>
      <c r="K763" s="142" t="s">
        <v>374</v>
      </c>
      <c r="L763" s="273"/>
      <c r="M763"/>
      <c r="N763"/>
    </row>
    <row r="764" spans="1:14" ht="37.5">
      <c r="A764" s="120" t="s">
        <v>3790</v>
      </c>
      <c r="B764" s="141" t="s">
        <v>3995</v>
      </c>
      <c r="C764" s="142" t="s">
        <v>321</v>
      </c>
      <c r="D764" s="142" t="s">
        <v>93</v>
      </c>
      <c r="E764" s="274"/>
      <c r="F764" s="141" t="s">
        <v>1136</v>
      </c>
      <c r="G764" s="141" t="s">
        <v>3996</v>
      </c>
      <c r="H764" s="141" t="s">
        <v>3306</v>
      </c>
      <c r="I764" s="187" t="s">
        <v>3997</v>
      </c>
      <c r="J764" s="142"/>
      <c r="K764" s="142" t="s">
        <v>374</v>
      </c>
      <c r="L764" s="273"/>
      <c r="M764"/>
      <c r="N764"/>
    </row>
    <row r="765" spans="1:14" ht="37.5">
      <c r="A765" s="120" t="s">
        <v>3790</v>
      </c>
      <c r="B765" s="141" t="s">
        <v>3998</v>
      </c>
      <c r="C765" s="142" t="s">
        <v>321</v>
      </c>
      <c r="D765" s="142" t="s">
        <v>93</v>
      </c>
      <c r="E765" s="274"/>
      <c r="F765" s="141" t="s">
        <v>1136</v>
      </c>
      <c r="G765" s="141" t="s">
        <v>3999</v>
      </c>
      <c r="H765" s="141" t="s">
        <v>3306</v>
      </c>
      <c r="I765" s="187" t="s">
        <v>4000</v>
      </c>
      <c r="J765" s="142"/>
      <c r="K765" s="142" t="s">
        <v>374</v>
      </c>
      <c r="L765" s="273"/>
      <c r="M765"/>
      <c r="N765"/>
    </row>
    <row r="766" spans="1:14" ht="37.5">
      <c r="A766" s="120" t="s">
        <v>3790</v>
      </c>
      <c r="B766" s="141" t="s">
        <v>577</v>
      </c>
      <c r="C766" s="142" t="s">
        <v>321</v>
      </c>
      <c r="D766" s="142" t="s">
        <v>93</v>
      </c>
      <c r="E766" s="274" t="s">
        <v>4001</v>
      </c>
      <c r="F766" s="141" t="s">
        <v>1136</v>
      </c>
      <c r="G766" s="141" t="s">
        <v>4002</v>
      </c>
      <c r="H766" s="141" t="s">
        <v>3306</v>
      </c>
      <c r="I766" s="187" t="s">
        <v>4003</v>
      </c>
      <c r="J766" s="142"/>
      <c r="K766" s="142" t="s">
        <v>374</v>
      </c>
      <c r="L766" s="273"/>
      <c r="M766"/>
      <c r="N766"/>
    </row>
    <row r="767" spans="1:14" ht="37.5">
      <c r="A767" s="120" t="s">
        <v>3790</v>
      </c>
      <c r="B767" s="141" t="s">
        <v>580</v>
      </c>
      <c r="C767" s="142" t="s">
        <v>321</v>
      </c>
      <c r="D767" s="142" t="s">
        <v>93</v>
      </c>
      <c r="E767" s="274" t="s">
        <v>4001</v>
      </c>
      <c r="F767" s="141" t="s">
        <v>1136</v>
      </c>
      <c r="G767" s="141" t="s">
        <v>4004</v>
      </c>
      <c r="H767" s="141" t="s">
        <v>3306</v>
      </c>
      <c r="I767" s="187" t="s">
        <v>4005</v>
      </c>
      <c r="J767" s="142"/>
      <c r="K767" s="142" t="s">
        <v>374</v>
      </c>
      <c r="L767" s="273"/>
      <c r="M767"/>
      <c r="N767"/>
    </row>
    <row r="768" spans="1:14" ht="37.5">
      <c r="A768" s="120" t="s">
        <v>3790</v>
      </c>
      <c r="B768" s="141" t="s">
        <v>4006</v>
      </c>
      <c r="C768" s="142" t="s">
        <v>321</v>
      </c>
      <c r="D768" s="142" t="s">
        <v>93</v>
      </c>
      <c r="E768" s="274" t="s">
        <v>4001</v>
      </c>
      <c r="F768" s="141" t="s">
        <v>1136</v>
      </c>
      <c r="G768" s="141" t="s">
        <v>4007</v>
      </c>
      <c r="H768" s="141" t="s">
        <v>3306</v>
      </c>
      <c r="I768" s="187" t="s">
        <v>4008</v>
      </c>
      <c r="J768" s="142"/>
      <c r="K768" s="142" t="s">
        <v>374</v>
      </c>
      <c r="L768" s="273"/>
      <c r="M768"/>
      <c r="N768"/>
    </row>
    <row r="769" spans="1:14" ht="25">
      <c r="A769" s="123" t="s">
        <v>4009</v>
      </c>
      <c r="B769" s="141" t="s">
        <v>4010</v>
      </c>
      <c r="C769" s="142" t="s">
        <v>321</v>
      </c>
      <c r="D769" s="142" t="s">
        <v>263</v>
      </c>
      <c r="E769" s="274" t="s">
        <v>4011</v>
      </c>
      <c r="F769" s="141" t="s">
        <v>1136</v>
      </c>
      <c r="G769" s="141" t="s">
        <v>4012</v>
      </c>
      <c r="H769" s="141" t="s">
        <v>3306</v>
      </c>
      <c r="I769" s="187" t="s">
        <v>4013</v>
      </c>
      <c r="J769" s="142"/>
      <c r="K769" s="142" t="s">
        <v>374</v>
      </c>
      <c r="L769" s="273"/>
      <c r="M769"/>
      <c r="N769"/>
    </row>
    <row r="770" spans="1:14" ht="37.5">
      <c r="A770" s="120" t="s">
        <v>3790</v>
      </c>
      <c r="B770" s="141" t="s">
        <v>4014</v>
      </c>
      <c r="C770" s="142" t="s">
        <v>321</v>
      </c>
      <c r="D770" s="142" t="s">
        <v>263</v>
      </c>
      <c r="E770" s="274" t="s">
        <v>4001</v>
      </c>
      <c r="F770" s="141" t="s">
        <v>1136</v>
      </c>
      <c r="G770" s="141" t="s">
        <v>4015</v>
      </c>
      <c r="H770" s="141" t="s">
        <v>3306</v>
      </c>
      <c r="I770" s="187" t="s">
        <v>4016</v>
      </c>
      <c r="J770" s="142"/>
      <c r="K770" s="142" t="s">
        <v>374</v>
      </c>
      <c r="L770" s="273"/>
      <c r="M770"/>
      <c r="N770"/>
    </row>
    <row r="771" spans="1:14" ht="25">
      <c r="A771" s="123" t="s">
        <v>4009</v>
      </c>
      <c r="B771" s="141" t="s">
        <v>4010</v>
      </c>
      <c r="C771" s="142" t="s">
        <v>321</v>
      </c>
      <c r="D771" s="142" t="s">
        <v>263</v>
      </c>
      <c r="E771" s="274" t="s">
        <v>4017</v>
      </c>
      <c r="F771" s="141" t="s">
        <v>1136</v>
      </c>
      <c r="G771" s="141" t="s">
        <v>4018</v>
      </c>
      <c r="H771" s="141" t="s">
        <v>3306</v>
      </c>
      <c r="I771" s="187" t="s">
        <v>4019</v>
      </c>
      <c r="J771" s="142"/>
      <c r="K771" s="142" t="s">
        <v>374</v>
      </c>
      <c r="L771" s="273"/>
      <c r="M771"/>
      <c r="N771"/>
    </row>
    <row r="772" spans="1:14" ht="37.5">
      <c r="A772" s="120" t="s">
        <v>3790</v>
      </c>
      <c r="B772" s="141" t="s">
        <v>4020</v>
      </c>
      <c r="C772" s="142" t="s">
        <v>321</v>
      </c>
      <c r="D772" s="142" t="s">
        <v>4021</v>
      </c>
      <c r="E772" s="274"/>
      <c r="F772" s="141" t="s">
        <v>1136</v>
      </c>
      <c r="G772" s="141" t="s">
        <v>4022</v>
      </c>
      <c r="H772" s="141" t="s">
        <v>1293</v>
      </c>
      <c r="I772" s="187" t="s">
        <v>4023</v>
      </c>
      <c r="J772" s="142"/>
      <c r="K772" s="142" t="s">
        <v>374</v>
      </c>
      <c r="L772" s="273"/>
      <c r="M772"/>
      <c r="N772"/>
    </row>
    <row r="773" spans="1:14" ht="37.5">
      <c r="A773" s="120" t="s">
        <v>3790</v>
      </c>
      <c r="B773" s="141" t="s">
        <v>4024</v>
      </c>
      <c r="C773" s="142" t="s">
        <v>321</v>
      </c>
      <c r="D773" s="142" t="s">
        <v>4021</v>
      </c>
      <c r="E773" s="274"/>
      <c r="F773" s="141" t="s">
        <v>1136</v>
      </c>
      <c r="G773" s="141" t="s">
        <v>4025</v>
      </c>
      <c r="H773" s="141" t="s">
        <v>1293</v>
      </c>
      <c r="I773" s="187" t="s">
        <v>4026</v>
      </c>
      <c r="J773" s="142"/>
      <c r="K773" s="115" t="s">
        <v>4027</v>
      </c>
      <c r="L773" s="273"/>
      <c r="M773"/>
      <c r="N773"/>
    </row>
    <row r="774" spans="1:14" ht="37.5">
      <c r="A774" s="120" t="s">
        <v>3790</v>
      </c>
      <c r="B774" s="141" t="s">
        <v>4028</v>
      </c>
      <c r="C774" s="142" t="s">
        <v>321</v>
      </c>
      <c r="D774" s="142" t="s">
        <v>4021</v>
      </c>
      <c r="E774" s="274" t="s">
        <v>4001</v>
      </c>
      <c r="F774" s="141" t="s">
        <v>1136</v>
      </c>
      <c r="G774" s="141" t="s">
        <v>4029</v>
      </c>
      <c r="H774" s="141" t="s">
        <v>3306</v>
      </c>
      <c r="I774" s="187" t="s">
        <v>4030</v>
      </c>
      <c r="J774" s="142"/>
      <c r="K774" s="115" t="s">
        <v>4027</v>
      </c>
      <c r="L774" s="273"/>
      <c r="M774"/>
      <c r="N774"/>
    </row>
    <row r="775" spans="1:14" ht="37.5">
      <c r="A775" s="120" t="s">
        <v>3790</v>
      </c>
      <c r="B775" s="141" t="s">
        <v>4031</v>
      </c>
      <c r="C775" s="142" t="s">
        <v>321</v>
      </c>
      <c r="D775" s="142" t="s">
        <v>4021</v>
      </c>
      <c r="E775" s="274" t="s">
        <v>4001</v>
      </c>
      <c r="F775" s="141" t="s">
        <v>1136</v>
      </c>
      <c r="G775" s="141" t="s">
        <v>4032</v>
      </c>
      <c r="H775" s="141" t="s">
        <v>3306</v>
      </c>
      <c r="I775" s="187" t="s">
        <v>4033</v>
      </c>
      <c r="J775" s="142"/>
      <c r="K775" s="142" t="s">
        <v>374</v>
      </c>
      <c r="L775" s="273"/>
      <c r="M775"/>
      <c r="N775"/>
    </row>
    <row r="776" spans="1:14" ht="37.5">
      <c r="A776" s="120" t="s">
        <v>3790</v>
      </c>
      <c r="B776" s="141" t="s">
        <v>4034</v>
      </c>
      <c r="C776" s="142" t="s">
        <v>321</v>
      </c>
      <c r="D776" s="142" t="s">
        <v>4021</v>
      </c>
      <c r="E776" s="274" t="s">
        <v>4001</v>
      </c>
      <c r="F776" s="141" t="s">
        <v>1136</v>
      </c>
      <c r="G776" s="141" t="s">
        <v>4035</v>
      </c>
      <c r="H776" s="141" t="s">
        <v>3306</v>
      </c>
      <c r="I776" s="187" t="s">
        <v>4036</v>
      </c>
      <c r="J776" s="142"/>
      <c r="K776" s="142" t="s">
        <v>374</v>
      </c>
      <c r="L776" s="273"/>
      <c r="M776"/>
      <c r="N776"/>
    </row>
    <row r="777" spans="1:14" ht="37.5">
      <c r="A777" s="120" t="s">
        <v>3790</v>
      </c>
      <c r="B777" s="141" t="s">
        <v>4037</v>
      </c>
      <c r="C777" s="142" t="s">
        <v>321</v>
      </c>
      <c r="D777" s="142" t="s">
        <v>4021</v>
      </c>
      <c r="E777" s="274" t="s">
        <v>4001</v>
      </c>
      <c r="F777" s="141" t="s">
        <v>1136</v>
      </c>
      <c r="G777" s="141" t="s">
        <v>4038</v>
      </c>
      <c r="H777" s="141" t="s">
        <v>3306</v>
      </c>
      <c r="I777" s="187" t="s">
        <v>4039</v>
      </c>
      <c r="J777" s="142"/>
      <c r="K777" s="142" t="s">
        <v>374</v>
      </c>
      <c r="L777" s="273"/>
      <c r="M777"/>
      <c r="N777"/>
    </row>
    <row r="778" spans="1:14" ht="37.5">
      <c r="A778" s="120" t="s">
        <v>3790</v>
      </c>
      <c r="B778" s="141" t="s">
        <v>4040</v>
      </c>
      <c r="C778" s="142" t="s">
        <v>321</v>
      </c>
      <c r="D778" s="142" t="s">
        <v>4021</v>
      </c>
      <c r="E778" s="274" t="s">
        <v>4001</v>
      </c>
      <c r="F778" s="141" t="s">
        <v>1136</v>
      </c>
      <c r="G778" s="141" t="s">
        <v>4041</v>
      </c>
      <c r="H778" s="141" t="s">
        <v>3306</v>
      </c>
      <c r="I778" s="187" t="s">
        <v>4042</v>
      </c>
      <c r="J778" s="142"/>
      <c r="K778" s="142" t="s">
        <v>374</v>
      </c>
      <c r="L778" s="273"/>
      <c r="M778"/>
      <c r="N778"/>
    </row>
    <row r="779" spans="1:14">
      <c r="A779" s="123" t="s">
        <v>4043</v>
      </c>
      <c r="B779" s="141" t="s">
        <v>4044</v>
      </c>
      <c r="C779" s="142" t="s">
        <v>321</v>
      </c>
      <c r="D779" s="142" t="s">
        <v>4021</v>
      </c>
      <c r="E779" s="274" t="s">
        <v>4001</v>
      </c>
      <c r="F779" s="141" t="s">
        <v>1136</v>
      </c>
      <c r="G779" s="141" t="s">
        <v>4045</v>
      </c>
      <c r="H779" s="141" t="s">
        <v>3306</v>
      </c>
      <c r="I779" s="187" t="s">
        <v>4046</v>
      </c>
      <c r="J779" s="142"/>
      <c r="K779" s="142" t="s">
        <v>374</v>
      </c>
      <c r="L779" s="273"/>
      <c r="M779"/>
      <c r="N779"/>
    </row>
    <row r="780" spans="1:14" ht="37.5">
      <c r="A780" s="120" t="s">
        <v>3790</v>
      </c>
      <c r="B780" s="141" t="s">
        <v>4047</v>
      </c>
      <c r="C780" s="142" t="s">
        <v>321</v>
      </c>
      <c r="D780" s="142" t="s">
        <v>4021</v>
      </c>
      <c r="E780" s="274" t="s">
        <v>4001</v>
      </c>
      <c r="F780" s="141" t="s">
        <v>1136</v>
      </c>
      <c r="G780" s="141" t="s">
        <v>4048</v>
      </c>
      <c r="H780" s="141" t="s">
        <v>3306</v>
      </c>
      <c r="I780" s="187" t="s">
        <v>4049</v>
      </c>
      <c r="J780" s="142"/>
      <c r="K780" s="142" t="s">
        <v>374</v>
      </c>
      <c r="L780" s="273"/>
      <c r="M780"/>
      <c r="N780"/>
    </row>
    <row r="781" spans="1:14">
      <c r="A781" s="123" t="s">
        <v>4043</v>
      </c>
      <c r="B781" s="141" t="s">
        <v>4044</v>
      </c>
      <c r="C781" s="142" t="s">
        <v>321</v>
      </c>
      <c r="D781" s="142" t="s">
        <v>4021</v>
      </c>
      <c r="E781" s="274" t="s">
        <v>4001</v>
      </c>
      <c r="F781" s="141" t="s">
        <v>1136</v>
      </c>
      <c r="G781" s="141" t="s">
        <v>4050</v>
      </c>
      <c r="H781" s="141" t="s">
        <v>3306</v>
      </c>
      <c r="I781" s="187" t="s">
        <v>4051</v>
      </c>
      <c r="J781" s="142"/>
      <c r="K781" s="142" t="s">
        <v>374</v>
      </c>
      <c r="L781" s="273"/>
      <c r="M781"/>
      <c r="N781"/>
    </row>
    <row r="782" spans="1:14" ht="37.5">
      <c r="A782" s="120" t="s">
        <v>3790</v>
      </c>
      <c r="B782" s="141" t="s">
        <v>4052</v>
      </c>
      <c r="C782" s="142" t="s">
        <v>321</v>
      </c>
      <c r="D782" s="142" t="s">
        <v>4021</v>
      </c>
      <c r="E782" s="274" t="s">
        <v>4001</v>
      </c>
      <c r="F782" s="141" t="s">
        <v>1136</v>
      </c>
      <c r="G782" s="141" t="s">
        <v>4053</v>
      </c>
      <c r="H782" s="141" t="s">
        <v>3306</v>
      </c>
      <c r="I782" s="187" t="s">
        <v>4054</v>
      </c>
      <c r="J782" s="142"/>
      <c r="K782" s="142" t="s">
        <v>374</v>
      </c>
      <c r="L782" s="273"/>
      <c r="M782"/>
      <c r="N782"/>
    </row>
    <row r="783" spans="1:14" ht="37.5">
      <c r="A783" s="120" t="s">
        <v>3790</v>
      </c>
      <c r="B783" s="141" t="s">
        <v>4055</v>
      </c>
      <c r="C783" s="142" t="s">
        <v>321</v>
      </c>
      <c r="D783" s="142" t="s">
        <v>4021</v>
      </c>
      <c r="E783" s="274" t="s">
        <v>4001</v>
      </c>
      <c r="F783" s="141" t="s">
        <v>1136</v>
      </c>
      <c r="G783" s="141" t="s">
        <v>4056</v>
      </c>
      <c r="H783" s="141" t="s">
        <v>3306</v>
      </c>
      <c r="I783" s="187" t="s">
        <v>4057</v>
      </c>
      <c r="J783" s="142"/>
      <c r="K783" s="142" t="s">
        <v>374</v>
      </c>
      <c r="L783" s="273"/>
      <c r="M783"/>
      <c r="N783"/>
    </row>
    <row r="784" spans="1:14" ht="37.5">
      <c r="A784" s="120" t="s">
        <v>3790</v>
      </c>
      <c r="B784" s="141" t="s">
        <v>4058</v>
      </c>
      <c r="C784" s="142" t="s">
        <v>321</v>
      </c>
      <c r="D784" s="142" t="s">
        <v>4021</v>
      </c>
      <c r="E784" s="274" t="s">
        <v>4001</v>
      </c>
      <c r="F784" s="141" t="s">
        <v>1136</v>
      </c>
      <c r="G784" s="141" t="s">
        <v>4059</v>
      </c>
      <c r="H784" s="141" t="s">
        <v>3306</v>
      </c>
      <c r="I784" s="187" t="s">
        <v>4060</v>
      </c>
      <c r="J784" s="142"/>
      <c r="K784" s="142" t="s">
        <v>374</v>
      </c>
      <c r="L784" s="273"/>
      <c r="M784"/>
      <c r="N784"/>
    </row>
    <row r="785" spans="1:21" ht="37.5">
      <c r="A785" s="120" t="s">
        <v>3790</v>
      </c>
      <c r="B785" s="141" t="s">
        <v>4061</v>
      </c>
      <c r="C785" s="142" t="s">
        <v>321</v>
      </c>
      <c r="D785" s="142" t="s">
        <v>4021</v>
      </c>
      <c r="E785" s="274" t="s">
        <v>4001</v>
      </c>
      <c r="F785" s="141" t="s">
        <v>1136</v>
      </c>
      <c r="G785" s="141" t="s">
        <v>4062</v>
      </c>
      <c r="H785" s="141" t="s">
        <v>3306</v>
      </c>
      <c r="I785" s="187" t="s">
        <v>4063</v>
      </c>
      <c r="J785" s="142"/>
      <c r="K785" s="142" t="s">
        <v>374</v>
      </c>
      <c r="L785" s="273"/>
      <c r="M785"/>
      <c r="N785"/>
    </row>
    <row r="786" spans="1:21" ht="37.5">
      <c r="A786" s="120" t="s">
        <v>3790</v>
      </c>
      <c r="B786" s="141" t="s">
        <v>4064</v>
      </c>
      <c r="C786" s="142" t="s">
        <v>321</v>
      </c>
      <c r="D786" s="142" t="s">
        <v>4021</v>
      </c>
      <c r="E786" s="274" t="s">
        <v>4001</v>
      </c>
      <c r="F786" s="141" t="s">
        <v>1136</v>
      </c>
      <c r="G786" s="141" t="s">
        <v>4065</v>
      </c>
      <c r="H786" s="141" t="s">
        <v>3306</v>
      </c>
      <c r="I786" s="187" t="s">
        <v>4066</v>
      </c>
      <c r="J786" s="142"/>
      <c r="K786" s="142" t="s">
        <v>374</v>
      </c>
      <c r="L786" s="273"/>
      <c r="M786"/>
      <c r="N786"/>
    </row>
    <row r="787" spans="1:21" ht="37.5">
      <c r="A787" s="120" t="s">
        <v>3790</v>
      </c>
      <c r="B787" s="141" t="s">
        <v>4067</v>
      </c>
      <c r="C787" s="142" t="s">
        <v>321</v>
      </c>
      <c r="D787" s="142" t="s">
        <v>4021</v>
      </c>
      <c r="E787" s="274" t="s">
        <v>4001</v>
      </c>
      <c r="F787" s="141" t="s">
        <v>1136</v>
      </c>
      <c r="G787" s="141" t="s">
        <v>4068</v>
      </c>
      <c r="H787" s="141" t="s">
        <v>3306</v>
      </c>
      <c r="I787" s="187" t="s">
        <v>4069</v>
      </c>
      <c r="J787" s="142"/>
      <c r="K787" s="142" t="s">
        <v>374</v>
      </c>
      <c r="L787" s="273"/>
      <c r="M787"/>
      <c r="N787"/>
    </row>
    <row r="788" spans="1:21" ht="37.5">
      <c r="A788" s="120" t="s">
        <v>3790</v>
      </c>
      <c r="B788" s="141" t="s">
        <v>4070</v>
      </c>
      <c r="C788" s="142" t="s">
        <v>321</v>
      </c>
      <c r="D788" s="142" t="s">
        <v>4021</v>
      </c>
      <c r="E788" s="274" t="s">
        <v>4001</v>
      </c>
      <c r="F788" s="141" t="s">
        <v>1136</v>
      </c>
      <c r="G788" s="141" t="s">
        <v>4071</v>
      </c>
      <c r="H788" s="141" t="s">
        <v>3306</v>
      </c>
      <c r="I788" s="187" t="s">
        <v>4072</v>
      </c>
      <c r="J788" s="142"/>
      <c r="K788" s="142" t="s">
        <v>374</v>
      </c>
      <c r="L788" s="273"/>
      <c r="M788"/>
      <c r="N788"/>
    </row>
    <row r="789" spans="1:21" ht="37.5">
      <c r="A789" s="120" t="s">
        <v>3790</v>
      </c>
      <c r="B789" s="141" t="s">
        <v>4073</v>
      </c>
      <c r="C789" s="142" t="s">
        <v>321</v>
      </c>
      <c r="D789" s="142" t="s">
        <v>4021</v>
      </c>
      <c r="E789" s="274" t="s">
        <v>4001</v>
      </c>
      <c r="F789" s="141" t="s">
        <v>1136</v>
      </c>
      <c r="G789" s="141" t="s">
        <v>4074</v>
      </c>
      <c r="H789" s="141" t="s">
        <v>3306</v>
      </c>
      <c r="I789" s="187" t="s">
        <v>4075</v>
      </c>
      <c r="J789" s="142"/>
      <c r="K789" s="142" t="s">
        <v>374</v>
      </c>
      <c r="L789" s="273"/>
      <c r="M789"/>
      <c r="N789"/>
    </row>
    <row r="790" spans="1:21" ht="37.5">
      <c r="A790" s="120" t="s">
        <v>3790</v>
      </c>
      <c r="B790" s="141" t="s">
        <v>4076</v>
      </c>
      <c r="C790" s="142" t="s">
        <v>321</v>
      </c>
      <c r="D790" s="142" t="s">
        <v>4021</v>
      </c>
      <c r="E790" s="274" t="s">
        <v>4001</v>
      </c>
      <c r="F790" s="141" t="s">
        <v>1136</v>
      </c>
      <c r="G790" s="141" t="s">
        <v>4077</v>
      </c>
      <c r="H790" s="141" t="s">
        <v>3306</v>
      </c>
      <c r="I790" s="187" t="s">
        <v>4078</v>
      </c>
      <c r="J790" s="142"/>
      <c r="K790" s="142" t="s">
        <v>374</v>
      </c>
      <c r="L790" s="273"/>
      <c r="M790"/>
      <c r="N790"/>
    </row>
    <row r="791" spans="1:21" ht="37.5">
      <c r="A791" s="120" t="s">
        <v>3790</v>
      </c>
      <c r="B791" s="141" t="s">
        <v>4079</v>
      </c>
      <c r="C791" s="142" t="s">
        <v>321</v>
      </c>
      <c r="D791" s="142" t="s">
        <v>4021</v>
      </c>
      <c r="E791" s="274" t="s">
        <v>4001</v>
      </c>
      <c r="F791" s="141" t="s">
        <v>1136</v>
      </c>
      <c r="G791" s="141" t="s">
        <v>4080</v>
      </c>
      <c r="H791" s="141" t="s">
        <v>3306</v>
      </c>
      <c r="I791" s="187" t="s">
        <v>4081</v>
      </c>
      <c r="J791" s="142"/>
      <c r="K791" s="142" t="s">
        <v>374</v>
      </c>
      <c r="L791" s="273"/>
      <c r="M791"/>
      <c r="N791"/>
      <c r="O791" s="184"/>
      <c r="P791" s="184"/>
      <c r="Q791" s="184"/>
      <c r="R791" s="184"/>
      <c r="S791" s="184"/>
      <c r="T791" s="184"/>
      <c r="U791" s="184"/>
    </row>
    <row r="792" spans="1:21" ht="37.5">
      <c r="A792" s="120" t="s">
        <v>3790</v>
      </c>
      <c r="B792" s="141" t="s">
        <v>4082</v>
      </c>
      <c r="C792" s="142" t="s">
        <v>321</v>
      </c>
      <c r="D792" s="142" t="s">
        <v>4021</v>
      </c>
      <c r="E792" s="274" t="s">
        <v>4001</v>
      </c>
      <c r="F792" s="141" t="s">
        <v>1136</v>
      </c>
      <c r="G792" s="141" t="s">
        <v>4083</v>
      </c>
      <c r="H792" s="141" t="s">
        <v>3306</v>
      </c>
      <c r="I792" s="187" t="s">
        <v>4084</v>
      </c>
      <c r="J792" s="142"/>
      <c r="K792" s="142" t="s">
        <v>374</v>
      </c>
      <c r="L792" s="273"/>
      <c r="M792"/>
      <c r="N792"/>
      <c r="O792" s="184"/>
      <c r="P792" s="184"/>
      <c r="Q792" s="184"/>
      <c r="R792" s="184"/>
      <c r="S792" s="184"/>
      <c r="T792" s="184"/>
      <c r="U792" s="184"/>
    </row>
    <row r="793" spans="1:21" ht="37.5">
      <c r="A793" s="120" t="s">
        <v>3790</v>
      </c>
      <c r="B793" s="141" t="s">
        <v>4085</v>
      </c>
      <c r="C793" s="142" t="s">
        <v>321</v>
      </c>
      <c r="D793" s="142" t="s">
        <v>263</v>
      </c>
      <c r="E793" s="274" t="s">
        <v>4086</v>
      </c>
      <c r="F793" s="141" t="s">
        <v>1136</v>
      </c>
      <c r="G793" s="141" t="s">
        <v>4087</v>
      </c>
      <c r="H793" s="141" t="s">
        <v>3306</v>
      </c>
      <c r="I793" s="187" t="s">
        <v>4088</v>
      </c>
      <c r="J793" s="142"/>
      <c r="K793" s="142" t="s">
        <v>374</v>
      </c>
      <c r="L793" s="273"/>
      <c r="M793"/>
      <c r="N793"/>
      <c r="O793" s="184"/>
      <c r="P793" s="184"/>
      <c r="Q793" s="184"/>
      <c r="R793" s="184"/>
      <c r="S793" s="184"/>
      <c r="T793" s="184"/>
      <c r="U793" s="184"/>
    </row>
    <row r="794" spans="1:21" s="116" customFormat="1" ht="37.5">
      <c r="A794" s="120" t="s">
        <v>3790</v>
      </c>
      <c r="B794" s="141" t="s">
        <v>4089</v>
      </c>
      <c r="C794" s="142" t="s">
        <v>321</v>
      </c>
      <c r="D794" s="142" t="s">
        <v>263</v>
      </c>
      <c r="E794" s="274" t="s">
        <v>4090</v>
      </c>
      <c r="F794" s="141" t="s">
        <v>1136</v>
      </c>
      <c r="G794" s="141" t="s">
        <v>4091</v>
      </c>
      <c r="H794" s="141" t="s">
        <v>3306</v>
      </c>
      <c r="I794" s="187" t="s">
        <v>4092</v>
      </c>
      <c r="J794" s="142"/>
      <c r="K794" s="142" t="s">
        <v>374</v>
      </c>
      <c r="L794" s="273"/>
      <c r="M794"/>
      <c r="N794"/>
    </row>
    <row r="795" spans="1:21" s="116" customFormat="1">
      <c r="A795" s="120" t="s">
        <v>3301</v>
      </c>
      <c r="B795" s="141" t="s">
        <v>1171</v>
      </c>
      <c r="C795" s="141" t="s">
        <v>267</v>
      </c>
      <c r="D795" s="142" t="s">
        <v>686</v>
      </c>
      <c r="E795" s="172"/>
      <c r="F795" s="141" t="s">
        <v>1136</v>
      </c>
      <c r="G795" s="141" t="s">
        <v>1171</v>
      </c>
      <c r="H795" s="141" t="s">
        <v>267</v>
      </c>
      <c r="I795" s="187" t="s">
        <v>1172</v>
      </c>
      <c r="J795" s="142"/>
      <c r="K795" s="142" t="s">
        <v>374</v>
      </c>
      <c r="L795" s="273"/>
      <c r="M795"/>
      <c r="N795"/>
    </row>
    <row r="796" spans="1:21" s="116" customFormat="1" ht="52" customHeight="1">
      <c r="A796" s="120" t="s">
        <v>3790</v>
      </c>
      <c r="B796" s="282" t="s">
        <v>497</v>
      </c>
      <c r="C796" s="141" t="s">
        <v>3306</v>
      </c>
      <c r="D796" s="142" t="s">
        <v>93</v>
      </c>
      <c r="E796" s="123"/>
      <c r="F796" s="141" t="s">
        <v>1136</v>
      </c>
      <c r="G796" s="282" t="s">
        <v>4093</v>
      </c>
      <c r="H796" s="141" t="s">
        <v>3306</v>
      </c>
      <c r="I796" s="187" t="s">
        <v>4094</v>
      </c>
      <c r="J796" s="142"/>
      <c r="K796" s="142" t="s">
        <v>374</v>
      </c>
      <c r="L796" s="273"/>
      <c r="M796"/>
      <c r="N796"/>
    </row>
    <row r="797" spans="1:21" s="116" customFormat="1" ht="52" customHeight="1">
      <c r="A797" s="204" t="s">
        <v>3790</v>
      </c>
      <c r="B797" s="215" t="s">
        <v>454</v>
      </c>
      <c r="C797" s="215" t="s">
        <v>3306</v>
      </c>
      <c r="D797" s="216" t="s">
        <v>686</v>
      </c>
      <c r="E797" s="205"/>
      <c r="F797" s="215" t="s">
        <v>1136</v>
      </c>
      <c r="G797" s="215" t="s">
        <v>3859</v>
      </c>
      <c r="H797" s="215" t="s">
        <v>3306</v>
      </c>
      <c r="I797" s="215" t="s">
        <v>3859</v>
      </c>
      <c r="J797" s="216"/>
      <c r="K797" s="216" t="s">
        <v>374</v>
      </c>
      <c r="L797" s="273"/>
      <c r="M797"/>
      <c r="N797"/>
    </row>
    <row r="798" spans="1:21" s="116" customFormat="1" ht="52" customHeight="1">
      <c r="A798" s="120" t="s">
        <v>3790</v>
      </c>
      <c r="B798" s="141"/>
      <c r="C798" s="141"/>
      <c r="D798" s="277" t="s">
        <v>263</v>
      </c>
      <c r="E798" s="120" t="s">
        <v>4095</v>
      </c>
      <c r="F798" s="141" t="s">
        <v>1136</v>
      </c>
      <c r="G798" s="141" t="s">
        <v>4096</v>
      </c>
      <c r="H798" s="141" t="s">
        <v>280</v>
      </c>
      <c r="I798" s="187" t="s">
        <v>4097</v>
      </c>
      <c r="J798" s="142"/>
      <c r="K798" s="142" t="s">
        <v>374</v>
      </c>
      <c r="L798" s="273"/>
      <c r="M798"/>
      <c r="N798"/>
    </row>
    <row r="799" spans="1:21" s="116" customFormat="1" ht="52" customHeight="1">
      <c r="A799" s="120" t="s">
        <v>3790</v>
      </c>
      <c r="B799" s="282"/>
      <c r="C799" s="277"/>
      <c r="D799" s="141" t="s">
        <v>263</v>
      </c>
      <c r="E799" s="120" t="s">
        <v>4098</v>
      </c>
      <c r="F799" s="141" t="s">
        <v>1136</v>
      </c>
      <c r="G799" s="141" t="s">
        <v>4099</v>
      </c>
      <c r="H799" s="141" t="s">
        <v>280</v>
      </c>
      <c r="I799" s="187" t="s">
        <v>4100</v>
      </c>
      <c r="J799" s="142"/>
      <c r="K799" s="142" t="s">
        <v>374</v>
      </c>
      <c r="L799" s="273"/>
      <c r="M799"/>
      <c r="N799"/>
    </row>
    <row r="800" spans="1:21" s="116" customFormat="1" ht="52" customHeight="1">
      <c r="A800" s="120" t="s">
        <v>3790</v>
      </c>
      <c r="B800" s="282"/>
      <c r="C800" s="277"/>
      <c r="D800" s="141" t="s">
        <v>263</v>
      </c>
      <c r="E800" s="120" t="s">
        <v>4101</v>
      </c>
      <c r="F800" s="141" t="s">
        <v>1136</v>
      </c>
      <c r="G800" s="141" t="s">
        <v>4102</v>
      </c>
      <c r="H800" s="141" t="s">
        <v>280</v>
      </c>
      <c r="I800" s="187" t="s">
        <v>4103</v>
      </c>
      <c r="J800" s="142"/>
      <c r="K800" s="142" t="s">
        <v>374</v>
      </c>
      <c r="L800" s="273"/>
      <c r="M800"/>
      <c r="N800"/>
    </row>
    <row r="801" spans="1:14" s="116" customFormat="1" ht="52" customHeight="1">
      <c r="A801" s="120" t="s">
        <v>3790</v>
      </c>
      <c r="B801" s="282"/>
      <c r="C801" s="277"/>
      <c r="D801" s="141" t="s">
        <v>263</v>
      </c>
      <c r="E801" s="120" t="s">
        <v>4104</v>
      </c>
      <c r="F801" s="141" t="s">
        <v>1136</v>
      </c>
      <c r="G801" s="141" t="s">
        <v>4105</v>
      </c>
      <c r="H801" s="141" t="s">
        <v>280</v>
      </c>
      <c r="I801" s="187" t="s">
        <v>4106</v>
      </c>
      <c r="J801" s="142"/>
      <c r="K801" s="142" t="s">
        <v>374</v>
      </c>
      <c r="L801" s="273"/>
      <c r="M801"/>
      <c r="N801"/>
    </row>
    <row r="802" spans="1:14" s="116" customFormat="1" ht="52" customHeight="1">
      <c r="A802" s="120" t="s">
        <v>3790</v>
      </c>
      <c r="B802" s="282"/>
      <c r="C802" s="277"/>
      <c r="D802" s="141" t="s">
        <v>263</v>
      </c>
      <c r="E802" s="120" t="s">
        <v>4107</v>
      </c>
      <c r="F802" s="141" t="s">
        <v>1136</v>
      </c>
      <c r="G802" s="141" t="s">
        <v>4108</v>
      </c>
      <c r="H802" s="141" t="s">
        <v>280</v>
      </c>
      <c r="I802" s="187" t="s">
        <v>4109</v>
      </c>
      <c r="J802" s="142"/>
      <c r="K802" s="142" t="s">
        <v>374</v>
      </c>
      <c r="L802" s="273"/>
      <c r="M802"/>
      <c r="N802"/>
    </row>
    <row r="803" spans="1:14" s="116" customFormat="1" ht="52" customHeight="1">
      <c r="A803" s="120" t="s">
        <v>3790</v>
      </c>
      <c r="B803" s="282"/>
      <c r="C803" s="277"/>
      <c r="D803" s="141" t="s">
        <v>263</v>
      </c>
      <c r="E803" s="120" t="s">
        <v>4110</v>
      </c>
      <c r="F803" s="141" t="s">
        <v>1136</v>
      </c>
      <c r="G803" s="141" t="s">
        <v>4111</v>
      </c>
      <c r="H803" s="141" t="s">
        <v>280</v>
      </c>
      <c r="I803" s="141" t="s">
        <v>4112</v>
      </c>
      <c r="J803" s="142"/>
      <c r="K803" s="142" t="s">
        <v>374</v>
      </c>
      <c r="L803" s="273"/>
      <c r="M803"/>
      <c r="N803"/>
    </row>
    <row r="804" spans="1:14" s="116" customFormat="1" ht="52" customHeight="1">
      <c r="A804" s="120" t="s">
        <v>3790</v>
      </c>
      <c r="B804" s="282"/>
      <c r="C804" s="277"/>
      <c r="D804" s="141" t="s">
        <v>263</v>
      </c>
      <c r="E804" s="120" t="s">
        <v>4113</v>
      </c>
      <c r="F804" s="141" t="s">
        <v>1136</v>
      </c>
      <c r="G804" s="141" t="s">
        <v>4114</v>
      </c>
      <c r="H804" s="141" t="s">
        <v>280</v>
      </c>
      <c r="I804" s="141" t="s">
        <v>4115</v>
      </c>
      <c r="J804" s="142"/>
      <c r="K804" s="142" t="s">
        <v>374</v>
      </c>
      <c r="L804" s="273"/>
      <c r="M804"/>
      <c r="N804"/>
    </row>
    <row r="805" spans="1:14" s="116" customFormat="1" ht="52" customHeight="1">
      <c r="A805" s="120" t="s">
        <v>3790</v>
      </c>
      <c r="B805" s="282"/>
      <c r="C805" s="277"/>
      <c r="D805" s="141" t="s">
        <v>263</v>
      </c>
      <c r="E805" s="120" t="s">
        <v>4116</v>
      </c>
      <c r="F805" s="141" t="s">
        <v>1136</v>
      </c>
      <c r="G805" s="141" t="s">
        <v>4117</v>
      </c>
      <c r="H805" s="141" t="s">
        <v>280</v>
      </c>
      <c r="I805" s="141" t="s">
        <v>4118</v>
      </c>
      <c r="J805" s="142"/>
      <c r="K805" s="142" t="s">
        <v>374</v>
      </c>
      <c r="L805" s="273"/>
      <c r="M805"/>
      <c r="N805"/>
    </row>
    <row r="806" spans="1:14" s="116" customFormat="1" ht="52" customHeight="1">
      <c r="A806" s="120" t="s">
        <v>3790</v>
      </c>
      <c r="B806" s="282"/>
      <c r="C806" s="277"/>
      <c r="D806" s="141" t="s">
        <v>263</v>
      </c>
      <c r="E806" s="120" t="s">
        <v>4119</v>
      </c>
      <c r="F806" s="141" t="s">
        <v>1136</v>
      </c>
      <c r="G806" s="141" t="s">
        <v>4120</v>
      </c>
      <c r="H806" s="141" t="s">
        <v>280</v>
      </c>
      <c r="I806" s="141" t="s">
        <v>4121</v>
      </c>
      <c r="J806" s="142"/>
      <c r="K806" s="142" t="s">
        <v>374</v>
      </c>
      <c r="L806" s="273"/>
      <c r="M806"/>
      <c r="N806"/>
    </row>
    <row r="807" spans="1:14" s="116" customFormat="1" ht="52" customHeight="1">
      <c r="A807" s="120" t="s">
        <v>3790</v>
      </c>
      <c r="B807" s="282"/>
      <c r="C807" s="277"/>
      <c r="D807" s="141" t="s">
        <v>263</v>
      </c>
      <c r="E807" s="120" t="s">
        <v>4122</v>
      </c>
      <c r="F807" s="141" t="s">
        <v>1136</v>
      </c>
      <c r="G807" s="141" t="s">
        <v>4123</v>
      </c>
      <c r="H807" s="141" t="s">
        <v>280</v>
      </c>
      <c r="I807" s="141" t="s">
        <v>4124</v>
      </c>
      <c r="J807" s="142"/>
      <c r="K807" s="142" t="s">
        <v>374</v>
      </c>
      <c r="L807" s="273"/>
      <c r="M807"/>
      <c r="N807"/>
    </row>
    <row r="808" spans="1:14" s="116" customFormat="1" ht="52" customHeight="1">
      <c r="A808" s="120" t="s">
        <v>3790</v>
      </c>
      <c r="B808" s="282"/>
      <c r="C808" s="277"/>
      <c r="D808" s="141" t="s">
        <v>263</v>
      </c>
      <c r="E808" s="120" t="s">
        <v>4125</v>
      </c>
      <c r="F808" s="141" t="s">
        <v>1136</v>
      </c>
      <c r="G808" s="141" t="s">
        <v>4126</v>
      </c>
      <c r="H808" s="141" t="s">
        <v>280</v>
      </c>
      <c r="I808" s="141" t="s">
        <v>4127</v>
      </c>
      <c r="J808" s="142"/>
      <c r="K808" s="142" t="s">
        <v>374</v>
      </c>
      <c r="L808" s="273"/>
      <c r="M808"/>
      <c r="N808"/>
    </row>
    <row r="809" spans="1:14" s="116" customFormat="1" ht="52" customHeight="1">
      <c r="A809" s="120" t="s">
        <v>3790</v>
      </c>
      <c r="B809" s="282"/>
      <c r="C809" s="277"/>
      <c r="D809" s="141" t="s">
        <v>263</v>
      </c>
      <c r="E809" s="120" t="s">
        <v>4128</v>
      </c>
      <c r="F809" s="141" t="s">
        <v>1136</v>
      </c>
      <c r="G809" s="141" t="s">
        <v>4129</v>
      </c>
      <c r="H809" s="141" t="s">
        <v>280</v>
      </c>
      <c r="I809" s="141" t="s">
        <v>4130</v>
      </c>
      <c r="J809" s="142"/>
      <c r="K809" s="142" t="s">
        <v>374</v>
      </c>
      <c r="L809" s="273"/>
      <c r="M809"/>
      <c r="N809"/>
    </row>
    <row r="810" spans="1:14" s="116" customFormat="1" ht="52" customHeight="1">
      <c r="A810" s="120" t="s">
        <v>3790</v>
      </c>
      <c r="B810" s="282"/>
      <c r="C810" s="277"/>
      <c r="D810" s="141" t="s">
        <v>263</v>
      </c>
      <c r="E810" s="120" t="s">
        <v>4131</v>
      </c>
      <c r="F810" s="141" t="s">
        <v>1136</v>
      </c>
      <c r="G810" s="141" t="s">
        <v>4132</v>
      </c>
      <c r="H810" s="141" t="s">
        <v>280</v>
      </c>
      <c r="I810" s="141" t="s">
        <v>4133</v>
      </c>
      <c r="J810" s="142"/>
      <c r="K810" s="142" t="s">
        <v>374</v>
      </c>
      <c r="L810" s="273"/>
      <c r="M810"/>
      <c r="N810"/>
    </row>
    <row r="811" spans="1:14" s="116" customFormat="1" ht="52" customHeight="1">
      <c r="A811" s="120" t="s">
        <v>3527</v>
      </c>
      <c r="B811" s="282" t="s">
        <v>337</v>
      </c>
      <c r="C811" s="277" t="s">
        <v>3306</v>
      </c>
      <c r="D811" s="141" t="s">
        <v>93</v>
      </c>
      <c r="E811" s="120"/>
      <c r="F811" s="141" t="s">
        <v>1136</v>
      </c>
      <c r="G811" s="141" t="s">
        <v>4134</v>
      </c>
      <c r="H811" s="141" t="s">
        <v>280</v>
      </c>
      <c r="I811" s="141" t="s">
        <v>4135</v>
      </c>
      <c r="J811" s="142"/>
      <c r="K811" s="142" t="s">
        <v>266</v>
      </c>
      <c r="L811" s="273"/>
      <c r="M811"/>
      <c r="N811"/>
    </row>
    <row r="812" spans="1:14" s="116" customFormat="1" ht="52" customHeight="1">
      <c r="A812" s="120" t="s">
        <v>3527</v>
      </c>
      <c r="B812" s="282" t="s">
        <v>348</v>
      </c>
      <c r="C812" s="277" t="s">
        <v>3306</v>
      </c>
      <c r="D812" s="141" t="s">
        <v>93</v>
      </c>
      <c r="E812" s="120"/>
      <c r="F812" s="141" t="s">
        <v>1136</v>
      </c>
      <c r="G812" s="141" t="s">
        <v>4136</v>
      </c>
      <c r="H812" s="141" t="s">
        <v>280</v>
      </c>
      <c r="I812" s="141" t="s">
        <v>4137</v>
      </c>
      <c r="J812" s="142"/>
      <c r="K812" s="142" t="s">
        <v>266</v>
      </c>
      <c r="L812" s="273"/>
      <c r="M812"/>
      <c r="N812"/>
    </row>
    <row r="813" spans="1:14" s="116" customFormat="1" ht="25">
      <c r="A813" s="123"/>
      <c r="B813" s="282"/>
      <c r="C813" s="277"/>
      <c r="D813" s="141" t="s">
        <v>263</v>
      </c>
      <c r="E813" s="120" t="s">
        <v>4138</v>
      </c>
      <c r="F813" s="141" t="s">
        <v>1136</v>
      </c>
      <c r="G813" s="141" t="s">
        <v>4139</v>
      </c>
      <c r="H813" s="141" t="s">
        <v>280</v>
      </c>
      <c r="I813" s="141" t="s">
        <v>4140</v>
      </c>
      <c r="J813" s="142"/>
      <c r="K813" s="142" t="s">
        <v>266</v>
      </c>
      <c r="L813" s="273"/>
      <c r="M813"/>
      <c r="N813"/>
    </row>
    <row r="814" spans="1:14" s="116" customFormat="1">
      <c r="A814" s="123" t="s">
        <v>3488</v>
      </c>
      <c r="B814" s="141" t="s">
        <v>1666</v>
      </c>
      <c r="C814" s="142" t="s">
        <v>321</v>
      </c>
      <c r="D814" s="142" t="s">
        <v>686</v>
      </c>
      <c r="E814" s="123"/>
      <c r="F814" s="142" t="s">
        <v>1136</v>
      </c>
      <c r="G814" s="141" t="s">
        <v>4141</v>
      </c>
      <c r="H814" s="142" t="s">
        <v>3306</v>
      </c>
      <c r="I814" s="141" t="s">
        <v>4142</v>
      </c>
      <c r="J814" s="142"/>
      <c r="K814" s="142" t="s">
        <v>374</v>
      </c>
      <c r="L814" s="273"/>
      <c r="M814"/>
      <c r="N814"/>
    </row>
    <row r="815" spans="1:14" s="116" customFormat="1">
      <c r="A815" s="123" t="s">
        <v>3485</v>
      </c>
      <c r="B815" s="141" t="s">
        <v>1666</v>
      </c>
      <c r="C815" s="142" t="s">
        <v>321</v>
      </c>
      <c r="D815" s="142" t="s">
        <v>686</v>
      </c>
      <c r="E815" s="123"/>
      <c r="F815" s="142" t="s">
        <v>1136</v>
      </c>
      <c r="G815" s="141" t="s">
        <v>4143</v>
      </c>
      <c r="H815" s="142" t="s">
        <v>3306</v>
      </c>
      <c r="I815" s="141" t="s">
        <v>4144</v>
      </c>
      <c r="J815" s="142"/>
      <c r="K815" s="142" t="s">
        <v>374</v>
      </c>
      <c r="L815" s="273"/>
      <c r="M815"/>
      <c r="N815"/>
    </row>
    <row r="816" spans="1:14" s="116" customFormat="1">
      <c r="A816" s="123"/>
      <c r="B816" s="141"/>
      <c r="C816" s="142"/>
      <c r="D816" s="141" t="s">
        <v>263</v>
      </c>
      <c r="E816" s="120" t="s">
        <v>4145</v>
      </c>
      <c r="F816" s="141" t="s">
        <v>1136</v>
      </c>
      <c r="G816" s="141" t="s">
        <v>4146</v>
      </c>
      <c r="H816" s="141" t="s">
        <v>280</v>
      </c>
      <c r="I816" s="141" t="s">
        <v>4147</v>
      </c>
      <c r="J816" s="142"/>
      <c r="K816" s="142" t="s">
        <v>374</v>
      </c>
      <c r="L816" s="273"/>
      <c r="M816"/>
      <c r="N816"/>
    </row>
    <row r="817" spans="1:14" s="116" customFormat="1">
      <c r="A817" s="123" t="s">
        <v>3488</v>
      </c>
      <c r="B817" s="141" t="s">
        <v>477</v>
      </c>
      <c r="C817" s="142" t="s">
        <v>321</v>
      </c>
      <c r="D817" s="142" t="s">
        <v>686</v>
      </c>
      <c r="E817" s="120"/>
      <c r="F817" s="141" t="s">
        <v>1136</v>
      </c>
      <c r="G817" s="141" t="s">
        <v>4148</v>
      </c>
      <c r="H817" s="142" t="s">
        <v>3306</v>
      </c>
      <c r="I817" s="141" t="s">
        <v>4149</v>
      </c>
      <c r="J817" s="142"/>
      <c r="K817" s="142" t="s">
        <v>374</v>
      </c>
      <c r="L817" s="273"/>
      <c r="M817"/>
      <c r="N817"/>
    </row>
    <row r="818" spans="1:14" s="116" customFormat="1">
      <c r="A818" s="123" t="s">
        <v>3485</v>
      </c>
      <c r="B818" s="141" t="s">
        <v>477</v>
      </c>
      <c r="C818" s="142" t="s">
        <v>321</v>
      </c>
      <c r="D818" s="142" t="s">
        <v>686</v>
      </c>
      <c r="E818" s="120"/>
      <c r="F818" s="141" t="s">
        <v>1136</v>
      </c>
      <c r="G818" s="141" t="s">
        <v>4150</v>
      </c>
      <c r="H818" s="142" t="s">
        <v>3306</v>
      </c>
      <c r="I818" s="141" t="s">
        <v>4151</v>
      </c>
      <c r="J818" s="142"/>
      <c r="K818" s="142" t="s">
        <v>374</v>
      </c>
      <c r="L818" s="273"/>
      <c r="M818"/>
      <c r="N818"/>
    </row>
    <row r="819" spans="1:14" s="116" customFormat="1">
      <c r="A819" s="123"/>
      <c r="B819" s="141"/>
      <c r="C819" s="142"/>
      <c r="D819" s="141" t="s">
        <v>263</v>
      </c>
      <c r="E819" s="120" t="s">
        <v>4152</v>
      </c>
      <c r="F819" s="141" t="s">
        <v>1136</v>
      </c>
      <c r="G819" s="141" t="s">
        <v>4153</v>
      </c>
      <c r="H819" s="141" t="s">
        <v>280</v>
      </c>
      <c r="I819" s="141" t="s">
        <v>4154</v>
      </c>
      <c r="J819" s="142"/>
      <c r="K819" s="142" t="s">
        <v>374</v>
      </c>
      <c r="L819" s="273"/>
      <c r="M819"/>
      <c r="N819"/>
    </row>
    <row r="820" spans="1:14" s="116" customFormat="1">
      <c r="A820" s="123" t="s">
        <v>3485</v>
      </c>
      <c r="B820" s="141" t="s">
        <v>2041</v>
      </c>
      <c r="C820" s="142" t="s">
        <v>321</v>
      </c>
      <c r="D820" s="142" t="s">
        <v>686</v>
      </c>
      <c r="E820" s="120"/>
      <c r="F820" s="141" t="s">
        <v>1136</v>
      </c>
      <c r="G820" s="141" t="s">
        <v>4155</v>
      </c>
      <c r="H820" s="142" t="s">
        <v>3306</v>
      </c>
      <c r="I820" s="141" t="s">
        <v>4156</v>
      </c>
      <c r="J820" s="142"/>
      <c r="K820" s="142" t="s">
        <v>374</v>
      </c>
      <c r="L820" s="273"/>
      <c r="M820"/>
      <c r="N820"/>
    </row>
    <row r="821" spans="1:14" s="116" customFormat="1">
      <c r="A821" s="123" t="s">
        <v>3488</v>
      </c>
      <c r="B821" s="141" t="s">
        <v>2041</v>
      </c>
      <c r="C821" s="142" t="s">
        <v>321</v>
      </c>
      <c r="D821" s="142" t="s">
        <v>686</v>
      </c>
      <c r="E821" s="120"/>
      <c r="F821" s="141" t="s">
        <v>1136</v>
      </c>
      <c r="G821" s="141" t="s">
        <v>4157</v>
      </c>
      <c r="H821" s="142" t="s">
        <v>3306</v>
      </c>
      <c r="I821" s="141" t="s">
        <v>4158</v>
      </c>
      <c r="J821" s="142"/>
      <c r="K821" s="142" t="s">
        <v>374</v>
      </c>
      <c r="L821" s="273"/>
      <c r="M821"/>
      <c r="N821"/>
    </row>
    <row r="822" spans="1:14" s="116" customFormat="1">
      <c r="A822" s="123"/>
      <c r="B822" s="141"/>
      <c r="C822" s="142"/>
      <c r="D822" s="141" t="s">
        <v>263</v>
      </c>
      <c r="E822" s="120" t="s">
        <v>4159</v>
      </c>
      <c r="F822" s="141" t="s">
        <v>1136</v>
      </c>
      <c r="G822" s="141" t="s">
        <v>4160</v>
      </c>
      <c r="H822" s="141" t="s">
        <v>280</v>
      </c>
      <c r="I822" s="141" t="s">
        <v>4161</v>
      </c>
      <c r="J822" s="142"/>
      <c r="K822" s="142" t="s">
        <v>374</v>
      </c>
      <c r="L822" s="273"/>
      <c r="M822"/>
      <c r="N822"/>
    </row>
    <row r="823" spans="1:14" s="116" customFormat="1">
      <c r="A823" s="123" t="s">
        <v>3485</v>
      </c>
      <c r="B823" s="141" t="s">
        <v>464</v>
      </c>
      <c r="C823" s="142" t="s">
        <v>321</v>
      </c>
      <c r="D823" s="142" t="s">
        <v>686</v>
      </c>
      <c r="E823" s="120"/>
      <c r="F823" s="141" t="s">
        <v>1136</v>
      </c>
      <c r="G823" s="141" t="s">
        <v>4162</v>
      </c>
      <c r="H823" s="142" t="s">
        <v>3306</v>
      </c>
      <c r="I823" s="141" t="s">
        <v>4163</v>
      </c>
      <c r="J823" s="142"/>
      <c r="K823" s="142" t="s">
        <v>374</v>
      </c>
      <c r="L823" s="273"/>
      <c r="M823"/>
      <c r="N823"/>
    </row>
    <row r="824" spans="1:14" s="116" customFormat="1">
      <c r="A824" s="123" t="s">
        <v>3488</v>
      </c>
      <c r="B824" s="141" t="s">
        <v>464</v>
      </c>
      <c r="C824" s="142" t="s">
        <v>321</v>
      </c>
      <c r="D824" s="142" t="s">
        <v>686</v>
      </c>
      <c r="E824" s="120"/>
      <c r="F824" s="141" t="s">
        <v>1136</v>
      </c>
      <c r="G824" s="141" t="s">
        <v>4164</v>
      </c>
      <c r="H824" s="142" t="s">
        <v>3306</v>
      </c>
      <c r="I824" s="141" t="s">
        <v>4165</v>
      </c>
      <c r="J824" s="142"/>
      <c r="K824" s="142" t="s">
        <v>374</v>
      </c>
      <c r="L824" s="273"/>
      <c r="M824"/>
      <c r="N824"/>
    </row>
    <row r="825" spans="1:14" s="116" customFormat="1">
      <c r="A825" s="123"/>
      <c r="B825" s="141"/>
      <c r="C825" s="142"/>
      <c r="D825" s="141" t="s">
        <v>263</v>
      </c>
      <c r="E825" s="120" t="s">
        <v>4166</v>
      </c>
      <c r="F825" s="141" t="s">
        <v>1136</v>
      </c>
      <c r="G825" s="141" t="s">
        <v>4167</v>
      </c>
      <c r="H825" s="141" t="s">
        <v>280</v>
      </c>
      <c r="I825" s="141" t="s">
        <v>4168</v>
      </c>
      <c r="J825" s="142"/>
      <c r="K825" s="142" t="s">
        <v>374</v>
      </c>
      <c r="L825" s="273"/>
      <c r="M825"/>
      <c r="N825"/>
    </row>
    <row r="826" spans="1:14" s="116" customFormat="1">
      <c r="A826" s="123" t="s">
        <v>3485</v>
      </c>
      <c r="B826" s="141" t="s">
        <v>2042</v>
      </c>
      <c r="C826" s="142" t="s">
        <v>321</v>
      </c>
      <c r="D826" s="142" t="s">
        <v>686</v>
      </c>
      <c r="E826" s="120"/>
      <c r="F826" s="141" t="s">
        <v>1136</v>
      </c>
      <c r="G826" s="141" t="s">
        <v>4169</v>
      </c>
      <c r="H826" s="142" t="s">
        <v>3306</v>
      </c>
      <c r="I826" s="141" t="s">
        <v>4170</v>
      </c>
      <c r="J826" s="142"/>
      <c r="K826" s="142" t="s">
        <v>374</v>
      </c>
      <c r="L826" s="273"/>
      <c r="M826"/>
      <c r="N826"/>
    </row>
    <row r="827" spans="1:14" s="116" customFormat="1">
      <c r="A827" s="123" t="s">
        <v>3488</v>
      </c>
      <c r="B827" s="141" t="s">
        <v>2042</v>
      </c>
      <c r="C827" s="142" t="s">
        <v>321</v>
      </c>
      <c r="D827" s="142" t="s">
        <v>686</v>
      </c>
      <c r="E827" s="120"/>
      <c r="F827" s="141" t="s">
        <v>1136</v>
      </c>
      <c r="G827" s="141" t="s">
        <v>4171</v>
      </c>
      <c r="H827" s="142" t="s">
        <v>3306</v>
      </c>
      <c r="I827" s="141" t="s">
        <v>4172</v>
      </c>
      <c r="J827" s="142"/>
      <c r="K827" s="142" t="s">
        <v>374</v>
      </c>
      <c r="L827" s="273"/>
      <c r="M827"/>
      <c r="N827"/>
    </row>
    <row r="828" spans="1:14" s="116" customFormat="1">
      <c r="A828" s="123"/>
      <c r="B828" s="141"/>
      <c r="C828" s="142"/>
      <c r="D828" s="141" t="s">
        <v>263</v>
      </c>
      <c r="E828" s="120" t="s">
        <v>4173</v>
      </c>
      <c r="F828" s="141" t="s">
        <v>1136</v>
      </c>
      <c r="G828" s="141" t="s">
        <v>4174</v>
      </c>
      <c r="H828" s="141" t="s">
        <v>280</v>
      </c>
      <c r="I828" s="141" t="s">
        <v>4175</v>
      </c>
      <c r="J828" s="142"/>
      <c r="K828" s="142" t="s">
        <v>374</v>
      </c>
      <c r="L828" s="273"/>
      <c r="M828"/>
      <c r="N828"/>
    </row>
    <row r="829" spans="1:14" s="116" customFormat="1" ht="25">
      <c r="A829" s="123" t="s">
        <v>3485</v>
      </c>
      <c r="B829" s="141" t="s">
        <v>1673</v>
      </c>
      <c r="C829" s="142" t="s">
        <v>321</v>
      </c>
      <c r="D829" s="142" t="s">
        <v>686</v>
      </c>
      <c r="E829" s="120"/>
      <c r="F829" s="141" t="s">
        <v>1136</v>
      </c>
      <c r="G829" s="141" t="s">
        <v>4176</v>
      </c>
      <c r="H829" s="142" t="s">
        <v>3306</v>
      </c>
      <c r="I829" s="141" t="s">
        <v>4177</v>
      </c>
      <c r="J829" s="142"/>
      <c r="K829" s="142" t="s">
        <v>374</v>
      </c>
      <c r="L829" s="273"/>
      <c r="M829"/>
      <c r="N829"/>
    </row>
    <row r="830" spans="1:14" s="116" customFormat="1" ht="25">
      <c r="A830" s="123" t="s">
        <v>3488</v>
      </c>
      <c r="B830" s="141" t="s">
        <v>1673</v>
      </c>
      <c r="C830" s="142" t="s">
        <v>321</v>
      </c>
      <c r="D830" s="142" t="s">
        <v>686</v>
      </c>
      <c r="E830" s="120"/>
      <c r="F830" s="141" t="s">
        <v>1136</v>
      </c>
      <c r="G830" s="141" t="s">
        <v>4178</v>
      </c>
      <c r="H830" s="142" t="s">
        <v>3306</v>
      </c>
      <c r="I830" s="141" t="s">
        <v>4179</v>
      </c>
      <c r="J830" s="142"/>
      <c r="K830" s="142" t="s">
        <v>374</v>
      </c>
      <c r="L830" s="273"/>
      <c r="M830"/>
      <c r="N830"/>
    </row>
    <row r="831" spans="1:14" s="116" customFormat="1" ht="25">
      <c r="A831" s="123"/>
      <c r="B831" s="141"/>
      <c r="C831" s="142"/>
      <c r="D831" s="141" t="s">
        <v>263</v>
      </c>
      <c r="E831" s="120" t="s">
        <v>4180</v>
      </c>
      <c r="F831" s="141" t="s">
        <v>1136</v>
      </c>
      <c r="G831" s="141" t="s">
        <v>4181</v>
      </c>
      <c r="H831" s="141" t="s">
        <v>280</v>
      </c>
      <c r="I831" s="141" t="s">
        <v>4182</v>
      </c>
      <c r="J831" s="142"/>
      <c r="K831" s="142" t="s">
        <v>374</v>
      </c>
      <c r="L831" s="273"/>
      <c r="M831"/>
      <c r="N831"/>
    </row>
    <row r="832" spans="1:14" s="116" customFormat="1">
      <c r="A832" s="123" t="s">
        <v>3485</v>
      </c>
      <c r="B832" s="141" t="s">
        <v>2047</v>
      </c>
      <c r="C832" s="142" t="s">
        <v>321</v>
      </c>
      <c r="D832" s="142" t="s">
        <v>686</v>
      </c>
      <c r="E832" s="120"/>
      <c r="F832" s="141" t="s">
        <v>1136</v>
      </c>
      <c r="G832" s="141" t="s">
        <v>4183</v>
      </c>
      <c r="H832" s="142" t="s">
        <v>3306</v>
      </c>
      <c r="I832" s="141" t="s">
        <v>4184</v>
      </c>
      <c r="J832" s="142"/>
      <c r="K832" s="142" t="s">
        <v>374</v>
      </c>
      <c r="L832" s="273"/>
      <c r="M832"/>
      <c r="N832"/>
    </row>
    <row r="833" spans="1:14" s="116" customFormat="1">
      <c r="A833" s="123" t="s">
        <v>3488</v>
      </c>
      <c r="B833" s="141" t="s">
        <v>2047</v>
      </c>
      <c r="C833" s="142" t="s">
        <v>321</v>
      </c>
      <c r="D833" s="142" t="s">
        <v>686</v>
      </c>
      <c r="E833" s="120"/>
      <c r="F833" s="141" t="s">
        <v>1136</v>
      </c>
      <c r="G833" s="141" t="s">
        <v>4185</v>
      </c>
      <c r="H833" s="142" t="s">
        <v>3306</v>
      </c>
      <c r="I833" s="141" t="s">
        <v>4186</v>
      </c>
      <c r="J833" s="142"/>
      <c r="K833" s="142" t="s">
        <v>374</v>
      </c>
      <c r="L833" s="273"/>
      <c r="M833"/>
      <c r="N833"/>
    </row>
    <row r="834" spans="1:14" s="116" customFormat="1">
      <c r="A834" s="123"/>
      <c r="B834" s="141"/>
      <c r="C834" s="142"/>
      <c r="D834" s="141" t="s">
        <v>263</v>
      </c>
      <c r="E834" s="120" t="s">
        <v>4187</v>
      </c>
      <c r="F834" s="141" t="s">
        <v>1136</v>
      </c>
      <c r="G834" s="141" t="s">
        <v>4188</v>
      </c>
      <c r="H834" s="141" t="s">
        <v>280</v>
      </c>
      <c r="I834" s="141" t="s">
        <v>4189</v>
      </c>
      <c r="J834" s="142"/>
      <c r="K834" s="142" t="s">
        <v>374</v>
      </c>
      <c r="L834" s="273"/>
      <c r="M834"/>
      <c r="N834"/>
    </row>
    <row r="835" spans="1:14" s="116" customFormat="1">
      <c r="A835" s="123" t="s">
        <v>3485</v>
      </c>
      <c r="B835" s="141" t="s">
        <v>2046</v>
      </c>
      <c r="C835" s="142" t="s">
        <v>321</v>
      </c>
      <c r="D835" s="142" t="s">
        <v>686</v>
      </c>
      <c r="E835" s="120"/>
      <c r="F835" s="141" t="s">
        <v>1136</v>
      </c>
      <c r="G835" s="141" t="s">
        <v>4190</v>
      </c>
      <c r="H835" s="142" t="s">
        <v>3306</v>
      </c>
      <c r="I835" s="141" t="s">
        <v>4191</v>
      </c>
      <c r="J835" s="142"/>
      <c r="K835" s="142" t="s">
        <v>374</v>
      </c>
      <c r="L835" s="273"/>
      <c r="M835"/>
      <c r="N835"/>
    </row>
    <row r="836" spans="1:14" s="116" customFormat="1">
      <c r="A836" s="123" t="s">
        <v>3488</v>
      </c>
      <c r="B836" s="141" t="s">
        <v>2046</v>
      </c>
      <c r="C836" s="142" t="s">
        <v>321</v>
      </c>
      <c r="D836" s="142" t="s">
        <v>686</v>
      </c>
      <c r="E836" s="120"/>
      <c r="F836" s="141" t="s">
        <v>1136</v>
      </c>
      <c r="G836" s="141" t="s">
        <v>4192</v>
      </c>
      <c r="H836" s="142" t="s">
        <v>3306</v>
      </c>
      <c r="I836" s="141" t="s">
        <v>4193</v>
      </c>
      <c r="J836" s="142"/>
      <c r="K836" s="142" t="s">
        <v>374</v>
      </c>
      <c r="L836" s="273"/>
      <c r="M836"/>
      <c r="N836"/>
    </row>
    <row r="837" spans="1:14" s="116" customFormat="1">
      <c r="A837" s="123"/>
      <c r="B837" s="141"/>
      <c r="C837" s="142"/>
      <c r="D837" s="141" t="s">
        <v>263</v>
      </c>
      <c r="E837" s="120" t="s">
        <v>4194</v>
      </c>
      <c r="F837" s="141" t="s">
        <v>1136</v>
      </c>
      <c r="G837" s="141" t="s">
        <v>4195</v>
      </c>
      <c r="H837" s="141" t="s">
        <v>280</v>
      </c>
      <c r="I837" s="141" t="s">
        <v>4196</v>
      </c>
      <c r="J837" s="142"/>
      <c r="K837" s="142" t="s">
        <v>374</v>
      </c>
      <c r="L837" s="273"/>
      <c r="M837"/>
      <c r="N837"/>
    </row>
    <row r="838" spans="1:14" s="116" customFormat="1">
      <c r="A838" s="123" t="s">
        <v>3485</v>
      </c>
      <c r="B838" s="141" t="s">
        <v>2048</v>
      </c>
      <c r="C838" s="142" t="s">
        <v>321</v>
      </c>
      <c r="D838" s="142" t="s">
        <v>686</v>
      </c>
      <c r="E838" s="120"/>
      <c r="F838" s="141" t="s">
        <v>1136</v>
      </c>
      <c r="G838" s="141" t="s">
        <v>4197</v>
      </c>
      <c r="H838" s="142" t="s">
        <v>3306</v>
      </c>
      <c r="I838" s="141" t="s">
        <v>4198</v>
      </c>
      <c r="J838" s="142"/>
      <c r="K838" s="142" t="s">
        <v>374</v>
      </c>
      <c r="L838" s="273"/>
      <c r="M838"/>
      <c r="N838"/>
    </row>
    <row r="839" spans="1:14" s="116" customFormat="1">
      <c r="A839" s="123" t="s">
        <v>3488</v>
      </c>
      <c r="B839" s="141" t="s">
        <v>2048</v>
      </c>
      <c r="C839" s="142" t="s">
        <v>321</v>
      </c>
      <c r="D839" s="142" t="s">
        <v>686</v>
      </c>
      <c r="E839" s="120"/>
      <c r="F839" s="141" t="s">
        <v>1136</v>
      </c>
      <c r="G839" s="141" t="s">
        <v>4199</v>
      </c>
      <c r="H839" s="142" t="s">
        <v>3306</v>
      </c>
      <c r="I839" s="141" t="s">
        <v>4200</v>
      </c>
      <c r="J839" s="142"/>
      <c r="K839" s="142" t="s">
        <v>374</v>
      </c>
      <c r="L839" s="273"/>
      <c r="M839"/>
      <c r="N839"/>
    </row>
    <row r="840" spans="1:14" s="116" customFormat="1">
      <c r="A840" s="123"/>
      <c r="B840" s="141"/>
      <c r="C840" s="142"/>
      <c r="D840" s="141" t="s">
        <v>263</v>
      </c>
      <c r="E840" s="120" t="s">
        <v>4201</v>
      </c>
      <c r="F840" s="141" t="s">
        <v>1136</v>
      </c>
      <c r="G840" s="141" t="s">
        <v>4202</v>
      </c>
      <c r="H840" s="141" t="s">
        <v>280</v>
      </c>
      <c r="I840" s="141" t="s">
        <v>4203</v>
      </c>
      <c r="J840" s="142"/>
      <c r="K840" s="142" t="s">
        <v>374</v>
      </c>
      <c r="L840" s="273"/>
      <c r="M840"/>
      <c r="N840"/>
    </row>
    <row r="841" spans="1:14" s="116" customFormat="1">
      <c r="A841" s="123" t="s">
        <v>3485</v>
      </c>
      <c r="B841" s="141" t="s">
        <v>2049</v>
      </c>
      <c r="C841" s="142" t="s">
        <v>321</v>
      </c>
      <c r="D841" s="142" t="s">
        <v>686</v>
      </c>
      <c r="E841" s="120"/>
      <c r="F841" s="141" t="s">
        <v>1136</v>
      </c>
      <c r="G841" s="141" t="s">
        <v>4204</v>
      </c>
      <c r="H841" s="142" t="s">
        <v>3306</v>
      </c>
      <c r="I841" s="141" t="s">
        <v>4205</v>
      </c>
      <c r="J841" s="142"/>
      <c r="K841" s="142" t="s">
        <v>374</v>
      </c>
      <c r="L841" s="273"/>
      <c r="M841"/>
      <c r="N841"/>
    </row>
    <row r="842" spans="1:14" s="116" customFormat="1">
      <c r="A842" s="123" t="s">
        <v>3488</v>
      </c>
      <c r="B842" s="141" t="s">
        <v>2049</v>
      </c>
      <c r="C842" s="142" t="s">
        <v>321</v>
      </c>
      <c r="D842" s="142" t="s">
        <v>686</v>
      </c>
      <c r="E842" s="120"/>
      <c r="F842" s="141" t="s">
        <v>1136</v>
      </c>
      <c r="G842" s="141" t="s">
        <v>4206</v>
      </c>
      <c r="H842" s="142" t="s">
        <v>3306</v>
      </c>
      <c r="I842" s="141" t="s">
        <v>4207</v>
      </c>
      <c r="J842" s="142"/>
      <c r="K842" s="142" t="s">
        <v>374</v>
      </c>
      <c r="L842" s="273"/>
      <c r="M842"/>
      <c r="N842"/>
    </row>
    <row r="843" spans="1:14" s="116" customFormat="1">
      <c r="A843" s="123"/>
      <c r="B843" s="141"/>
      <c r="C843" s="142"/>
      <c r="D843" s="141" t="s">
        <v>263</v>
      </c>
      <c r="E843" s="120" t="s">
        <v>4208</v>
      </c>
      <c r="F843" s="141" t="s">
        <v>1136</v>
      </c>
      <c r="G843" s="141" t="s">
        <v>4209</v>
      </c>
      <c r="H843" s="141" t="s">
        <v>280</v>
      </c>
      <c r="I843" s="141" t="s">
        <v>4210</v>
      </c>
      <c r="J843" s="142"/>
      <c r="K843" s="142" t="s">
        <v>374</v>
      </c>
      <c r="L843" s="273"/>
      <c r="M843"/>
      <c r="N843"/>
    </row>
    <row r="844" spans="1:14" s="116" customFormat="1">
      <c r="A844" s="123" t="s">
        <v>3485</v>
      </c>
      <c r="B844" s="141" t="s">
        <v>2050</v>
      </c>
      <c r="C844" s="142" t="s">
        <v>321</v>
      </c>
      <c r="D844" s="142" t="s">
        <v>686</v>
      </c>
      <c r="E844" s="120"/>
      <c r="F844" s="141" t="s">
        <v>1136</v>
      </c>
      <c r="G844" s="141" t="s">
        <v>4211</v>
      </c>
      <c r="H844" s="142" t="s">
        <v>3306</v>
      </c>
      <c r="I844" s="141" t="s">
        <v>4212</v>
      </c>
      <c r="J844" s="142"/>
      <c r="K844" s="142" t="s">
        <v>374</v>
      </c>
      <c r="L844" s="273"/>
      <c r="M844"/>
      <c r="N844"/>
    </row>
    <row r="845" spans="1:14" s="116" customFormat="1">
      <c r="A845" s="123" t="s">
        <v>3488</v>
      </c>
      <c r="B845" s="141" t="s">
        <v>2050</v>
      </c>
      <c r="C845" s="142" t="s">
        <v>321</v>
      </c>
      <c r="D845" s="142" t="s">
        <v>686</v>
      </c>
      <c r="E845" s="120"/>
      <c r="F845" s="141" t="s">
        <v>1136</v>
      </c>
      <c r="G845" s="141" t="s">
        <v>4213</v>
      </c>
      <c r="H845" s="142" t="s">
        <v>3306</v>
      </c>
      <c r="I845" s="141" t="s">
        <v>4214</v>
      </c>
      <c r="J845" s="142"/>
      <c r="K845" s="142" t="s">
        <v>374</v>
      </c>
      <c r="L845" s="273"/>
      <c r="M845"/>
      <c r="N845"/>
    </row>
    <row r="846" spans="1:14" s="116" customFormat="1">
      <c r="A846" s="123"/>
      <c r="B846" s="141"/>
      <c r="C846" s="142"/>
      <c r="D846" s="141" t="s">
        <v>263</v>
      </c>
      <c r="E846" s="120" t="s">
        <v>4215</v>
      </c>
      <c r="F846" s="141" t="s">
        <v>1136</v>
      </c>
      <c r="G846" s="141" t="s">
        <v>4216</v>
      </c>
      <c r="H846" s="141" t="s">
        <v>280</v>
      </c>
      <c r="I846" s="141" t="s">
        <v>4217</v>
      </c>
      <c r="J846" s="142"/>
      <c r="K846" s="142" t="s">
        <v>374</v>
      </c>
      <c r="L846" s="273"/>
      <c r="M846"/>
      <c r="N846"/>
    </row>
    <row r="847" spans="1:14" s="116" customFormat="1">
      <c r="A847" s="123" t="s">
        <v>3485</v>
      </c>
      <c r="B847" s="141" t="s">
        <v>2043</v>
      </c>
      <c r="C847" s="142" t="s">
        <v>321</v>
      </c>
      <c r="D847" s="142" t="s">
        <v>686</v>
      </c>
      <c r="E847" s="120"/>
      <c r="F847" s="141" t="s">
        <v>1136</v>
      </c>
      <c r="G847" s="141" t="s">
        <v>4218</v>
      </c>
      <c r="H847" s="142" t="s">
        <v>3306</v>
      </c>
      <c r="I847" s="141" t="s">
        <v>4219</v>
      </c>
      <c r="J847" s="142"/>
      <c r="K847" s="142" t="s">
        <v>374</v>
      </c>
      <c r="L847" s="273"/>
      <c r="M847"/>
      <c r="N847"/>
    </row>
    <row r="848" spans="1:14" s="116" customFormat="1">
      <c r="A848" s="123" t="s">
        <v>3488</v>
      </c>
      <c r="B848" s="141" t="s">
        <v>2043</v>
      </c>
      <c r="C848" s="142" t="s">
        <v>321</v>
      </c>
      <c r="D848" s="142" t="s">
        <v>686</v>
      </c>
      <c r="E848" s="120"/>
      <c r="F848" s="141" t="s">
        <v>1136</v>
      </c>
      <c r="G848" s="141" t="s">
        <v>4220</v>
      </c>
      <c r="H848" s="142" t="s">
        <v>3306</v>
      </c>
      <c r="I848" s="141" t="s">
        <v>4221</v>
      </c>
      <c r="J848" s="142"/>
      <c r="K848" s="142" t="s">
        <v>374</v>
      </c>
      <c r="L848" s="273"/>
      <c r="M848"/>
      <c r="N848"/>
    </row>
    <row r="849" spans="1:14" s="116" customFormat="1">
      <c r="A849" s="123"/>
      <c r="B849" s="141"/>
      <c r="C849" s="142"/>
      <c r="D849" s="141" t="s">
        <v>263</v>
      </c>
      <c r="E849" s="120" t="s">
        <v>4222</v>
      </c>
      <c r="F849" s="141" t="s">
        <v>1136</v>
      </c>
      <c r="G849" s="141" t="s">
        <v>4223</v>
      </c>
      <c r="H849" s="141" t="s">
        <v>280</v>
      </c>
      <c r="I849" s="141" t="s">
        <v>4224</v>
      </c>
      <c r="J849" s="142"/>
      <c r="K849" s="142" t="s">
        <v>374</v>
      </c>
      <c r="L849" s="273"/>
      <c r="M849"/>
      <c r="N849"/>
    </row>
    <row r="850" spans="1:14" s="116" customFormat="1">
      <c r="A850" s="123" t="s">
        <v>3485</v>
      </c>
      <c r="B850" s="141" t="s">
        <v>3095</v>
      </c>
      <c r="C850" s="142" t="s">
        <v>321</v>
      </c>
      <c r="D850" s="142" t="s">
        <v>686</v>
      </c>
      <c r="E850" s="120"/>
      <c r="F850" s="141" t="s">
        <v>1136</v>
      </c>
      <c r="G850" s="141" t="s">
        <v>4225</v>
      </c>
      <c r="H850" s="142" t="s">
        <v>3306</v>
      </c>
      <c r="I850" s="141" t="s">
        <v>4226</v>
      </c>
      <c r="J850" s="142"/>
      <c r="K850" s="142" t="s">
        <v>374</v>
      </c>
      <c r="L850" s="273"/>
      <c r="M850"/>
      <c r="N850"/>
    </row>
    <row r="851" spans="1:14" s="116" customFormat="1">
      <c r="A851" s="123" t="s">
        <v>3488</v>
      </c>
      <c r="B851" s="141" t="s">
        <v>3095</v>
      </c>
      <c r="C851" s="142" t="s">
        <v>321</v>
      </c>
      <c r="D851" s="142" t="s">
        <v>686</v>
      </c>
      <c r="E851" s="120"/>
      <c r="F851" s="141" t="s">
        <v>1136</v>
      </c>
      <c r="G851" s="141" t="s">
        <v>4227</v>
      </c>
      <c r="H851" s="142" t="s">
        <v>3306</v>
      </c>
      <c r="I851" s="141" t="s">
        <v>4228</v>
      </c>
      <c r="J851" s="142"/>
      <c r="K851" s="142" t="s">
        <v>374</v>
      </c>
      <c r="L851" s="273"/>
      <c r="M851"/>
      <c r="N851"/>
    </row>
    <row r="852" spans="1:14" s="116" customFormat="1">
      <c r="A852" s="123"/>
      <c r="B852" s="141"/>
      <c r="C852" s="142"/>
      <c r="D852" s="141" t="s">
        <v>263</v>
      </c>
      <c r="E852" s="120" t="s">
        <v>4229</v>
      </c>
      <c r="F852" s="141" t="s">
        <v>1136</v>
      </c>
      <c r="G852" s="141" t="s">
        <v>4230</v>
      </c>
      <c r="H852" s="141" t="s">
        <v>280</v>
      </c>
      <c r="I852" s="141" t="s">
        <v>4231</v>
      </c>
      <c r="J852" s="142"/>
      <c r="K852" s="142" t="s">
        <v>374</v>
      </c>
      <c r="L852" s="273"/>
      <c r="M852"/>
      <c r="N852"/>
    </row>
    <row r="853" spans="1:14" s="116" customFormat="1">
      <c r="A853" s="123" t="s">
        <v>3485</v>
      </c>
      <c r="B853" s="141" t="s">
        <v>2068</v>
      </c>
      <c r="C853" s="142" t="s">
        <v>321</v>
      </c>
      <c r="D853" s="142" t="s">
        <v>686</v>
      </c>
      <c r="E853" s="120"/>
      <c r="F853" s="141" t="s">
        <v>1136</v>
      </c>
      <c r="G853" s="141" t="s">
        <v>4232</v>
      </c>
      <c r="H853" s="142" t="s">
        <v>3306</v>
      </c>
      <c r="I853" s="141" t="s">
        <v>4233</v>
      </c>
      <c r="J853" s="142"/>
      <c r="K853" s="142" t="s">
        <v>374</v>
      </c>
      <c r="L853" s="273"/>
      <c r="M853"/>
      <c r="N853"/>
    </row>
    <row r="854" spans="1:14" s="116" customFormat="1">
      <c r="A854" s="123" t="s">
        <v>3488</v>
      </c>
      <c r="B854" s="141" t="s">
        <v>2068</v>
      </c>
      <c r="C854" s="142" t="s">
        <v>321</v>
      </c>
      <c r="D854" s="142" t="s">
        <v>686</v>
      </c>
      <c r="E854" s="120"/>
      <c r="F854" s="141" t="s">
        <v>1136</v>
      </c>
      <c r="G854" s="141" t="s">
        <v>4234</v>
      </c>
      <c r="H854" s="142" t="s">
        <v>3306</v>
      </c>
      <c r="I854" s="141" t="s">
        <v>4235</v>
      </c>
      <c r="J854" s="142"/>
      <c r="K854" s="142" t="s">
        <v>374</v>
      </c>
      <c r="L854" s="273"/>
      <c r="M854"/>
      <c r="N854"/>
    </row>
    <row r="855" spans="1:14" s="116" customFormat="1">
      <c r="A855" s="123"/>
      <c r="B855" s="141"/>
      <c r="C855" s="142"/>
      <c r="D855" s="141" t="s">
        <v>263</v>
      </c>
      <c r="E855" s="120" t="s">
        <v>4236</v>
      </c>
      <c r="F855" s="141" t="s">
        <v>1136</v>
      </c>
      <c r="G855" s="141" t="s">
        <v>4237</v>
      </c>
      <c r="H855" s="141" t="s">
        <v>280</v>
      </c>
      <c r="I855" s="141" t="s">
        <v>4238</v>
      </c>
      <c r="J855" s="142"/>
      <c r="K855" s="142" t="s">
        <v>374</v>
      </c>
      <c r="L855" s="273"/>
      <c r="M855"/>
      <c r="N855"/>
    </row>
    <row r="856" spans="1:14" s="116" customFormat="1">
      <c r="A856" s="123" t="s">
        <v>3485</v>
      </c>
      <c r="B856" s="141" t="s">
        <v>3308</v>
      </c>
      <c r="C856" s="142" t="s">
        <v>321</v>
      </c>
      <c r="D856" s="142" t="s">
        <v>686</v>
      </c>
      <c r="E856" s="120"/>
      <c r="F856" s="141" t="s">
        <v>1136</v>
      </c>
      <c r="G856" s="141" t="s">
        <v>4239</v>
      </c>
      <c r="H856" s="142" t="s">
        <v>3306</v>
      </c>
      <c r="I856" s="141" t="s">
        <v>4240</v>
      </c>
      <c r="J856" s="142"/>
      <c r="K856" s="142" t="s">
        <v>374</v>
      </c>
      <c r="L856" s="273"/>
      <c r="M856"/>
      <c r="N856"/>
    </row>
    <row r="857" spans="1:14" s="116" customFormat="1" ht="25">
      <c r="A857" s="123" t="s">
        <v>3488</v>
      </c>
      <c r="B857" s="141" t="s">
        <v>3308</v>
      </c>
      <c r="C857" s="142" t="s">
        <v>321</v>
      </c>
      <c r="D857" s="142" t="s">
        <v>686</v>
      </c>
      <c r="E857" s="120"/>
      <c r="F857" s="141" t="s">
        <v>1136</v>
      </c>
      <c r="G857" s="141" t="s">
        <v>4241</v>
      </c>
      <c r="H857" s="142" t="s">
        <v>3306</v>
      </c>
      <c r="I857" s="141" t="s">
        <v>4242</v>
      </c>
      <c r="J857" s="142"/>
      <c r="K857" s="142" t="s">
        <v>374</v>
      </c>
      <c r="L857" s="273"/>
      <c r="M857"/>
      <c r="N857"/>
    </row>
    <row r="858" spans="1:14" s="116" customFormat="1" ht="25">
      <c r="A858" s="123"/>
      <c r="B858" s="141"/>
      <c r="C858" s="142"/>
      <c r="D858" s="141" t="s">
        <v>263</v>
      </c>
      <c r="E858" s="120" t="s">
        <v>4243</v>
      </c>
      <c r="F858" s="141" t="s">
        <v>1136</v>
      </c>
      <c r="G858" s="141" t="s">
        <v>4244</v>
      </c>
      <c r="H858" s="141" t="s">
        <v>280</v>
      </c>
      <c r="I858" s="141" t="s">
        <v>4245</v>
      </c>
      <c r="J858" s="142"/>
      <c r="K858" s="142" t="s">
        <v>374</v>
      </c>
      <c r="L858" s="273"/>
      <c r="M858"/>
      <c r="N858"/>
    </row>
    <row r="859" spans="1:14" s="116" customFormat="1">
      <c r="A859" s="123" t="s">
        <v>3485</v>
      </c>
      <c r="B859" s="141" t="s">
        <v>3313</v>
      </c>
      <c r="C859" s="142" t="s">
        <v>321</v>
      </c>
      <c r="D859" s="142" t="s">
        <v>686</v>
      </c>
      <c r="E859" s="120"/>
      <c r="F859" s="141" t="s">
        <v>1136</v>
      </c>
      <c r="G859" s="141" t="s">
        <v>4246</v>
      </c>
      <c r="H859" s="142" t="s">
        <v>3306</v>
      </c>
      <c r="I859" s="141" t="s">
        <v>4247</v>
      </c>
      <c r="J859" s="142"/>
      <c r="K859" s="142" t="s">
        <v>374</v>
      </c>
      <c r="L859" s="273"/>
      <c r="M859"/>
      <c r="N859"/>
    </row>
    <row r="860" spans="1:14" s="116" customFormat="1">
      <c r="A860" s="123" t="s">
        <v>3488</v>
      </c>
      <c r="B860" s="141" t="s">
        <v>3313</v>
      </c>
      <c r="C860" s="142" t="s">
        <v>321</v>
      </c>
      <c r="D860" s="142" t="s">
        <v>686</v>
      </c>
      <c r="E860" s="120"/>
      <c r="F860" s="141" t="s">
        <v>1136</v>
      </c>
      <c r="G860" s="141" t="s">
        <v>4248</v>
      </c>
      <c r="H860" s="142" t="s">
        <v>3306</v>
      </c>
      <c r="I860" s="141" t="s">
        <v>4249</v>
      </c>
      <c r="J860" s="142"/>
      <c r="K860" s="142" t="s">
        <v>374</v>
      </c>
      <c r="L860" s="273"/>
      <c r="M860"/>
      <c r="N860"/>
    </row>
    <row r="861" spans="1:14" s="116" customFormat="1">
      <c r="A861" s="123"/>
      <c r="B861" s="141"/>
      <c r="C861" s="142"/>
      <c r="D861" s="141" t="s">
        <v>263</v>
      </c>
      <c r="E861" s="120" t="s">
        <v>4250</v>
      </c>
      <c r="F861" s="141" t="s">
        <v>1136</v>
      </c>
      <c r="G861" s="141" t="s">
        <v>4251</v>
      </c>
      <c r="H861" s="141" t="s">
        <v>280</v>
      </c>
      <c r="I861" s="141" t="s">
        <v>4252</v>
      </c>
      <c r="J861" s="142"/>
      <c r="K861" s="142" t="s">
        <v>374</v>
      </c>
      <c r="L861" s="273"/>
      <c r="M861"/>
      <c r="N861"/>
    </row>
    <row r="862" spans="1:14" s="116" customFormat="1">
      <c r="A862" s="123" t="s">
        <v>3485</v>
      </c>
      <c r="B862" s="141" t="s">
        <v>2069</v>
      </c>
      <c r="C862" s="142" t="s">
        <v>321</v>
      </c>
      <c r="D862" s="142" t="s">
        <v>686</v>
      </c>
      <c r="E862" s="120"/>
      <c r="F862" s="141" t="s">
        <v>1136</v>
      </c>
      <c r="G862" s="141" t="s">
        <v>4253</v>
      </c>
      <c r="H862" s="142" t="s">
        <v>3306</v>
      </c>
      <c r="I862" s="141" t="s">
        <v>4254</v>
      </c>
      <c r="J862" s="142"/>
      <c r="K862" s="142" t="s">
        <v>374</v>
      </c>
      <c r="L862" s="273"/>
      <c r="M862"/>
      <c r="N862"/>
    </row>
    <row r="863" spans="1:14" s="116" customFormat="1">
      <c r="A863" s="123" t="s">
        <v>3488</v>
      </c>
      <c r="B863" s="141" t="s">
        <v>2069</v>
      </c>
      <c r="C863" s="142" t="s">
        <v>321</v>
      </c>
      <c r="D863" s="142" t="s">
        <v>686</v>
      </c>
      <c r="E863" s="120"/>
      <c r="F863" s="141" t="s">
        <v>1136</v>
      </c>
      <c r="G863" s="141" t="s">
        <v>4255</v>
      </c>
      <c r="H863" s="142" t="s">
        <v>3306</v>
      </c>
      <c r="I863" s="141" t="s">
        <v>4256</v>
      </c>
      <c r="J863" s="142"/>
      <c r="K863" s="142" t="s">
        <v>374</v>
      </c>
      <c r="L863" s="273"/>
      <c r="M863"/>
      <c r="N863"/>
    </row>
    <row r="864" spans="1:14" s="116" customFormat="1">
      <c r="A864" s="123"/>
      <c r="B864" s="141"/>
      <c r="C864" s="142"/>
      <c r="D864" s="141" t="s">
        <v>263</v>
      </c>
      <c r="E864" s="120" t="s">
        <v>4257</v>
      </c>
      <c r="F864" s="141" t="s">
        <v>1136</v>
      </c>
      <c r="G864" s="141" t="s">
        <v>4258</v>
      </c>
      <c r="H864" s="141" t="s">
        <v>280</v>
      </c>
      <c r="I864" s="141" t="s">
        <v>4259</v>
      </c>
      <c r="J864" s="142"/>
      <c r="K864" s="142" t="s">
        <v>374</v>
      </c>
      <c r="L864" s="273"/>
      <c r="M864"/>
      <c r="N864"/>
    </row>
    <row r="865" spans="1:21" s="116" customFormat="1">
      <c r="A865" s="123" t="s">
        <v>3485</v>
      </c>
      <c r="B865" s="141" t="s">
        <v>1384</v>
      </c>
      <c r="C865" s="142" t="s">
        <v>321</v>
      </c>
      <c r="D865" s="142" t="s">
        <v>686</v>
      </c>
      <c r="E865" s="120"/>
      <c r="F865" s="141" t="s">
        <v>1136</v>
      </c>
      <c r="G865" s="141" t="s">
        <v>4260</v>
      </c>
      <c r="H865" s="142" t="s">
        <v>3306</v>
      </c>
      <c r="I865" s="141" t="s">
        <v>4261</v>
      </c>
      <c r="J865" s="142"/>
      <c r="K865" s="142" t="s">
        <v>374</v>
      </c>
      <c r="L865" s="273"/>
      <c r="M865"/>
      <c r="N865"/>
    </row>
    <row r="866" spans="1:21" s="116" customFormat="1">
      <c r="A866" s="123" t="s">
        <v>3488</v>
      </c>
      <c r="B866" s="141" t="s">
        <v>1384</v>
      </c>
      <c r="C866" s="142" t="s">
        <v>321</v>
      </c>
      <c r="D866" s="142" t="s">
        <v>686</v>
      </c>
      <c r="E866" s="120"/>
      <c r="F866" s="141" t="s">
        <v>1136</v>
      </c>
      <c r="G866" s="141" t="s">
        <v>4262</v>
      </c>
      <c r="H866" s="142" t="s">
        <v>3306</v>
      </c>
      <c r="I866" s="141" t="s">
        <v>4263</v>
      </c>
      <c r="J866" s="142"/>
      <c r="K866" s="142" t="s">
        <v>374</v>
      </c>
      <c r="L866" s="273"/>
      <c r="M866"/>
      <c r="N866"/>
    </row>
    <row r="867" spans="1:21">
      <c r="A867" s="123"/>
      <c r="B867" s="141"/>
      <c r="C867" s="142"/>
      <c r="D867" s="141" t="s">
        <v>263</v>
      </c>
      <c r="E867" s="120" t="s">
        <v>4264</v>
      </c>
      <c r="F867" s="141" t="s">
        <v>1136</v>
      </c>
      <c r="G867" s="141" t="s">
        <v>4265</v>
      </c>
      <c r="H867" s="141" t="s">
        <v>280</v>
      </c>
      <c r="I867" s="141" t="s">
        <v>4266</v>
      </c>
      <c r="J867" s="142"/>
      <c r="K867" s="142" t="s">
        <v>374</v>
      </c>
      <c r="L867" s="273"/>
      <c r="M867"/>
      <c r="N867"/>
      <c r="O867" s="184"/>
      <c r="P867" s="184"/>
      <c r="Q867" s="184"/>
      <c r="R867" s="184"/>
      <c r="S867" s="184"/>
      <c r="T867" s="184"/>
      <c r="U867" s="184"/>
    </row>
    <row r="868" spans="1:21" ht="26">
      <c r="A868" s="120" t="s">
        <v>1136</v>
      </c>
      <c r="B868" s="282" t="s">
        <v>4267</v>
      </c>
      <c r="C868" s="142" t="s">
        <v>3627</v>
      </c>
      <c r="D868" s="142" t="s">
        <v>263</v>
      </c>
      <c r="E868" s="283" t="s">
        <v>4268</v>
      </c>
      <c r="F868" s="141" t="s">
        <v>1136</v>
      </c>
      <c r="G868" s="141" t="s">
        <v>4269</v>
      </c>
      <c r="H868" s="142" t="s">
        <v>3306</v>
      </c>
      <c r="I868" s="187" t="s">
        <v>4270</v>
      </c>
      <c r="J868" s="142"/>
      <c r="K868" s="142" t="s">
        <v>266</v>
      </c>
      <c r="L868" s="273"/>
      <c r="M868"/>
      <c r="N868"/>
    </row>
    <row r="869" spans="1:21" ht="39">
      <c r="A869" s="120" t="s">
        <v>1136</v>
      </c>
      <c r="B869" s="282" t="s">
        <v>4271</v>
      </c>
      <c r="C869" s="142" t="s">
        <v>3627</v>
      </c>
      <c r="D869" s="142" t="s">
        <v>263</v>
      </c>
      <c r="E869" s="283" t="s">
        <v>4272</v>
      </c>
      <c r="F869" s="141" t="s">
        <v>1136</v>
      </c>
      <c r="G869" s="141" t="s">
        <v>4273</v>
      </c>
      <c r="H869" s="142" t="s">
        <v>3306</v>
      </c>
      <c r="I869" s="187" t="s">
        <v>4274</v>
      </c>
      <c r="J869" s="142"/>
      <c r="K869" s="142" t="s">
        <v>266</v>
      </c>
      <c r="L869" s="273"/>
      <c r="M869"/>
      <c r="N869"/>
    </row>
    <row r="870" spans="1:21" ht="39">
      <c r="A870" s="120" t="s">
        <v>1136</v>
      </c>
      <c r="B870" s="282" t="s">
        <v>4271</v>
      </c>
      <c r="C870" s="142" t="s">
        <v>3627</v>
      </c>
      <c r="D870" s="142" t="s">
        <v>263</v>
      </c>
      <c r="E870" s="283" t="s">
        <v>4272</v>
      </c>
      <c r="F870" s="141" t="s">
        <v>1136</v>
      </c>
      <c r="G870" s="141" t="s">
        <v>4275</v>
      </c>
      <c r="H870" s="142" t="s">
        <v>3306</v>
      </c>
      <c r="I870" s="187" t="s">
        <v>4276</v>
      </c>
      <c r="J870" s="142"/>
      <c r="K870" s="142" t="s">
        <v>266</v>
      </c>
      <c r="L870" s="273"/>
      <c r="M870"/>
      <c r="N870"/>
    </row>
    <row r="871" spans="1:21" ht="39">
      <c r="A871" s="120" t="s">
        <v>1136</v>
      </c>
      <c r="B871" s="282" t="s">
        <v>4277</v>
      </c>
      <c r="C871" s="142" t="s">
        <v>3627</v>
      </c>
      <c r="D871" s="142" t="s">
        <v>263</v>
      </c>
      <c r="E871" s="283" t="s">
        <v>4278</v>
      </c>
      <c r="F871" s="141" t="s">
        <v>1136</v>
      </c>
      <c r="G871" s="141" t="s">
        <v>4279</v>
      </c>
      <c r="H871" s="142" t="s">
        <v>3306</v>
      </c>
      <c r="I871" s="187" t="s">
        <v>4280</v>
      </c>
      <c r="J871" s="142"/>
      <c r="K871" s="142" t="s">
        <v>266</v>
      </c>
      <c r="L871" s="273"/>
      <c r="M871"/>
      <c r="N871"/>
    </row>
    <row r="872" spans="1:21" ht="26">
      <c r="A872" s="120" t="s">
        <v>1136</v>
      </c>
      <c r="B872" s="282" t="s">
        <v>4281</v>
      </c>
      <c r="C872" s="142" t="s">
        <v>3627</v>
      </c>
      <c r="D872" s="142" t="s">
        <v>263</v>
      </c>
      <c r="E872" s="283" t="s">
        <v>4282</v>
      </c>
      <c r="F872" s="141" t="s">
        <v>1136</v>
      </c>
      <c r="G872" s="141" t="s">
        <v>4283</v>
      </c>
      <c r="H872" s="142" t="s">
        <v>3306</v>
      </c>
      <c r="I872" s="187" t="s">
        <v>4284</v>
      </c>
      <c r="J872" s="142"/>
      <c r="K872" s="142" t="s">
        <v>266</v>
      </c>
      <c r="L872" s="273"/>
      <c r="M872"/>
      <c r="N872"/>
    </row>
    <row r="873" spans="1:21" ht="26">
      <c r="A873" s="120" t="s">
        <v>1136</v>
      </c>
      <c r="B873" s="282" t="s">
        <v>4285</v>
      </c>
      <c r="C873" s="142" t="s">
        <v>3627</v>
      </c>
      <c r="D873" s="142" t="s">
        <v>263</v>
      </c>
      <c r="E873" s="283" t="s">
        <v>4286</v>
      </c>
      <c r="F873" s="141" t="s">
        <v>1136</v>
      </c>
      <c r="G873" s="141" t="s">
        <v>4287</v>
      </c>
      <c r="H873" s="142" t="s">
        <v>3306</v>
      </c>
      <c r="I873" s="187" t="s">
        <v>4288</v>
      </c>
      <c r="J873" s="142"/>
      <c r="K873" s="142" t="s">
        <v>266</v>
      </c>
      <c r="L873" s="273"/>
      <c r="M873"/>
      <c r="N873"/>
    </row>
    <row r="874" spans="1:21" ht="39">
      <c r="A874" s="120" t="s">
        <v>1136</v>
      </c>
      <c r="B874" s="282" t="s">
        <v>4289</v>
      </c>
      <c r="C874" s="142" t="s">
        <v>3627</v>
      </c>
      <c r="D874" s="142" t="s">
        <v>263</v>
      </c>
      <c r="E874" s="283" t="s">
        <v>4290</v>
      </c>
      <c r="F874" s="141" t="s">
        <v>1136</v>
      </c>
      <c r="G874" s="141" t="s">
        <v>4291</v>
      </c>
      <c r="H874" s="142" t="s">
        <v>3306</v>
      </c>
      <c r="I874" s="187" t="s">
        <v>4292</v>
      </c>
      <c r="J874" s="142"/>
      <c r="K874" s="142" t="s">
        <v>266</v>
      </c>
      <c r="L874" s="273"/>
      <c r="M874"/>
      <c r="N874"/>
    </row>
    <row r="875" spans="1:21" ht="26">
      <c r="A875" s="120" t="s">
        <v>1136</v>
      </c>
      <c r="B875" s="282" t="s">
        <v>4293</v>
      </c>
      <c r="C875" s="142" t="s">
        <v>3627</v>
      </c>
      <c r="D875" s="142" t="s">
        <v>263</v>
      </c>
      <c r="E875" s="283" t="s">
        <v>4294</v>
      </c>
      <c r="F875" s="141" t="s">
        <v>1136</v>
      </c>
      <c r="G875" s="141" t="s">
        <v>4295</v>
      </c>
      <c r="H875" s="142" t="s">
        <v>3306</v>
      </c>
      <c r="I875" s="187" t="s">
        <v>4296</v>
      </c>
      <c r="J875" s="142"/>
      <c r="K875" s="142" t="s">
        <v>266</v>
      </c>
      <c r="L875" s="273"/>
      <c r="M875"/>
      <c r="N875"/>
    </row>
    <row r="876" spans="1:21" ht="39">
      <c r="A876" s="120" t="s">
        <v>1136</v>
      </c>
      <c r="B876" s="282" t="s">
        <v>4297</v>
      </c>
      <c r="C876" s="142" t="s">
        <v>3627</v>
      </c>
      <c r="D876" s="142" t="s">
        <v>263</v>
      </c>
      <c r="E876" s="283" t="s">
        <v>4298</v>
      </c>
      <c r="F876" s="141" t="s">
        <v>1136</v>
      </c>
      <c r="G876" s="141" t="s">
        <v>4299</v>
      </c>
      <c r="H876" s="142" t="s">
        <v>3306</v>
      </c>
      <c r="I876" s="187" t="s">
        <v>4300</v>
      </c>
      <c r="J876" s="142"/>
      <c r="K876" s="142" t="s">
        <v>266</v>
      </c>
      <c r="L876" s="273"/>
      <c r="M876"/>
      <c r="N876"/>
    </row>
    <row r="877" spans="1:21" ht="39">
      <c r="A877" s="120" t="s">
        <v>1136</v>
      </c>
      <c r="B877" s="282" t="s">
        <v>4301</v>
      </c>
      <c r="C877" s="142" t="s">
        <v>3627</v>
      </c>
      <c r="D877" s="142" t="s">
        <v>263</v>
      </c>
      <c r="E877" s="283" t="s">
        <v>4302</v>
      </c>
      <c r="F877" s="141" t="s">
        <v>1136</v>
      </c>
      <c r="G877" s="141" t="s">
        <v>4303</v>
      </c>
      <c r="H877" s="142" t="s">
        <v>3306</v>
      </c>
      <c r="I877" s="187" t="s">
        <v>4304</v>
      </c>
      <c r="J877" s="142"/>
      <c r="K877" s="142" t="s">
        <v>266</v>
      </c>
      <c r="L877" s="273"/>
      <c r="M877"/>
      <c r="N877"/>
    </row>
    <row r="878" spans="1:21" ht="39">
      <c r="A878" s="120" t="s">
        <v>1136</v>
      </c>
      <c r="B878" s="282" t="s">
        <v>4305</v>
      </c>
      <c r="C878" s="142" t="s">
        <v>3627</v>
      </c>
      <c r="D878" s="142" t="s">
        <v>263</v>
      </c>
      <c r="E878" s="283" t="s">
        <v>4306</v>
      </c>
      <c r="F878" s="141" t="s">
        <v>1136</v>
      </c>
      <c r="G878" s="141" t="s">
        <v>4307</v>
      </c>
      <c r="H878" s="142" t="s">
        <v>3306</v>
      </c>
      <c r="I878" s="187" t="s">
        <v>4308</v>
      </c>
      <c r="J878" s="142"/>
      <c r="K878" s="142" t="s">
        <v>266</v>
      </c>
      <c r="L878" s="273"/>
      <c r="M878"/>
      <c r="N878"/>
    </row>
    <row r="879" spans="1:21" ht="39">
      <c r="A879" s="120" t="s">
        <v>1136</v>
      </c>
      <c r="B879" s="282" t="s">
        <v>4309</v>
      </c>
      <c r="C879" s="142" t="s">
        <v>3627</v>
      </c>
      <c r="D879" s="142" t="s">
        <v>263</v>
      </c>
      <c r="E879" s="283" t="s">
        <v>4310</v>
      </c>
      <c r="F879" s="141" t="s">
        <v>1136</v>
      </c>
      <c r="G879" s="141" t="s">
        <v>4311</v>
      </c>
      <c r="H879" s="142" t="s">
        <v>3306</v>
      </c>
      <c r="I879" s="187" t="s">
        <v>4312</v>
      </c>
      <c r="J879" s="142"/>
      <c r="K879" s="142" t="s">
        <v>266</v>
      </c>
      <c r="L879" s="273"/>
      <c r="M879"/>
      <c r="N879"/>
    </row>
    <row r="880" spans="1:21" ht="26">
      <c r="A880" s="120" t="s">
        <v>1136</v>
      </c>
      <c r="B880" s="282" t="s">
        <v>4313</v>
      </c>
      <c r="C880" s="142" t="s">
        <v>3627</v>
      </c>
      <c r="D880" s="142" t="s">
        <v>263</v>
      </c>
      <c r="E880" s="283" t="s">
        <v>4314</v>
      </c>
      <c r="F880" s="141" t="s">
        <v>1136</v>
      </c>
      <c r="G880" s="141" t="s">
        <v>4315</v>
      </c>
      <c r="H880" s="142" t="s">
        <v>3306</v>
      </c>
      <c r="I880" s="187" t="s">
        <v>4316</v>
      </c>
      <c r="J880" s="142"/>
      <c r="K880" s="142" t="s">
        <v>266</v>
      </c>
      <c r="L880" s="273"/>
      <c r="M880"/>
      <c r="N880"/>
    </row>
    <row r="881" spans="1:14" ht="26">
      <c r="A881" s="120" t="s">
        <v>1136</v>
      </c>
      <c r="B881" s="282" t="s">
        <v>4317</v>
      </c>
      <c r="C881" s="142" t="s">
        <v>3627</v>
      </c>
      <c r="D881" s="142" t="s">
        <v>263</v>
      </c>
      <c r="E881" s="283" t="s">
        <v>4318</v>
      </c>
      <c r="F881" s="141" t="s">
        <v>1136</v>
      </c>
      <c r="G881" s="141" t="s">
        <v>4319</v>
      </c>
      <c r="H881" s="142" t="s">
        <v>3306</v>
      </c>
      <c r="I881" s="187" t="s">
        <v>4320</v>
      </c>
      <c r="J881" s="142"/>
      <c r="K881" s="142" t="s">
        <v>266</v>
      </c>
      <c r="L881" s="273"/>
      <c r="M881"/>
      <c r="N881"/>
    </row>
    <row r="882" spans="1:14" ht="26">
      <c r="A882" s="120" t="s">
        <v>1136</v>
      </c>
      <c r="B882" s="282" t="s">
        <v>4321</v>
      </c>
      <c r="C882" s="142" t="s">
        <v>3627</v>
      </c>
      <c r="D882" s="142" t="s">
        <v>263</v>
      </c>
      <c r="E882" s="283" t="s">
        <v>4322</v>
      </c>
      <c r="F882" s="141" t="s">
        <v>1136</v>
      </c>
      <c r="G882" s="141" t="s">
        <v>4323</v>
      </c>
      <c r="H882" s="142" t="s">
        <v>3306</v>
      </c>
      <c r="I882" s="187" t="s">
        <v>4324</v>
      </c>
      <c r="J882" s="142"/>
      <c r="K882" s="142" t="s">
        <v>266</v>
      </c>
      <c r="L882" s="273"/>
      <c r="M882"/>
      <c r="N882"/>
    </row>
    <row r="883" spans="1:14" ht="39">
      <c r="A883" s="120" t="s">
        <v>1136</v>
      </c>
      <c r="B883" s="282" t="s">
        <v>4325</v>
      </c>
      <c r="C883" s="142" t="s">
        <v>3627</v>
      </c>
      <c r="D883" s="142" t="s">
        <v>263</v>
      </c>
      <c r="E883" s="283" t="s">
        <v>4326</v>
      </c>
      <c r="F883" s="141" t="s">
        <v>1136</v>
      </c>
      <c r="G883" s="141" t="s">
        <v>4327</v>
      </c>
      <c r="H883" s="142" t="s">
        <v>3306</v>
      </c>
      <c r="I883" s="187" t="s">
        <v>4328</v>
      </c>
      <c r="J883" s="142"/>
      <c r="K883" s="142" t="s">
        <v>266</v>
      </c>
      <c r="L883" s="273"/>
      <c r="M883"/>
      <c r="N883"/>
    </row>
    <row r="884" spans="1:14" ht="39">
      <c r="A884" s="120" t="s">
        <v>1136</v>
      </c>
      <c r="B884" s="282" t="s">
        <v>4329</v>
      </c>
      <c r="C884" s="142" t="s">
        <v>3627</v>
      </c>
      <c r="D884" s="142" t="s">
        <v>263</v>
      </c>
      <c r="E884" s="283" t="s">
        <v>4330</v>
      </c>
      <c r="F884" s="141" t="s">
        <v>1136</v>
      </c>
      <c r="G884" s="141" t="s">
        <v>4331</v>
      </c>
      <c r="H884" s="142" t="s">
        <v>3306</v>
      </c>
      <c r="I884" s="187" t="s">
        <v>4332</v>
      </c>
      <c r="J884" s="142"/>
      <c r="K884" s="142" t="s">
        <v>266</v>
      </c>
      <c r="L884" s="273"/>
      <c r="M884"/>
      <c r="N884"/>
    </row>
    <row r="885" spans="1:14" ht="39">
      <c r="A885" s="120" t="s">
        <v>1136</v>
      </c>
      <c r="B885" s="282" t="s">
        <v>4333</v>
      </c>
      <c r="C885" s="142" t="s">
        <v>3627</v>
      </c>
      <c r="D885" s="142" t="s">
        <v>263</v>
      </c>
      <c r="E885" s="283" t="s">
        <v>4334</v>
      </c>
      <c r="F885" s="141" t="s">
        <v>1136</v>
      </c>
      <c r="G885" s="141" t="s">
        <v>4335</v>
      </c>
      <c r="H885" s="142" t="s">
        <v>3306</v>
      </c>
      <c r="I885" s="187" t="s">
        <v>4336</v>
      </c>
      <c r="J885" s="142"/>
      <c r="K885" s="142" t="s">
        <v>266</v>
      </c>
      <c r="L885" s="273"/>
      <c r="M885"/>
      <c r="N885"/>
    </row>
    <row r="886" spans="1:14" ht="39">
      <c r="A886" s="120" t="s">
        <v>1136</v>
      </c>
      <c r="B886" s="282" t="s">
        <v>4337</v>
      </c>
      <c r="C886" s="142" t="s">
        <v>3627</v>
      </c>
      <c r="D886" s="142" t="s">
        <v>263</v>
      </c>
      <c r="E886" s="283" t="s">
        <v>4338</v>
      </c>
      <c r="F886" s="141" t="s">
        <v>1136</v>
      </c>
      <c r="G886" s="141" t="s">
        <v>4339</v>
      </c>
      <c r="H886" s="142" t="s">
        <v>3306</v>
      </c>
      <c r="I886" s="187" t="s">
        <v>4340</v>
      </c>
      <c r="J886" s="142"/>
      <c r="K886" s="142" t="s">
        <v>266</v>
      </c>
      <c r="L886" s="273"/>
      <c r="M886"/>
      <c r="N886"/>
    </row>
    <row r="887" spans="1:14" ht="26">
      <c r="A887" s="120" t="s">
        <v>1136</v>
      </c>
      <c r="B887" s="282" t="s">
        <v>4341</v>
      </c>
      <c r="C887" s="142" t="s">
        <v>3627</v>
      </c>
      <c r="D887" s="142" t="s">
        <v>263</v>
      </c>
      <c r="E887" s="283" t="s">
        <v>4342</v>
      </c>
      <c r="F887" s="141" t="s">
        <v>1136</v>
      </c>
      <c r="G887" s="141" t="s">
        <v>4343</v>
      </c>
      <c r="H887" s="142" t="s">
        <v>3306</v>
      </c>
      <c r="I887" s="187" t="s">
        <v>4344</v>
      </c>
      <c r="J887" s="142"/>
      <c r="K887" s="142" t="s">
        <v>266</v>
      </c>
      <c r="L887" s="273"/>
      <c r="M887"/>
      <c r="N887"/>
    </row>
    <row r="888" spans="1:14" ht="39">
      <c r="A888" s="120" t="s">
        <v>1136</v>
      </c>
      <c r="B888" s="282" t="s">
        <v>4345</v>
      </c>
      <c r="C888" s="142" t="s">
        <v>3627</v>
      </c>
      <c r="D888" s="142" t="s">
        <v>263</v>
      </c>
      <c r="E888" s="283" t="s">
        <v>4346</v>
      </c>
      <c r="F888" s="141" t="s">
        <v>1136</v>
      </c>
      <c r="G888" s="141" t="s">
        <v>4347</v>
      </c>
      <c r="H888" s="142" t="s">
        <v>3306</v>
      </c>
      <c r="I888" s="187" t="s">
        <v>4348</v>
      </c>
      <c r="J888" s="142"/>
      <c r="K888" s="142" t="s">
        <v>266</v>
      </c>
      <c r="L888" s="273"/>
      <c r="M888"/>
      <c r="N888"/>
    </row>
    <row r="889" spans="1:14" ht="39">
      <c r="A889" s="120" t="s">
        <v>1136</v>
      </c>
      <c r="B889" s="282" t="s">
        <v>4349</v>
      </c>
      <c r="C889" s="142" t="s">
        <v>3627</v>
      </c>
      <c r="D889" s="142" t="s">
        <v>263</v>
      </c>
      <c r="E889" s="283" t="s">
        <v>4350</v>
      </c>
      <c r="F889" s="141" t="s">
        <v>1136</v>
      </c>
      <c r="G889" s="141" t="s">
        <v>4351</v>
      </c>
      <c r="H889" s="142" t="s">
        <v>3306</v>
      </c>
      <c r="I889" s="187" t="s">
        <v>4352</v>
      </c>
      <c r="J889" s="142"/>
      <c r="K889" s="142" t="s">
        <v>266</v>
      </c>
      <c r="L889" s="273"/>
      <c r="M889"/>
      <c r="N889"/>
    </row>
    <row r="890" spans="1:14" ht="39">
      <c r="A890" s="120" t="s">
        <v>1136</v>
      </c>
      <c r="B890" s="282" t="s">
        <v>4353</v>
      </c>
      <c r="C890" s="142" t="s">
        <v>3627</v>
      </c>
      <c r="D890" s="142" t="s">
        <v>263</v>
      </c>
      <c r="E890" s="283" t="s">
        <v>4354</v>
      </c>
      <c r="F890" s="141" t="s">
        <v>1136</v>
      </c>
      <c r="G890" s="141" t="s">
        <v>4355</v>
      </c>
      <c r="H890" s="142" t="s">
        <v>3306</v>
      </c>
      <c r="I890" s="187" t="s">
        <v>4356</v>
      </c>
      <c r="J890" s="142"/>
      <c r="K890" s="142" t="s">
        <v>266</v>
      </c>
      <c r="L890" s="273"/>
      <c r="M890"/>
      <c r="N890"/>
    </row>
    <row r="891" spans="1:14" ht="39">
      <c r="A891" s="120" t="s">
        <v>1136</v>
      </c>
      <c r="B891" s="282" t="s">
        <v>4357</v>
      </c>
      <c r="C891" s="142" t="s">
        <v>3627</v>
      </c>
      <c r="D891" s="142" t="s">
        <v>263</v>
      </c>
      <c r="E891" s="283" t="s">
        <v>4358</v>
      </c>
      <c r="F891" s="141" t="s">
        <v>1136</v>
      </c>
      <c r="G891" s="141" t="s">
        <v>4359</v>
      </c>
      <c r="H891" s="142" t="s">
        <v>3306</v>
      </c>
      <c r="I891" s="187" t="s">
        <v>4360</v>
      </c>
      <c r="J891" s="142"/>
      <c r="K891" s="142" t="s">
        <v>266</v>
      </c>
      <c r="L891" s="273"/>
      <c r="M891"/>
      <c r="N891"/>
    </row>
    <row r="892" spans="1:14" ht="26">
      <c r="A892" s="120" t="s">
        <v>1136</v>
      </c>
      <c r="B892" s="282" t="s">
        <v>4361</v>
      </c>
      <c r="C892" s="142" t="s">
        <v>3627</v>
      </c>
      <c r="D892" s="142" t="s">
        <v>263</v>
      </c>
      <c r="E892" s="283" t="s">
        <v>4362</v>
      </c>
      <c r="F892" s="141" t="s">
        <v>1136</v>
      </c>
      <c r="G892" s="141" t="s">
        <v>4363</v>
      </c>
      <c r="H892" s="142" t="s">
        <v>3306</v>
      </c>
      <c r="I892" s="187" t="s">
        <v>4364</v>
      </c>
      <c r="J892" s="142"/>
      <c r="K892" s="142" t="s">
        <v>266</v>
      </c>
      <c r="L892" s="273"/>
      <c r="M892"/>
      <c r="N892"/>
    </row>
    <row r="893" spans="1:14" ht="26">
      <c r="A893" s="120" t="s">
        <v>1136</v>
      </c>
      <c r="B893" s="282" t="s">
        <v>4365</v>
      </c>
      <c r="C893" s="142" t="s">
        <v>3627</v>
      </c>
      <c r="D893" s="142" t="s">
        <v>263</v>
      </c>
      <c r="E893" s="283" t="s">
        <v>4366</v>
      </c>
      <c r="F893" s="141" t="s">
        <v>1136</v>
      </c>
      <c r="G893" s="141" t="s">
        <v>4367</v>
      </c>
      <c r="H893" s="142" t="s">
        <v>3306</v>
      </c>
      <c r="I893" s="187" t="s">
        <v>4368</v>
      </c>
      <c r="J893" s="142"/>
      <c r="K893" s="142" t="s">
        <v>266</v>
      </c>
      <c r="L893" s="273"/>
      <c r="M893"/>
      <c r="N893"/>
    </row>
    <row r="894" spans="1:14" ht="26">
      <c r="A894" s="120" t="s">
        <v>1136</v>
      </c>
      <c r="B894" s="282" t="s">
        <v>4369</v>
      </c>
      <c r="C894" s="142" t="s">
        <v>3627</v>
      </c>
      <c r="D894" s="142" t="s">
        <v>263</v>
      </c>
      <c r="E894" s="283" t="s">
        <v>4370</v>
      </c>
      <c r="F894" s="141" t="s">
        <v>1136</v>
      </c>
      <c r="G894" s="141" t="s">
        <v>4371</v>
      </c>
      <c r="H894" s="142" t="s">
        <v>3306</v>
      </c>
      <c r="I894" s="187" t="s">
        <v>4372</v>
      </c>
      <c r="J894" s="142"/>
      <c r="K894" s="142" t="s">
        <v>266</v>
      </c>
      <c r="L894" s="273"/>
      <c r="M894"/>
      <c r="N894"/>
    </row>
    <row r="895" spans="1:14" ht="26">
      <c r="A895" s="120" t="s">
        <v>1136</v>
      </c>
      <c r="B895" s="282" t="s">
        <v>4373</v>
      </c>
      <c r="C895" s="142" t="s">
        <v>3627</v>
      </c>
      <c r="D895" s="142" t="s">
        <v>263</v>
      </c>
      <c r="E895" s="283" t="s">
        <v>4374</v>
      </c>
      <c r="F895" s="141" t="s">
        <v>1136</v>
      </c>
      <c r="G895" s="141" t="s">
        <v>4375</v>
      </c>
      <c r="H895" s="142" t="s">
        <v>3306</v>
      </c>
      <c r="I895" s="187" t="s">
        <v>4376</v>
      </c>
      <c r="J895" s="142"/>
      <c r="K895" s="142" t="s">
        <v>266</v>
      </c>
      <c r="L895" s="273"/>
      <c r="M895"/>
      <c r="N895"/>
    </row>
    <row r="896" spans="1:14" ht="26">
      <c r="A896" s="120" t="s">
        <v>1136</v>
      </c>
      <c r="B896" s="282" t="s">
        <v>4377</v>
      </c>
      <c r="C896" s="142" t="s">
        <v>3627</v>
      </c>
      <c r="D896" s="142" t="s">
        <v>263</v>
      </c>
      <c r="E896" s="283" t="s">
        <v>4378</v>
      </c>
      <c r="F896" s="141" t="s">
        <v>1136</v>
      </c>
      <c r="G896" s="141" t="s">
        <v>4379</v>
      </c>
      <c r="H896" s="142" t="s">
        <v>3306</v>
      </c>
      <c r="I896" s="187" t="s">
        <v>4380</v>
      </c>
      <c r="J896" s="142"/>
      <c r="K896" s="142" t="s">
        <v>266</v>
      </c>
      <c r="L896" s="273"/>
      <c r="M896"/>
      <c r="N896"/>
    </row>
    <row r="897" spans="1:21" ht="26">
      <c r="A897" s="120" t="s">
        <v>1136</v>
      </c>
      <c r="B897" s="282" t="s">
        <v>4381</v>
      </c>
      <c r="C897" s="142" t="s">
        <v>3627</v>
      </c>
      <c r="D897" s="142" t="s">
        <v>263</v>
      </c>
      <c r="E897" s="283" t="s">
        <v>4382</v>
      </c>
      <c r="F897" s="141" t="s">
        <v>1136</v>
      </c>
      <c r="G897" s="141" t="s">
        <v>4383</v>
      </c>
      <c r="H897" s="142" t="s">
        <v>3306</v>
      </c>
      <c r="I897" s="187" t="s">
        <v>4384</v>
      </c>
      <c r="J897" s="142"/>
      <c r="K897" s="142" t="s">
        <v>266</v>
      </c>
      <c r="L897" s="273"/>
      <c r="M897"/>
      <c r="N897"/>
    </row>
    <row r="898" spans="1:21" ht="26">
      <c r="A898" s="120" t="s">
        <v>1136</v>
      </c>
      <c r="B898" s="282" t="s">
        <v>4385</v>
      </c>
      <c r="C898" s="142" t="s">
        <v>3627</v>
      </c>
      <c r="D898" s="142" t="s">
        <v>263</v>
      </c>
      <c r="E898" s="283" t="s">
        <v>4386</v>
      </c>
      <c r="F898" s="141" t="s">
        <v>1136</v>
      </c>
      <c r="G898" s="141" t="s">
        <v>4387</v>
      </c>
      <c r="H898" s="142" t="s">
        <v>3306</v>
      </c>
      <c r="I898" s="187" t="s">
        <v>4388</v>
      </c>
      <c r="J898" s="142"/>
      <c r="K898" s="142" t="s">
        <v>266</v>
      </c>
      <c r="L898" s="273"/>
      <c r="M898"/>
      <c r="N898"/>
    </row>
    <row r="899" spans="1:21" ht="26">
      <c r="A899" s="120" t="s">
        <v>1136</v>
      </c>
      <c r="B899" s="282" t="s">
        <v>4389</v>
      </c>
      <c r="C899" s="142" t="s">
        <v>1293</v>
      </c>
      <c r="D899" s="142" t="s">
        <v>263</v>
      </c>
      <c r="E899" s="283" t="s">
        <v>4390</v>
      </c>
      <c r="F899" s="141" t="s">
        <v>1136</v>
      </c>
      <c r="G899" s="141" t="s">
        <v>4391</v>
      </c>
      <c r="H899" s="142" t="s">
        <v>3306</v>
      </c>
      <c r="I899" s="187" t="s">
        <v>4392</v>
      </c>
      <c r="J899" s="142"/>
      <c r="K899" s="142" t="s">
        <v>266</v>
      </c>
      <c r="L899" s="273"/>
      <c r="M899"/>
      <c r="N899"/>
    </row>
    <row r="900" spans="1:21">
      <c r="A900" s="119"/>
      <c r="B900" s="187"/>
      <c r="C900" s="187"/>
      <c r="D900" s="142" t="s">
        <v>1309</v>
      </c>
      <c r="E900" s="284" t="s">
        <v>4393</v>
      </c>
      <c r="F900" s="141" t="s">
        <v>1136</v>
      </c>
      <c r="G900" s="187" t="s">
        <v>4394</v>
      </c>
      <c r="H900" s="187" t="s">
        <v>267</v>
      </c>
      <c r="I900" s="187" t="s">
        <v>4394</v>
      </c>
      <c r="J900" s="142"/>
      <c r="K900" s="187" t="s">
        <v>3100</v>
      </c>
      <c r="L900" s="273"/>
      <c r="M900"/>
      <c r="N900"/>
      <c r="O900" s="184"/>
      <c r="P900" s="184"/>
      <c r="Q900" s="184"/>
      <c r="R900" s="184"/>
      <c r="S900" s="184"/>
      <c r="T900" s="184"/>
      <c r="U900" s="184"/>
    </row>
    <row r="901" spans="1:21">
      <c r="A901" s="119"/>
      <c r="B901" s="187"/>
      <c r="C901" s="187"/>
      <c r="D901" s="142" t="s">
        <v>1309</v>
      </c>
      <c r="E901" s="284" t="s">
        <v>4393</v>
      </c>
      <c r="F901" s="141" t="s">
        <v>1136</v>
      </c>
      <c r="G901" s="187" t="s">
        <v>4395</v>
      </c>
      <c r="H901" s="187" t="s">
        <v>267</v>
      </c>
      <c r="I901" s="187" t="s">
        <v>4395</v>
      </c>
      <c r="J901" s="142"/>
      <c r="K901" s="187" t="s">
        <v>3100</v>
      </c>
      <c r="L901" s="273"/>
      <c r="M901"/>
      <c r="N901"/>
      <c r="O901" s="184"/>
      <c r="P901" s="184"/>
      <c r="Q901" s="184"/>
      <c r="R901" s="184"/>
      <c r="S901" s="184"/>
      <c r="T901" s="184"/>
      <c r="U901" s="184"/>
    </row>
    <row r="902" spans="1:21">
      <c r="A902" s="119"/>
      <c r="B902" s="187"/>
      <c r="C902" s="187"/>
      <c r="D902" s="142" t="s">
        <v>1309</v>
      </c>
      <c r="E902" s="284" t="s">
        <v>4393</v>
      </c>
      <c r="F902" s="141" t="s">
        <v>1136</v>
      </c>
      <c r="G902" s="187" t="s">
        <v>4396</v>
      </c>
      <c r="H902" s="187" t="s">
        <v>267</v>
      </c>
      <c r="I902" s="187" t="s">
        <v>4396</v>
      </c>
      <c r="J902" s="142"/>
      <c r="K902" s="187" t="s">
        <v>3100</v>
      </c>
      <c r="L902" s="273"/>
      <c r="M902"/>
      <c r="N902"/>
      <c r="O902" s="184"/>
      <c r="P902" s="184"/>
      <c r="Q902" s="184"/>
      <c r="R902" s="184"/>
      <c r="S902" s="184"/>
      <c r="T902" s="184"/>
      <c r="U902" s="184"/>
    </row>
    <row r="903" spans="1:21">
      <c r="A903" s="119"/>
      <c r="B903" s="187"/>
      <c r="C903" s="187"/>
      <c r="D903" s="142" t="s">
        <v>1309</v>
      </c>
      <c r="E903" s="284" t="s">
        <v>4393</v>
      </c>
      <c r="F903" s="141" t="s">
        <v>1136</v>
      </c>
      <c r="G903" s="187" t="s">
        <v>4397</v>
      </c>
      <c r="H903" s="187" t="s">
        <v>267</v>
      </c>
      <c r="I903" s="187" t="s">
        <v>4397</v>
      </c>
      <c r="J903" s="142"/>
      <c r="K903" s="187" t="s">
        <v>3100</v>
      </c>
      <c r="L903" s="273"/>
      <c r="M903"/>
      <c r="N903"/>
      <c r="O903" s="184"/>
      <c r="P903" s="184"/>
      <c r="Q903" s="184"/>
      <c r="R903" s="184"/>
      <c r="S903" s="184"/>
      <c r="T903" s="184"/>
      <c r="U903" s="184"/>
    </row>
    <row r="904" spans="1:21">
      <c r="A904" s="119"/>
      <c r="B904" s="187"/>
      <c r="C904" s="187"/>
      <c r="D904" s="142" t="s">
        <v>1309</v>
      </c>
      <c r="E904" s="150">
        <v>0</v>
      </c>
      <c r="F904" s="141" t="s">
        <v>1136</v>
      </c>
      <c r="G904" s="187" t="s">
        <v>4398</v>
      </c>
      <c r="H904" s="187" t="s">
        <v>274</v>
      </c>
      <c r="I904" s="187" t="s">
        <v>4398</v>
      </c>
      <c r="J904" s="142"/>
      <c r="K904" s="187" t="s">
        <v>3100</v>
      </c>
      <c r="L904" s="273"/>
      <c r="M904"/>
      <c r="N904"/>
      <c r="O904" s="184"/>
      <c r="P904" s="184"/>
      <c r="Q904" s="184"/>
      <c r="R904" s="184"/>
      <c r="S904" s="184"/>
      <c r="T904" s="184"/>
      <c r="U904" s="184"/>
    </row>
    <row r="905" spans="1:21">
      <c r="A905" s="119"/>
      <c r="B905" s="187"/>
      <c r="C905" s="187"/>
      <c r="D905" s="142" t="s">
        <v>1309</v>
      </c>
      <c r="E905" s="150">
        <v>0</v>
      </c>
      <c r="F905" s="141" t="s">
        <v>1136</v>
      </c>
      <c r="G905" s="187" t="s">
        <v>4399</v>
      </c>
      <c r="H905" s="187" t="s">
        <v>274</v>
      </c>
      <c r="I905" s="187" t="s">
        <v>4399</v>
      </c>
      <c r="J905" s="142"/>
      <c r="K905" s="187" t="s">
        <v>3100</v>
      </c>
      <c r="L905" s="273"/>
      <c r="M905"/>
      <c r="N905"/>
      <c r="O905" s="184"/>
      <c r="P905" s="184"/>
      <c r="Q905" s="184"/>
      <c r="R905" s="184"/>
      <c r="S905" s="184"/>
      <c r="T905" s="184"/>
      <c r="U905" s="184"/>
    </row>
    <row r="906" spans="1:21">
      <c r="A906" s="119"/>
      <c r="B906" s="187"/>
      <c r="C906" s="187"/>
      <c r="D906" s="142" t="s">
        <v>1309</v>
      </c>
      <c r="E906" s="284" t="s">
        <v>4400</v>
      </c>
      <c r="F906" s="141" t="s">
        <v>1136</v>
      </c>
      <c r="G906" s="187" t="s">
        <v>4401</v>
      </c>
      <c r="H906" s="187" t="s">
        <v>3306</v>
      </c>
      <c r="I906" s="187" t="s">
        <v>4401</v>
      </c>
      <c r="J906" s="142"/>
      <c r="K906" s="187" t="s">
        <v>3100</v>
      </c>
      <c r="L906" s="273"/>
      <c r="M906"/>
      <c r="N906"/>
      <c r="O906" s="184"/>
      <c r="P906" s="184"/>
      <c r="Q906" s="184"/>
      <c r="R906" s="184"/>
      <c r="S906" s="184"/>
      <c r="T906" s="184"/>
      <c r="U906" s="184"/>
    </row>
    <row r="907" spans="1:21">
      <c r="A907" s="119"/>
      <c r="B907" s="187"/>
      <c r="C907" s="187"/>
      <c r="D907" s="142" t="s">
        <v>1309</v>
      </c>
      <c r="E907" s="284" t="s">
        <v>4400</v>
      </c>
      <c r="F907" s="141" t="s">
        <v>1136</v>
      </c>
      <c r="G907" s="187" t="s">
        <v>4402</v>
      </c>
      <c r="H907" s="187" t="s">
        <v>3306</v>
      </c>
      <c r="I907" s="187" t="s">
        <v>4402</v>
      </c>
      <c r="J907" s="142"/>
      <c r="K907" s="187" t="s">
        <v>3100</v>
      </c>
      <c r="L907" s="273"/>
      <c r="M907"/>
      <c r="N907"/>
      <c r="O907" s="184"/>
      <c r="P907" s="184"/>
      <c r="Q907" s="184"/>
      <c r="R907" s="184"/>
      <c r="S907" s="184"/>
      <c r="T907" s="184"/>
      <c r="U907" s="184"/>
    </row>
    <row r="908" spans="1:21">
      <c r="A908" s="119"/>
      <c r="B908" s="187"/>
      <c r="C908" s="187"/>
      <c r="D908" s="142" t="s">
        <v>1309</v>
      </c>
      <c r="E908" s="284" t="s">
        <v>4400</v>
      </c>
      <c r="F908" s="141" t="s">
        <v>1136</v>
      </c>
      <c r="G908" s="187" t="s">
        <v>4403</v>
      </c>
      <c r="H908" s="187" t="s">
        <v>3306</v>
      </c>
      <c r="I908" s="187" t="s">
        <v>4403</v>
      </c>
      <c r="J908" s="142"/>
      <c r="K908" s="187" t="s">
        <v>3100</v>
      </c>
      <c r="L908" s="273"/>
      <c r="M908"/>
      <c r="N908"/>
      <c r="O908" s="184"/>
      <c r="P908" s="184"/>
      <c r="Q908" s="184"/>
      <c r="R908" s="184"/>
      <c r="S908" s="184"/>
      <c r="T908" s="184"/>
      <c r="U908" s="184"/>
    </row>
    <row r="909" spans="1:21">
      <c r="A909" s="119"/>
      <c r="B909" s="187"/>
      <c r="C909" s="187"/>
      <c r="D909" s="142" t="s">
        <v>1309</v>
      </c>
      <c r="E909" s="284" t="s">
        <v>4400</v>
      </c>
      <c r="F909" s="141" t="s">
        <v>1136</v>
      </c>
      <c r="G909" s="187" t="s">
        <v>4404</v>
      </c>
      <c r="H909" s="187" t="s">
        <v>3306</v>
      </c>
      <c r="I909" s="187" t="s">
        <v>4404</v>
      </c>
      <c r="J909" s="142"/>
      <c r="K909" s="187" t="s">
        <v>3100</v>
      </c>
      <c r="L909" s="273"/>
      <c r="M909"/>
      <c r="N909"/>
      <c r="O909" s="184"/>
      <c r="P909" s="184"/>
      <c r="Q909" s="184"/>
      <c r="R909" s="184"/>
      <c r="S909" s="184"/>
      <c r="T909" s="184"/>
      <c r="U909" s="184"/>
    </row>
    <row r="910" spans="1:21">
      <c r="A910" s="123" t="s">
        <v>3485</v>
      </c>
      <c r="B910" s="219" t="s">
        <v>312</v>
      </c>
      <c r="C910" s="285" t="s">
        <v>267</v>
      </c>
      <c r="D910" s="142" t="s">
        <v>263</v>
      </c>
      <c r="E910" s="274" t="s">
        <v>4405</v>
      </c>
      <c r="F910" s="141" t="s">
        <v>1136</v>
      </c>
      <c r="G910" s="187" t="s">
        <v>4406</v>
      </c>
      <c r="H910" s="187" t="s">
        <v>274</v>
      </c>
      <c r="I910" s="187" t="s">
        <v>4407</v>
      </c>
      <c r="J910" s="142"/>
      <c r="K910" s="187" t="s">
        <v>3100</v>
      </c>
      <c r="L910" s="273"/>
      <c r="M910"/>
      <c r="N910"/>
    </row>
    <row r="911" spans="1:21" ht="25">
      <c r="A911" s="123" t="s">
        <v>3488</v>
      </c>
      <c r="B911" s="219" t="s">
        <v>312</v>
      </c>
      <c r="C911" s="285" t="s">
        <v>267</v>
      </c>
      <c r="D911" s="142" t="s">
        <v>263</v>
      </c>
      <c r="E911" s="274" t="s">
        <v>4405</v>
      </c>
      <c r="F911" s="141" t="s">
        <v>1136</v>
      </c>
      <c r="G911" s="187" t="s">
        <v>4408</v>
      </c>
      <c r="H911" s="187" t="s">
        <v>274</v>
      </c>
      <c r="I911" s="187" t="s">
        <v>4409</v>
      </c>
      <c r="J911" s="142"/>
      <c r="K911" s="187" t="s">
        <v>3100</v>
      </c>
      <c r="L911" s="273"/>
      <c r="M911"/>
      <c r="N911"/>
    </row>
    <row r="912" spans="1:21" ht="25">
      <c r="A912" s="123" t="s">
        <v>3485</v>
      </c>
      <c r="B912" s="219" t="s">
        <v>4410</v>
      </c>
      <c r="C912" s="285" t="s">
        <v>3306</v>
      </c>
      <c r="D912" s="142" t="s">
        <v>263</v>
      </c>
      <c r="E912" s="274" t="s">
        <v>4411</v>
      </c>
      <c r="F912" s="141" t="s">
        <v>1136</v>
      </c>
      <c r="G912" s="187" t="s">
        <v>4412</v>
      </c>
      <c r="H912" s="187" t="s">
        <v>3306</v>
      </c>
      <c r="I912" s="286" t="s">
        <v>4413</v>
      </c>
      <c r="J912" s="142"/>
      <c r="K912" s="187" t="s">
        <v>2988</v>
      </c>
      <c r="L912" s="273"/>
      <c r="M912"/>
      <c r="N912"/>
    </row>
    <row r="913" spans="1:14" ht="38.5">
      <c r="A913" s="123" t="s">
        <v>3485</v>
      </c>
      <c r="B913" s="219" t="s">
        <v>4414</v>
      </c>
      <c r="C913" s="285" t="s">
        <v>3306</v>
      </c>
      <c r="D913" s="142" t="s">
        <v>263</v>
      </c>
      <c r="E913" s="274" t="s">
        <v>4415</v>
      </c>
      <c r="F913" s="141" t="s">
        <v>1136</v>
      </c>
      <c r="G913" s="187" t="s">
        <v>4416</v>
      </c>
      <c r="H913" s="187" t="s">
        <v>3306</v>
      </c>
      <c r="I913" s="187" t="s">
        <v>4417</v>
      </c>
      <c r="J913" s="142"/>
      <c r="K913" s="187" t="s">
        <v>2988</v>
      </c>
      <c r="L913" s="273"/>
      <c r="M913"/>
      <c r="N913"/>
    </row>
    <row r="914" spans="1:14" ht="180" customHeight="1">
      <c r="A914" s="123" t="s">
        <v>3485</v>
      </c>
      <c r="B914" s="219" t="s">
        <v>4418</v>
      </c>
      <c r="C914" s="285" t="s">
        <v>3306</v>
      </c>
      <c r="D914" s="142" t="s">
        <v>263</v>
      </c>
      <c r="E914" s="120" t="s">
        <v>4419</v>
      </c>
      <c r="F914" s="141" t="s">
        <v>1136</v>
      </c>
      <c r="G914" s="187" t="s">
        <v>4420</v>
      </c>
      <c r="H914" s="187" t="s">
        <v>3306</v>
      </c>
      <c r="I914" s="187" t="s">
        <v>4421</v>
      </c>
      <c r="J914" s="142"/>
      <c r="K914" s="187" t="s">
        <v>2988</v>
      </c>
      <c r="L914" s="273"/>
      <c r="M914"/>
      <c r="N914"/>
    </row>
    <row r="915" spans="1:14" ht="62.5">
      <c r="A915" s="123" t="s">
        <v>3485</v>
      </c>
      <c r="B915" s="141" t="s">
        <v>4422</v>
      </c>
      <c r="C915" s="285" t="s">
        <v>3306</v>
      </c>
      <c r="D915" s="142" t="s">
        <v>263</v>
      </c>
      <c r="E915" s="274" t="s">
        <v>4423</v>
      </c>
      <c r="F915" s="141" t="s">
        <v>1136</v>
      </c>
      <c r="G915" s="187" t="s">
        <v>4424</v>
      </c>
      <c r="H915" s="187" t="s">
        <v>3306</v>
      </c>
      <c r="I915" s="187" t="s">
        <v>4425</v>
      </c>
      <c r="J915" s="142"/>
      <c r="K915" s="187" t="s">
        <v>2988</v>
      </c>
      <c r="L915" s="273"/>
      <c r="M915"/>
      <c r="N915"/>
    </row>
    <row r="916" spans="1:14" ht="125">
      <c r="A916" s="120" t="s">
        <v>3790</v>
      </c>
      <c r="B916" s="282"/>
      <c r="C916" s="277"/>
      <c r="D916" s="141" t="s">
        <v>263</v>
      </c>
      <c r="E916" s="120" t="s">
        <v>4426</v>
      </c>
      <c r="F916" s="141" t="s">
        <v>1136</v>
      </c>
      <c r="G916" s="141" t="s">
        <v>4427</v>
      </c>
      <c r="H916" s="141" t="s">
        <v>280</v>
      </c>
      <c r="I916" s="141" t="s">
        <v>4428</v>
      </c>
      <c r="J916" s="142"/>
      <c r="K916" s="141" t="s">
        <v>374</v>
      </c>
      <c r="L916" s="273"/>
      <c r="M916"/>
      <c r="N916"/>
    </row>
    <row r="917" spans="1:14" ht="75">
      <c r="A917" s="120" t="s">
        <v>3790</v>
      </c>
      <c r="B917" s="282"/>
      <c r="C917" s="277"/>
      <c r="D917" s="141" t="s">
        <v>263</v>
      </c>
      <c r="E917" s="120" t="s">
        <v>4429</v>
      </c>
      <c r="F917" s="141" t="s">
        <v>1136</v>
      </c>
      <c r="G917" s="141" t="s">
        <v>4430</v>
      </c>
      <c r="H917" s="141" t="s">
        <v>280</v>
      </c>
      <c r="I917" s="141" t="s">
        <v>4431</v>
      </c>
      <c r="J917" s="142"/>
      <c r="K917" s="141" t="s">
        <v>374</v>
      </c>
      <c r="L917" s="273"/>
      <c r="M917"/>
      <c r="N917"/>
    </row>
    <row r="918" spans="1:14" ht="409.5">
      <c r="A918" s="120" t="s">
        <v>3790</v>
      </c>
      <c r="B918" s="282"/>
      <c r="C918" s="277"/>
      <c r="D918" s="141" t="s">
        <v>263</v>
      </c>
      <c r="E918" s="120" t="s">
        <v>4432</v>
      </c>
      <c r="F918" s="141" t="s">
        <v>1136</v>
      </c>
      <c r="G918" s="141" t="s">
        <v>4433</v>
      </c>
      <c r="H918" s="141" t="s">
        <v>280</v>
      </c>
      <c r="I918" s="141" t="s">
        <v>4434</v>
      </c>
      <c r="J918" s="142"/>
      <c r="K918" s="141" t="s">
        <v>374</v>
      </c>
      <c r="L918" s="273"/>
      <c r="M918"/>
      <c r="N918"/>
    </row>
    <row r="919" spans="1:14" ht="37.5">
      <c r="A919" s="120" t="s">
        <v>3790</v>
      </c>
      <c r="B919" s="282"/>
      <c r="C919" s="277"/>
      <c r="D919" s="141" t="s">
        <v>263</v>
      </c>
      <c r="E919" s="120" t="s">
        <v>4435</v>
      </c>
      <c r="F919" s="141" t="s">
        <v>1136</v>
      </c>
      <c r="G919" s="141" t="s">
        <v>4436</v>
      </c>
      <c r="H919" s="141" t="s">
        <v>280</v>
      </c>
      <c r="I919" s="141" t="s">
        <v>4437</v>
      </c>
      <c r="J919" s="142"/>
      <c r="K919" s="141" t="s">
        <v>374</v>
      </c>
      <c r="L919" s="273"/>
      <c r="M919"/>
      <c r="N919"/>
    </row>
    <row r="920" spans="1:14" ht="169.5">
      <c r="A920" s="120" t="s">
        <v>3790</v>
      </c>
      <c r="B920" s="282"/>
      <c r="C920" s="277"/>
      <c r="D920" s="141" t="s">
        <v>263</v>
      </c>
      <c r="E920" s="287" t="s">
        <v>4438</v>
      </c>
      <c r="F920" s="141" t="s">
        <v>1136</v>
      </c>
      <c r="G920" s="282" t="s">
        <v>4439</v>
      </c>
      <c r="H920" s="141" t="s">
        <v>280</v>
      </c>
      <c r="I920" s="282" t="s">
        <v>4440</v>
      </c>
      <c r="J920" s="142"/>
      <c r="K920" s="141" t="s">
        <v>374</v>
      </c>
      <c r="L920" s="273"/>
      <c r="M920"/>
      <c r="N920"/>
    </row>
    <row r="921" spans="1:14" ht="169.5">
      <c r="A921" s="120" t="s">
        <v>3790</v>
      </c>
      <c r="B921" s="282"/>
      <c r="C921" s="277"/>
      <c r="D921" s="141" t="s">
        <v>263</v>
      </c>
      <c r="E921" s="287" t="s">
        <v>4441</v>
      </c>
      <c r="F921" s="141" t="s">
        <v>1136</v>
      </c>
      <c r="G921" s="282" t="s">
        <v>4442</v>
      </c>
      <c r="H921" s="141" t="s">
        <v>280</v>
      </c>
      <c r="I921" s="282" t="s">
        <v>4443</v>
      </c>
      <c r="J921" s="142"/>
      <c r="K921" s="141" t="s">
        <v>374</v>
      </c>
      <c r="L921" s="273"/>
      <c r="M921"/>
      <c r="N921"/>
    </row>
    <row r="922" spans="1:14" ht="169.5">
      <c r="A922" s="120" t="s">
        <v>3790</v>
      </c>
      <c r="B922" s="282"/>
      <c r="C922" s="277"/>
      <c r="D922" s="141" t="s">
        <v>263</v>
      </c>
      <c r="E922" s="287" t="s">
        <v>4444</v>
      </c>
      <c r="F922" s="141" t="s">
        <v>1136</v>
      </c>
      <c r="G922" s="282" t="s">
        <v>4445</v>
      </c>
      <c r="H922" s="141" t="s">
        <v>280</v>
      </c>
      <c r="I922" s="282" t="s">
        <v>4446</v>
      </c>
      <c r="J922" s="142"/>
      <c r="K922" s="141" t="s">
        <v>374</v>
      </c>
      <c r="L922" s="273"/>
      <c r="M922"/>
      <c r="N922"/>
    </row>
    <row r="923" spans="1:14" ht="169.5">
      <c r="A923" s="120" t="s">
        <v>3790</v>
      </c>
      <c r="B923" s="282"/>
      <c r="C923" s="277"/>
      <c r="D923" s="141" t="s">
        <v>263</v>
      </c>
      <c r="E923" s="287" t="s">
        <v>4447</v>
      </c>
      <c r="F923" s="141" t="s">
        <v>1136</v>
      </c>
      <c r="G923" s="282" t="s">
        <v>4448</v>
      </c>
      <c r="H923" s="141" t="s">
        <v>280</v>
      </c>
      <c r="I923" s="282" t="s">
        <v>4449</v>
      </c>
      <c r="J923" s="142"/>
      <c r="K923" s="141" t="s">
        <v>374</v>
      </c>
      <c r="L923" s="273"/>
      <c r="M923"/>
      <c r="N923"/>
    </row>
    <row r="924" spans="1:14" ht="143.5">
      <c r="A924" s="120" t="s">
        <v>3790</v>
      </c>
      <c r="B924" s="282"/>
      <c r="C924" s="277"/>
      <c r="D924" s="141" t="s">
        <v>263</v>
      </c>
      <c r="E924" s="287" t="s">
        <v>4450</v>
      </c>
      <c r="F924" s="141" t="s">
        <v>1136</v>
      </c>
      <c r="G924" s="282" t="s">
        <v>4451</v>
      </c>
      <c r="H924" s="141" t="s">
        <v>280</v>
      </c>
      <c r="I924" s="282" t="s">
        <v>4452</v>
      </c>
      <c r="J924" s="142"/>
      <c r="K924" s="141" t="s">
        <v>374</v>
      </c>
      <c r="L924" s="273"/>
      <c r="M924"/>
      <c r="N924"/>
    </row>
    <row r="925" spans="1:14" ht="143.5">
      <c r="A925" s="120" t="s">
        <v>3790</v>
      </c>
      <c r="B925" s="282"/>
      <c r="C925" s="277"/>
      <c r="D925" s="141" t="s">
        <v>263</v>
      </c>
      <c r="E925" s="287" t="s">
        <v>4453</v>
      </c>
      <c r="F925" s="141" t="s">
        <v>1136</v>
      </c>
      <c r="G925" s="282" t="s">
        <v>4454</v>
      </c>
      <c r="H925" s="141" t="s">
        <v>280</v>
      </c>
      <c r="I925" s="282" t="s">
        <v>4455</v>
      </c>
      <c r="J925" s="142"/>
      <c r="K925" s="141" t="s">
        <v>374</v>
      </c>
      <c r="L925" s="273"/>
      <c r="M925"/>
      <c r="N925"/>
    </row>
    <row r="926" spans="1:14" ht="117">
      <c r="A926" s="120"/>
      <c r="B926" s="282" t="s">
        <v>4456</v>
      </c>
      <c r="C926" s="277"/>
      <c r="D926" s="141" t="s">
        <v>263</v>
      </c>
      <c r="E926" s="287" t="s">
        <v>4457</v>
      </c>
      <c r="F926" s="141" t="s">
        <v>1136</v>
      </c>
      <c r="G926" s="282" t="s">
        <v>4458</v>
      </c>
      <c r="H926" s="141" t="s">
        <v>280</v>
      </c>
      <c r="I926" s="282" t="s">
        <v>4459</v>
      </c>
      <c r="J926" s="142"/>
      <c r="K926" s="141" t="s">
        <v>374</v>
      </c>
      <c r="L926" s="273"/>
      <c r="M926"/>
      <c r="N926"/>
    </row>
    <row r="927" spans="1:14" ht="117">
      <c r="A927" s="120"/>
      <c r="B927" s="282" t="s">
        <v>4456</v>
      </c>
      <c r="C927" s="277"/>
      <c r="D927" s="141" t="s">
        <v>263</v>
      </c>
      <c r="E927" s="287" t="s">
        <v>4460</v>
      </c>
      <c r="F927" s="141" t="s">
        <v>1136</v>
      </c>
      <c r="G927" s="282" t="s">
        <v>4461</v>
      </c>
      <c r="H927" s="141" t="s">
        <v>280</v>
      </c>
      <c r="I927" s="282" t="s">
        <v>4462</v>
      </c>
      <c r="J927" s="142"/>
      <c r="K927" s="141" t="s">
        <v>374</v>
      </c>
      <c r="L927" s="273"/>
      <c r="M927"/>
      <c r="N927"/>
    </row>
    <row r="928" spans="1:14" ht="39.5">
      <c r="A928" s="120" t="s">
        <v>3790</v>
      </c>
      <c r="B928" s="282"/>
      <c r="C928" s="277"/>
      <c r="D928" s="141" t="s">
        <v>263</v>
      </c>
      <c r="E928" s="287" t="s">
        <v>4463</v>
      </c>
      <c r="F928" s="141" t="s">
        <v>1136</v>
      </c>
      <c r="G928" s="282" t="s">
        <v>4464</v>
      </c>
      <c r="H928" s="141" t="s">
        <v>280</v>
      </c>
      <c r="I928" s="282" t="s">
        <v>4465</v>
      </c>
      <c r="J928" s="142"/>
      <c r="K928" s="141" t="s">
        <v>374</v>
      </c>
      <c r="L928" s="273"/>
      <c r="M928"/>
      <c r="N928"/>
    </row>
    <row r="929" spans="1:14" ht="197.5" customHeight="1">
      <c r="A929" s="120" t="s">
        <v>3790</v>
      </c>
      <c r="B929" s="282"/>
      <c r="C929" s="277"/>
      <c r="D929" s="141" t="s">
        <v>263</v>
      </c>
      <c r="E929" s="120" t="s">
        <v>4466</v>
      </c>
      <c r="F929" s="141" t="s">
        <v>1136</v>
      </c>
      <c r="G929" s="141" t="s">
        <v>4467</v>
      </c>
      <c r="H929" s="141" t="s">
        <v>280</v>
      </c>
      <c r="I929" s="141" t="s">
        <v>4468</v>
      </c>
      <c r="J929" s="142"/>
      <c r="K929" s="141" t="s">
        <v>374</v>
      </c>
      <c r="L929" s="273"/>
      <c r="M929"/>
      <c r="N929"/>
    </row>
    <row r="930" spans="1:14" ht="197.5" customHeight="1">
      <c r="A930" s="120" t="s">
        <v>3790</v>
      </c>
      <c r="B930" s="282"/>
      <c r="C930" s="277"/>
      <c r="D930" s="141" t="s">
        <v>263</v>
      </c>
      <c r="E930" s="120" t="s">
        <v>4469</v>
      </c>
      <c r="F930" s="141" t="s">
        <v>1136</v>
      </c>
      <c r="G930" s="141" t="s">
        <v>4470</v>
      </c>
      <c r="H930" s="141" t="s">
        <v>280</v>
      </c>
      <c r="I930" s="141" t="s">
        <v>4471</v>
      </c>
      <c r="J930" s="142"/>
      <c r="K930" s="141" t="s">
        <v>374</v>
      </c>
      <c r="L930" s="273"/>
      <c r="M930"/>
      <c r="N930"/>
    </row>
    <row r="931" spans="1:14" ht="197.5" customHeight="1">
      <c r="A931" s="120" t="s">
        <v>3790</v>
      </c>
      <c r="B931" s="282"/>
      <c r="C931" s="277"/>
      <c r="D931" s="141" t="s">
        <v>263</v>
      </c>
      <c r="E931" s="287" t="s">
        <v>4450</v>
      </c>
      <c r="F931" s="141" t="s">
        <v>1136</v>
      </c>
      <c r="G931" s="141" t="s">
        <v>4472</v>
      </c>
      <c r="H931" s="141" t="s">
        <v>280</v>
      </c>
      <c r="I931" s="141" t="s">
        <v>4473</v>
      </c>
      <c r="J931" s="142"/>
      <c r="K931" s="141" t="s">
        <v>374</v>
      </c>
      <c r="L931" s="273"/>
      <c r="M931"/>
      <c r="N931"/>
    </row>
    <row r="932" spans="1:14" ht="156.5">
      <c r="A932" s="120" t="s">
        <v>3790</v>
      </c>
      <c r="B932" s="282"/>
      <c r="C932" s="277"/>
      <c r="D932" s="141" t="s">
        <v>263</v>
      </c>
      <c r="E932" s="287" t="s">
        <v>4474</v>
      </c>
      <c r="F932" s="141" t="s">
        <v>1136</v>
      </c>
      <c r="G932" s="141" t="s">
        <v>4475</v>
      </c>
      <c r="H932" s="141" t="s">
        <v>280</v>
      </c>
      <c r="I932" s="141" t="s">
        <v>4476</v>
      </c>
      <c r="J932" s="142"/>
      <c r="K932" s="141" t="s">
        <v>374</v>
      </c>
      <c r="L932" s="273"/>
      <c r="M932"/>
      <c r="N932"/>
    </row>
    <row r="933" spans="1:14" ht="156.5">
      <c r="A933" s="120" t="s">
        <v>3790</v>
      </c>
      <c r="B933" s="282"/>
      <c r="C933" s="277"/>
      <c r="D933" s="141" t="s">
        <v>263</v>
      </c>
      <c r="E933" s="287" t="s">
        <v>4477</v>
      </c>
      <c r="F933" s="141" t="s">
        <v>1136</v>
      </c>
      <c r="G933" s="141" t="s">
        <v>4478</v>
      </c>
      <c r="H933" s="141" t="s">
        <v>280</v>
      </c>
      <c r="I933" s="141" t="s">
        <v>4479</v>
      </c>
      <c r="J933" s="142"/>
      <c r="K933" s="141" t="s">
        <v>374</v>
      </c>
      <c r="L933" s="273"/>
      <c r="M933"/>
      <c r="N933"/>
    </row>
    <row r="934" spans="1:14" ht="197.5" customHeight="1">
      <c r="A934" s="120" t="s">
        <v>3790</v>
      </c>
      <c r="B934" s="282"/>
      <c r="C934" s="277"/>
      <c r="D934" s="141" t="s">
        <v>263</v>
      </c>
      <c r="E934" s="287" t="s">
        <v>4480</v>
      </c>
      <c r="F934" s="141" t="s">
        <v>1136</v>
      </c>
      <c r="G934" s="141" t="s">
        <v>4481</v>
      </c>
      <c r="H934" s="141" t="s">
        <v>280</v>
      </c>
      <c r="I934" s="141" t="s">
        <v>4482</v>
      </c>
      <c r="J934" s="142"/>
      <c r="K934" s="141" t="s">
        <v>374</v>
      </c>
      <c r="L934" s="273"/>
      <c r="M934"/>
      <c r="N934"/>
    </row>
    <row r="935" spans="1:14" ht="197.5" customHeight="1">
      <c r="A935" s="120" t="s">
        <v>3790</v>
      </c>
      <c r="B935" s="282"/>
      <c r="C935" s="277"/>
      <c r="D935" s="141" t="s">
        <v>263</v>
      </c>
      <c r="E935" s="287" t="s">
        <v>4483</v>
      </c>
      <c r="F935" s="141" t="s">
        <v>1136</v>
      </c>
      <c r="G935" s="141" t="s">
        <v>4484</v>
      </c>
      <c r="H935" s="141" t="s">
        <v>280</v>
      </c>
      <c r="I935" s="141" t="s">
        <v>4485</v>
      </c>
      <c r="J935" s="142"/>
      <c r="K935" s="141" t="s">
        <v>374</v>
      </c>
      <c r="L935" s="273"/>
      <c r="M935"/>
      <c r="N935"/>
    </row>
    <row r="936" spans="1:14" ht="197.5" customHeight="1">
      <c r="A936" s="120" t="s">
        <v>3790</v>
      </c>
      <c r="B936" s="282"/>
      <c r="C936" s="277"/>
      <c r="D936" s="141" t="s">
        <v>263</v>
      </c>
      <c r="E936" s="287" t="s">
        <v>4486</v>
      </c>
      <c r="F936" s="141" t="s">
        <v>1136</v>
      </c>
      <c r="G936" s="141" t="s">
        <v>4487</v>
      </c>
      <c r="H936" s="141" t="s">
        <v>280</v>
      </c>
      <c r="I936" s="141" t="s">
        <v>4488</v>
      </c>
      <c r="J936" s="142"/>
      <c r="K936" s="141" t="s">
        <v>374</v>
      </c>
      <c r="L936" s="273"/>
      <c r="M936"/>
      <c r="N936"/>
    </row>
    <row r="937" spans="1:14" ht="197.5" customHeight="1">
      <c r="A937" s="120" t="s">
        <v>3790</v>
      </c>
      <c r="B937" s="282"/>
      <c r="C937" s="277"/>
      <c r="D937" s="141" t="s">
        <v>263</v>
      </c>
      <c r="E937" s="287" t="s">
        <v>4489</v>
      </c>
      <c r="F937" s="141" t="s">
        <v>1136</v>
      </c>
      <c r="G937" s="141" t="s">
        <v>4490</v>
      </c>
      <c r="H937" s="141" t="s">
        <v>280</v>
      </c>
      <c r="I937" s="141" t="s">
        <v>4491</v>
      </c>
      <c r="J937" s="142"/>
      <c r="K937" s="141" t="s">
        <v>374</v>
      </c>
      <c r="L937" s="273"/>
      <c r="M937"/>
      <c r="N937"/>
    </row>
    <row r="938" spans="1:14" ht="197.5" customHeight="1">
      <c r="A938" s="120" t="s">
        <v>4492</v>
      </c>
      <c r="B938" s="282"/>
      <c r="C938" s="277"/>
      <c r="D938" s="141" t="s">
        <v>263</v>
      </c>
      <c r="E938" s="287" t="s">
        <v>4493</v>
      </c>
      <c r="F938" s="141" t="s">
        <v>1136</v>
      </c>
      <c r="G938" s="141" t="s">
        <v>4494</v>
      </c>
      <c r="H938" s="141" t="s">
        <v>280</v>
      </c>
      <c r="I938" s="141" t="s">
        <v>4495</v>
      </c>
      <c r="J938" s="142"/>
      <c r="K938" s="141" t="s">
        <v>374</v>
      </c>
      <c r="L938" s="273"/>
      <c r="M938"/>
      <c r="N938"/>
    </row>
    <row r="939" spans="1:14" ht="197.5" customHeight="1">
      <c r="A939" s="119" t="s">
        <v>3527</v>
      </c>
      <c r="B939" s="141"/>
      <c r="C939" s="142" t="s">
        <v>1293</v>
      </c>
      <c r="D939" s="142" t="s">
        <v>93</v>
      </c>
      <c r="E939" s="274"/>
      <c r="F939" s="141" t="s">
        <v>1136</v>
      </c>
      <c r="G939" s="141" t="s">
        <v>159</v>
      </c>
      <c r="H939" s="187" t="s">
        <v>1293</v>
      </c>
      <c r="I939" s="187" t="s">
        <v>4496</v>
      </c>
      <c r="J939" s="142"/>
      <c r="K939" s="142" t="s">
        <v>266</v>
      </c>
      <c r="L939" s="273"/>
      <c r="M939"/>
      <c r="N939"/>
    </row>
    <row r="940" spans="1:14" ht="50">
      <c r="A940" s="204" t="s">
        <v>4497</v>
      </c>
      <c r="B940" s="215"/>
      <c r="C940" s="215" t="s">
        <v>4498</v>
      </c>
      <c r="D940" s="216" t="s">
        <v>686</v>
      </c>
      <c r="E940" s="310"/>
      <c r="F940" s="310" t="s">
        <v>1136</v>
      </c>
      <c r="G940" s="215" t="s">
        <v>4498</v>
      </c>
      <c r="H940" s="215" t="s">
        <v>274</v>
      </c>
      <c r="I940" s="215" t="s">
        <v>4499</v>
      </c>
      <c r="J940" s="216" t="s">
        <v>4500</v>
      </c>
      <c r="K940" s="216" t="s">
        <v>266</v>
      </c>
      <c r="L940" s="273"/>
      <c r="M940"/>
      <c r="N940"/>
    </row>
    <row r="941" spans="1:14" ht="50">
      <c r="A941" s="204" t="s">
        <v>4497</v>
      </c>
      <c r="B941" s="215"/>
      <c r="C941" s="215" t="s">
        <v>4501</v>
      </c>
      <c r="D941" s="216" t="s">
        <v>686</v>
      </c>
      <c r="E941" s="310"/>
      <c r="F941" s="310" t="s">
        <v>1136</v>
      </c>
      <c r="G941" s="215" t="s">
        <v>4501</v>
      </c>
      <c r="H941" s="215" t="s">
        <v>274</v>
      </c>
      <c r="I941" s="215" t="s">
        <v>4502</v>
      </c>
      <c r="J941" s="216" t="s">
        <v>4500</v>
      </c>
      <c r="K941" s="216" t="s">
        <v>266</v>
      </c>
      <c r="L941" s="273"/>
      <c r="M941"/>
      <c r="N941"/>
    </row>
    <row r="942" spans="1:14" ht="50">
      <c r="A942" s="204" t="s">
        <v>4497</v>
      </c>
      <c r="B942" s="215"/>
      <c r="C942" s="215" t="s">
        <v>4503</v>
      </c>
      <c r="D942" s="216" t="s">
        <v>686</v>
      </c>
      <c r="E942" s="310"/>
      <c r="F942" s="310" t="s">
        <v>1136</v>
      </c>
      <c r="G942" s="215" t="s">
        <v>4503</v>
      </c>
      <c r="H942" s="215" t="s">
        <v>274</v>
      </c>
      <c r="I942" s="215" t="s">
        <v>4504</v>
      </c>
      <c r="J942" s="216" t="s">
        <v>4500</v>
      </c>
      <c r="K942" s="216" t="s">
        <v>266</v>
      </c>
      <c r="L942" s="273"/>
      <c r="M942"/>
      <c r="N942"/>
    </row>
    <row r="943" spans="1:14" ht="50">
      <c r="A943" s="204" t="s">
        <v>4497</v>
      </c>
      <c r="B943" s="215"/>
      <c r="C943" s="215" t="s">
        <v>4505</v>
      </c>
      <c r="D943" s="216" t="s">
        <v>686</v>
      </c>
      <c r="E943" s="310"/>
      <c r="F943" s="310" t="s">
        <v>1136</v>
      </c>
      <c r="G943" s="215" t="s">
        <v>4505</v>
      </c>
      <c r="H943" s="215" t="s">
        <v>274</v>
      </c>
      <c r="I943" s="215" t="s">
        <v>4506</v>
      </c>
      <c r="J943" s="216" t="s">
        <v>4500</v>
      </c>
      <c r="K943" s="216" t="s">
        <v>266</v>
      </c>
      <c r="L943" s="273"/>
      <c r="M943"/>
      <c r="N943"/>
    </row>
    <row r="944" spans="1:14" ht="50">
      <c r="A944" s="204" t="s">
        <v>4497</v>
      </c>
      <c r="B944" s="215"/>
      <c r="C944" s="215" t="s">
        <v>4507</v>
      </c>
      <c r="D944" s="216" t="s">
        <v>686</v>
      </c>
      <c r="E944" s="310"/>
      <c r="F944" s="310" t="s">
        <v>1136</v>
      </c>
      <c r="G944" s="215" t="s">
        <v>4507</v>
      </c>
      <c r="H944" s="215" t="s">
        <v>274</v>
      </c>
      <c r="I944" s="215" t="s">
        <v>4508</v>
      </c>
      <c r="J944" s="216" t="s">
        <v>4500</v>
      </c>
      <c r="K944" s="216" t="s">
        <v>266</v>
      </c>
      <c r="L944" s="273"/>
      <c r="M944"/>
      <c r="N944"/>
    </row>
    <row r="945" spans="1:14" ht="50">
      <c r="A945" s="204" t="s">
        <v>4497</v>
      </c>
      <c r="B945" s="215"/>
      <c r="C945" s="215" t="s">
        <v>4509</v>
      </c>
      <c r="D945" s="216" t="s">
        <v>686</v>
      </c>
      <c r="E945" s="310"/>
      <c r="F945" s="310" t="s">
        <v>1136</v>
      </c>
      <c r="G945" s="215" t="s">
        <v>4509</v>
      </c>
      <c r="H945" s="215" t="s">
        <v>274</v>
      </c>
      <c r="I945" s="215" t="s">
        <v>4510</v>
      </c>
      <c r="J945" s="216" t="s">
        <v>4500</v>
      </c>
      <c r="K945" s="216" t="s">
        <v>266</v>
      </c>
      <c r="L945" s="273"/>
      <c r="M945"/>
      <c r="N945"/>
    </row>
    <row r="946" spans="1:14" ht="75">
      <c r="A946" s="119" t="s">
        <v>3527</v>
      </c>
      <c r="B946" s="282"/>
      <c r="C946" s="277" t="s">
        <v>281</v>
      </c>
      <c r="D946" s="277" t="s">
        <v>263</v>
      </c>
      <c r="E946" s="288" t="s">
        <v>4511</v>
      </c>
      <c r="F946" s="141" t="s">
        <v>1136</v>
      </c>
      <c r="G946" s="282" t="s">
        <v>4512</v>
      </c>
      <c r="H946" s="277" t="s">
        <v>281</v>
      </c>
      <c r="I946" s="187" t="s">
        <v>4513</v>
      </c>
      <c r="J946" s="142"/>
      <c r="K946" s="142" t="s">
        <v>266</v>
      </c>
      <c r="L946" s="273"/>
      <c r="M946"/>
      <c r="N946"/>
    </row>
    <row r="947" spans="1:14" ht="75">
      <c r="A947" s="119" t="s">
        <v>3527</v>
      </c>
      <c r="B947" s="282"/>
      <c r="C947" s="277" t="s">
        <v>281</v>
      </c>
      <c r="D947" s="277" t="s">
        <v>263</v>
      </c>
      <c r="E947" s="288" t="s">
        <v>4514</v>
      </c>
      <c r="F947" s="141" t="s">
        <v>1136</v>
      </c>
      <c r="G947" s="282" t="s">
        <v>4515</v>
      </c>
      <c r="H947" s="277" t="s">
        <v>281</v>
      </c>
      <c r="I947" s="187" t="s">
        <v>4516</v>
      </c>
      <c r="J947" s="142"/>
      <c r="K947" s="142" t="s">
        <v>266</v>
      </c>
      <c r="L947" s="273"/>
      <c r="M947"/>
      <c r="N947"/>
    </row>
    <row r="948" spans="1:14" ht="96" customHeight="1">
      <c r="A948" s="119" t="s">
        <v>3527</v>
      </c>
      <c r="B948" s="282"/>
      <c r="C948" s="277" t="s">
        <v>281</v>
      </c>
      <c r="D948" s="277" t="s">
        <v>263</v>
      </c>
      <c r="E948" s="289" t="s">
        <v>4517</v>
      </c>
      <c r="F948" s="141" t="s">
        <v>1136</v>
      </c>
      <c r="G948" s="282" t="s">
        <v>4518</v>
      </c>
      <c r="H948" s="277" t="s">
        <v>281</v>
      </c>
      <c r="I948" s="187" t="s">
        <v>4519</v>
      </c>
      <c r="J948" s="142"/>
      <c r="K948" s="142" t="s">
        <v>266</v>
      </c>
      <c r="L948" s="273"/>
      <c r="M948"/>
      <c r="N948"/>
    </row>
    <row r="949" spans="1:14" ht="75">
      <c r="A949" s="119" t="s">
        <v>3527</v>
      </c>
      <c r="B949" s="282"/>
      <c r="C949" s="277" t="s">
        <v>281</v>
      </c>
      <c r="D949" s="277" t="s">
        <v>263</v>
      </c>
      <c r="E949" s="287" t="s">
        <v>4520</v>
      </c>
      <c r="F949" s="141" t="s">
        <v>1136</v>
      </c>
      <c r="G949" s="282" t="s">
        <v>4521</v>
      </c>
      <c r="H949" s="277" t="s">
        <v>281</v>
      </c>
      <c r="I949" s="187" t="s">
        <v>4522</v>
      </c>
      <c r="J949" s="142"/>
      <c r="K949" s="142" t="s">
        <v>266</v>
      </c>
      <c r="L949" s="273"/>
      <c r="M949"/>
      <c r="N949"/>
    </row>
    <row r="950" spans="1:14" ht="75">
      <c r="A950" s="119" t="s">
        <v>3527</v>
      </c>
      <c r="B950" s="282"/>
      <c r="C950" s="277" t="s">
        <v>281</v>
      </c>
      <c r="D950" s="277" t="s">
        <v>263</v>
      </c>
      <c r="E950" s="287" t="s">
        <v>4523</v>
      </c>
      <c r="F950" s="141" t="s">
        <v>1136</v>
      </c>
      <c r="G950" s="282" t="s">
        <v>4524</v>
      </c>
      <c r="H950" s="277" t="s">
        <v>281</v>
      </c>
      <c r="I950" s="187" t="s">
        <v>4525</v>
      </c>
      <c r="J950" s="142"/>
      <c r="K950" s="142" t="s">
        <v>266</v>
      </c>
      <c r="L950" s="273"/>
      <c r="M950"/>
      <c r="N950"/>
    </row>
    <row r="951" spans="1:14" ht="75">
      <c r="A951" s="119" t="s">
        <v>3527</v>
      </c>
      <c r="B951" s="282"/>
      <c r="C951" s="277" t="s">
        <v>281</v>
      </c>
      <c r="D951" s="277" t="s">
        <v>263</v>
      </c>
      <c r="E951" s="287" t="s">
        <v>4526</v>
      </c>
      <c r="F951" s="141" t="s">
        <v>1136</v>
      </c>
      <c r="G951" s="282" t="s">
        <v>4527</v>
      </c>
      <c r="H951" s="277" t="s">
        <v>281</v>
      </c>
      <c r="I951" s="187" t="s">
        <v>4528</v>
      </c>
      <c r="J951" s="142"/>
      <c r="K951" s="142" t="s">
        <v>266</v>
      </c>
      <c r="L951" s="273"/>
      <c r="M951"/>
      <c r="N951"/>
    </row>
    <row r="952" spans="1:14" ht="75">
      <c r="A952" s="119" t="s">
        <v>3527</v>
      </c>
      <c r="B952" s="282"/>
      <c r="C952" s="277" t="s">
        <v>281</v>
      </c>
      <c r="D952" s="277" t="s">
        <v>263</v>
      </c>
      <c r="E952" s="288" t="s">
        <v>4529</v>
      </c>
      <c r="F952" s="141" t="s">
        <v>1136</v>
      </c>
      <c r="G952" s="282" t="s">
        <v>4530</v>
      </c>
      <c r="H952" s="277" t="s">
        <v>281</v>
      </c>
      <c r="I952" s="187" t="s">
        <v>4531</v>
      </c>
      <c r="J952" s="142"/>
      <c r="K952" s="142" t="s">
        <v>266</v>
      </c>
      <c r="L952" s="273"/>
      <c r="M952"/>
      <c r="N952"/>
    </row>
    <row r="953" spans="1:14" ht="75">
      <c r="A953" s="119" t="s">
        <v>3527</v>
      </c>
      <c r="B953" s="282"/>
      <c r="C953" s="277" t="s">
        <v>281</v>
      </c>
      <c r="D953" s="277" t="s">
        <v>263</v>
      </c>
      <c r="E953" s="287" t="s">
        <v>4532</v>
      </c>
      <c r="F953" s="141" t="s">
        <v>1136</v>
      </c>
      <c r="G953" s="282" t="s">
        <v>4533</v>
      </c>
      <c r="H953" s="277" t="s">
        <v>281</v>
      </c>
      <c r="I953" s="187" t="s">
        <v>4534</v>
      </c>
      <c r="J953" s="142"/>
      <c r="K953" s="142" t="s">
        <v>266</v>
      </c>
      <c r="L953" s="273"/>
      <c r="M953"/>
      <c r="N953"/>
    </row>
    <row r="954" spans="1:14" ht="75">
      <c r="A954" s="119" t="s">
        <v>3527</v>
      </c>
      <c r="B954" s="282"/>
      <c r="C954" s="277" t="s">
        <v>281</v>
      </c>
      <c r="D954" s="277" t="s">
        <v>263</v>
      </c>
      <c r="E954" s="287" t="s">
        <v>4535</v>
      </c>
      <c r="F954" s="141" t="s">
        <v>1136</v>
      </c>
      <c r="G954" s="282" t="s">
        <v>4536</v>
      </c>
      <c r="H954" s="277" t="s">
        <v>281</v>
      </c>
      <c r="I954" s="187" t="s">
        <v>4537</v>
      </c>
      <c r="J954" s="142"/>
      <c r="K954" s="142" t="s">
        <v>266</v>
      </c>
      <c r="L954" s="273"/>
      <c r="M954"/>
      <c r="N954"/>
    </row>
    <row r="955" spans="1:14" ht="104.5">
      <c r="A955" s="119" t="s">
        <v>3527</v>
      </c>
      <c r="B955" s="282"/>
      <c r="C955" s="277" t="s">
        <v>281</v>
      </c>
      <c r="D955" s="277" t="s">
        <v>263</v>
      </c>
      <c r="E955" s="287" t="s">
        <v>4538</v>
      </c>
      <c r="F955" s="141" t="s">
        <v>1136</v>
      </c>
      <c r="G955" s="282" t="s">
        <v>4539</v>
      </c>
      <c r="H955" s="277" t="s">
        <v>281</v>
      </c>
      <c r="I955" s="187" t="s">
        <v>4540</v>
      </c>
      <c r="J955" s="142"/>
      <c r="K955" s="142" t="s">
        <v>266</v>
      </c>
      <c r="L955" s="273"/>
      <c r="M955"/>
      <c r="N955"/>
    </row>
    <row r="956" spans="1:14" ht="117.5">
      <c r="A956" s="119" t="s">
        <v>3527</v>
      </c>
      <c r="B956" s="282"/>
      <c r="C956" s="277" t="s">
        <v>281</v>
      </c>
      <c r="D956" s="277" t="s">
        <v>263</v>
      </c>
      <c r="E956" s="287" t="s">
        <v>4541</v>
      </c>
      <c r="F956" s="141" t="s">
        <v>1136</v>
      </c>
      <c r="G956" s="282" t="s">
        <v>4542</v>
      </c>
      <c r="H956" s="277" t="s">
        <v>281</v>
      </c>
      <c r="I956" s="187" t="s">
        <v>4543</v>
      </c>
      <c r="J956" s="142"/>
      <c r="K956" s="142" t="s">
        <v>266</v>
      </c>
      <c r="L956" s="273"/>
      <c r="M956"/>
      <c r="N956"/>
    </row>
    <row r="957" spans="1:14" ht="75">
      <c r="A957" s="119" t="s">
        <v>3527</v>
      </c>
      <c r="B957" s="282"/>
      <c r="C957" s="277" t="s">
        <v>275</v>
      </c>
      <c r="D957" s="277" t="s">
        <v>263</v>
      </c>
      <c r="E957" s="287" t="s">
        <v>4544</v>
      </c>
      <c r="F957" s="141" t="s">
        <v>1136</v>
      </c>
      <c r="G957" s="282" t="s">
        <v>4545</v>
      </c>
      <c r="H957" s="277" t="s">
        <v>1293</v>
      </c>
      <c r="I957" s="187" t="s">
        <v>4546</v>
      </c>
      <c r="J957" s="142"/>
      <c r="K957" s="142" t="s">
        <v>266</v>
      </c>
      <c r="L957" s="273"/>
      <c r="M957"/>
      <c r="N957"/>
    </row>
    <row r="958" spans="1:14" ht="91.5">
      <c r="A958" s="119" t="s">
        <v>3527</v>
      </c>
      <c r="B958" s="282"/>
      <c r="C958" s="277" t="s">
        <v>281</v>
      </c>
      <c r="D958" s="277" t="s">
        <v>263</v>
      </c>
      <c r="E958" s="287" t="s">
        <v>4547</v>
      </c>
      <c r="F958" s="141" t="s">
        <v>1136</v>
      </c>
      <c r="G958" s="282" t="s">
        <v>4548</v>
      </c>
      <c r="H958" s="277" t="s">
        <v>281</v>
      </c>
      <c r="I958" s="187" t="s">
        <v>4549</v>
      </c>
      <c r="J958" s="142"/>
      <c r="K958" s="142" t="s">
        <v>266</v>
      </c>
      <c r="L958" s="273"/>
      <c r="M958"/>
      <c r="N958"/>
    </row>
    <row r="959" spans="1:14" ht="117.5">
      <c r="A959" s="119" t="s">
        <v>3527</v>
      </c>
      <c r="B959" s="282"/>
      <c r="C959" s="277" t="s">
        <v>281</v>
      </c>
      <c r="D959" s="277" t="s">
        <v>263</v>
      </c>
      <c r="E959" s="287" t="s">
        <v>4550</v>
      </c>
      <c r="F959" s="141" t="s">
        <v>1136</v>
      </c>
      <c r="G959" s="282" t="s">
        <v>4551</v>
      </c>
      <c r="H959" s="277" t="s">
        <v>281</v>
      </c>
      <c r="I959" s="187" t="s">
        <v>4552</v>
      </c>
      <c r="J959" s="142"/>
      <c r="K959" s="142" t="s">
        <v>266</v>
      </c>
      <c r="L959" s="273"/>
      <c r="M959"/>
      <c r="N959"/>
    </row>
    <row r="960" spans="1:14" ht="143.5">
      <c r="A960" s="119" t="s">
        <v>3527</v>
      </c>
      <c r="B960" s="282"/>
      <c r="C960" s="277" t="s">
        <v>281</v>
      </c>
      <c r="D960" s="277" t="s">
        <v>263</v>
      </c>
      <c r="E960" s="287" t="s">
        <v>4553</v>
      </c>
      <c r="F960" s="141" t="s">
        <v>1136</v>
      </c>
      <c r="G960" s="282" t="s">
        <v>4554</v>
      </c>
      <c r="H960" s="277" t="s">
        <v>281</v>
      </c>
      <c r="I960" s="187" t="s">
        <v>4555</v>
      </c>
      <c r="J960" s="142"/>
      <c r="K960" s="142" t="s">
        <v>266</v>
      </c>
      <c r="L960" s="273"/>
      <c r="M960"/>
      <c r="N960"/>
    </row>
    <row r="961" spans="1:14" ht="78.5">
      <c r="A961" s="119" t="s">
        <v>3527</v>
      </c>
      <c r="B961" s="282"/>
      <c r="C961" s="277" t="s">
        <v>281</v>
      </c>
      <c r="D961" s="277" t="s">
        <v>263</v>
      </c>
      <c r="E961" s="287" t="s">
        <v>4556</v>
      </c>
      <c r="F961" s="141" t="s">
        <v>1136</v>
      </c>
      <c r="G961" s="282" t="s">
        <v>4557</v>
      </c>
      <c r="H961" s="277" t="s">
        <v>281</v>
      </c>
      <c r="I961" s="187" t="s">
        <v>4558</v>
      </c>
      <c r="J961" s="142"/>
      <c r="K961" s="142" t="s">
        <v>266</v>
      </c>
      <c r="L961" s="273"/>
      <c r="M961"/>
      <c r="N961"/>
    </row>
    <row r="962" spans="1:14" ht="91.5">
      <c r="A962" s="119" t="s">
        <v>3527</v>
      </c>
      <c r="B962" s="282"/>
      <c r="C962" s="277" t="s">
        <v>281</v>
      </c>
      <c r="D962" s="277" t="s">
        <v>263</v>
      </c>
      <c r="E962" s="287" t="s">
        <v>4559</v>
      </c>
      <c r="F962" s="141" t="s">
        <v>1136</v>
      </c>
      <c r="G962" s="282" t="s">
        <v>4560</v>
      </c>
      <c r="H962" s="277" t="s">
        <v>281</v>
      </c>
      <c r="I962" s="187" t="s">
        <v>4561</v>
      </c>
      <c r="J962" s="142"/>
      <c r="K962" s="142" t="s">
        <v>266</v>
      </c>
      <c r="L962" s="273"/>
      <c r="M962"/>
      <c r="N962"/>
    </row>
    <row r="963" spans="1:14" ht="91.5">
      <c r="A963" s="204" t="s">
        <v>3527</v>
      </c>
      <c r="B963" s="311"/>
      <c r="C963" s="312" t="s">
        <v>281</v>
      </c>
      <c r="D963" s="312" t="s">
        <v>263</v>
      </c>
      <c r="E963" s="313" t="s">
        <v>4562</v>
      </c>
      <c r="F963" s="215" t="s">
        <v>1136</v>
      </c>
      <c r="G963" s="311" t="s">
        <v>4563</v>
      </c>
      <c r="H963" s="312" t="s">
        <v>281</v>
      </c>
      <c r="I963" s="215" t="s">
        <v>4564</v>
      </c>
      <c r="J963" s="216" t="s">
        <v>4500</v>
      </c>
      <c r="K963" s="216" t="s">
        <v>266</v>
      </c>
      <c r="L963" s="272"/>
    </row>
    <row r="964" spans="1:14" ht="78.5">
      <c r="A964" s="204" t="s">
        <v>3527</v>
      </c>
      <c r="B964" s="311"/>
      <c r="C964" s="312" t="s">
        <v>281</v>
      </c>
      <c r="D964" s="312" t="s">
        <v>263</v>
      </c>
      <c r="E964" s="313" t="s">
        <v>4565</v>
      </c>
      <c r="F964" s="215" t="s">
        <v>1136</v>
      </c>
      <c r="G964" s="311" t="s">
        <v>4566</v>
      </c>
      <c r="H964" s="312" t="s">
        <v>281</v>
      </c>
      <c r="I964" s="215" t="s">
        <v>4567</v>
      </c>
      <c r="J964" s="216" t="s">
        <v>4500</v>
      </c>
      <c r="K964" s="216" t="s">
        <v>266</v>
      </c>
      <c r="L964" s="272"/>
    </row>
    <row r="965" spans="1:14" ht="38.5">
      <c r="A965" s="204" t="s">
        <v>4568</v>
      </c>
      <c r="B965" s="215"/>
      <c r="C965" s="216"/>
      <c r="D965" s="216" t="s">
        <v>263</v>
      </c>
      <c r="E965" s="281" t="s">
        <v>4569</v>
      </c>
      <c r="F965" s="215" t="s">
        <v>1136</v>
      </c>
      <c r="G965" s="215" t="s">
        <v>4570</v>
      </c>
      <c r="H965" s="215" t="s">
        <v>280</v>
      </c>
      <c r="I965" s="215" t="s">
        <v>4571</v>
      </c>
      <c r="J965" s="216" t="s">
        <v>4500</v>
      </c>
      <c r="K965" s="216" t="s">
        <v>266</v>
      </c>
      <c r="L965" s="272"/>
    </row>
    <row r="966" spans="1:14" ht="62.5">
      <c r="A966" s="204" t="s">
        <v>4572</v>
      </c>
      <c r="B966" s="215" t="s">
        <v>4573</v>
      </c>
      <c r="C966" s="216"/>
      <c r="D966" s="216" t="s">
        <v>686</v>
      </c>
      <c r="E966" s="281"/>
      <c r="F966" s="215" t="s">
        <v>1136</v>
      </c>
      <c r="G966" s="215" t="s">
        <v>4574</v>
      </c>
      <c r="H966" s="215" t="s">
        <v>280</v>
      </c>
      <c r="I966" s="215" t="s">
        <v>4575</v>
      </c>
      <c r="J966" s="216" t="s">
        <v>4500</v>
      </c>
      <c r="K966" s="216" t="s">
        <v>266</v>
      </c>
      <c r="L966" s="272"/>
    </row>
    <row r="967" spans="1:14" ht="52.75" customHeight="1">
      <c r="A967" s="204" t="s">
        <v>4572</v>
      </c>
      <c r="B967" s="215" t="s">
        <v>4576</v>
      </c>
      <c r="C967" s="216"/>
      <c r="D967" s="216" t="s">
        <v>686</v>
      </c>
      <c r="E967" s="281"/>
      <c r="F967" s="215" t="s">
        <v>1136</v>
      </c>
      <c r="G967" s="215" t="s">
        <v>4577</v>
      </c>
      <c r="H967" s="215" t="s">
        <v>280</v>
      </c>
      <c r="I967" s="215" t="s">
        <v>4578</v>
      </c>
      <c r="J967" s="216" t="s">
        <v>4500</v>
      </c>
      <c r="K967" s="216" t="s">
        <v>266</v>
      </c>
      <c r="L967" s="272"/>
    </row>
    <row r="968" spans="1:14" ht="25">
      <c r="A968" s="204" t="s">
        <v>4568</v>
      </c>
      <c r="B968" s="215"/>
      <c r="C968" s="216"/>
      <c r="D968" s="216" t="s">
        <v>263</v>
      </c>
      <c r="E968" s="314" t="s">
        <v>4579</v>
      </c>
      <c r="F968" s="215" t="s">
        <v>1136</v>
      </c>
      <c r="G968" s="215" t="s">
        <v>4580</v>
      </c>
      <c r="H968" s="215" t="s">
        <v>280</v>
      </c>
      <c r="I968" s="215" t="s">
        <v>4581</v>
      </c>
      <c r="J968" s="216" t="s">
        <v>4500</v>
      </c>
      <c r="K968" s="216" t="s">
        <v>266</v>
      </c>
      <c r="L968" s="272"/>
    </row>
    <row r="969" spans="1:14" ht="25">
      <c r="A969" s="204" t="s">
        <v>4568</v>
      </c>
      <c r="B969" s="215"/>
      <c r="C969" s="216"/>
      <c r="D969" s="216" t="s">
        <v>263</v>
      </c>
      <c r="E969" s="314" t="s">
        <v>4582</v>
      </c>
      <c r="F969" s="216" t="s">
        <v>1136</v>
      </c>
      <c r="G969" s="215" t="s">
        <v>4583</v>
      </c>
      <c r="H969" s="215" t="s">
        <v>280</v>
      </c>
      <c r="I969" s="215" t="s">
        <v>4584</v>
      </c>
      <c r="J969" s="216" t="s">
        <v>4500</v>
      </c>
      <c r="K969" s="216" t="s">
        <v>266</v>
      </c>
      <c r="L969" s="272"/>
    </row>
    <row r="970" spans="1:14" ht="46.75" customHeight="1">
      <c r="A970" s="204" t="s">
        <v>4572</v>
      </c>
      <c r="B970" s="215" t="s">
        <v>4585</v>
      </c>
      <c r="C970" s="216"/>
      <c r="D970" s="216" t="s">
        <v>93</v>
      </c>
      <c r="E970" s="314"/>
      <c r="F970" s="216" t="s">
        <v>1136</v>
      </c>
      <c r="G970" s="215" t="s">
        <v>4585</v>
      </c>
      <c r="H970" s="215" t="s">
        <v>280</v>
      </c>
      <c r="I970" s="215" t="s">
        <v>4586</v>
      </c>
      <c r="J970" s="216" t="s">
        <v>4500</v>
      </c>
      <c r="K970" s="216" t="s">
        <v>266</v>
      </c>
      <c r="L970" s="272"/>
    </row>
    <row r="971" spans="1:14" ht="25">
      <c r="A971" s="204" t="s">
        <v>4568</v>
      </c>
      <c r="B971" s="215"/>
      <c r="C971" s="216"/>
      <c r="D971" s="216" t="s">
        <v>263</v>
      </c>
      <c r="E971" s="314" t="s">
        <v>4587</v>
      </c>
      <c r="F971" s="216" t="s">
        <v>1136</v>
      </c>
      <c r="G971" s="215" t="s">
        <v>4588</v>
      </c>
      <c r="H971" s="215" t="s">
        <v>1327</v>
      </c>
      <c r="I971" s="215" t="s">
        <v>4589</v>
      </c>
      <c r="J971" s="216" t="s">
        <v>4500</v>
      </c>
      <c r="K971" s="216" t="s">
        <v>266</v>
      </c>
      <c r="L971" s="272"/>
    </row>
    <row r="972" spans="1:14" ht="25">
      <c r="A972" s="123"/>
      <c r="B972" s="141"/>
      <c r="C972" s="142"/>
      <c r="D972" s="142" t="s">
        <v>263</v>
      </c>
      <c r="E972" s="150" t="s">
        <v>4590</v>
      </c>
      <c r="F972" s="141" t="s">
        <v>1136</v>
      </c>
      <c r="G972" s="141" t="s">
        <v>4591</v>
      </c>
      <c r="H972" s="142" t="s">
        <v>4592</v>
      </c>
      <c r="I972" s="141" t="s">
        <v>4593</v>
      </c>
      <c r="J972" s="142"/>
      <c r="K972" s="206" t="s">
        <v>3100</v>
      </c>
    </row>
    <row r="973" spans="1:14">
      <c r="A973" s="123"/>
      <c r="B973" s="141"/>
      <c r="C973" s="142"/>
      <c r="D973" s="142" t="s">
        <v>263</v>
      </c>
      <c r="E973" s="150" t="s">
        <v>4590</v>
      </c>
      <c r="F973" s="141" t="s">
        <v>1136</v>
      </c>
      <c r="G973" s="141" t="s">
        <v>4594</v>
      </c>
      <c r="H973" s="142" t="s">
        <v>4592</v>
      </c>
      <c r="I973" s="141" t="s">
        <v>4595</v>
      </c>
      <c r="J973" s="142"/>
      <c r="K973" s="206" t="s">
        <v>3100</v>
      </c>
    </row>
    <row r="974" spans="1:14">
      <c r="A974" s="123"/>
      <c r="B974" s="141"/>
      <c r="C974" s="142"/>
      <c r="D974" s="142" t="s">
        <v>263</v>
      </c>
      <c r="E974" s="150" t="s">
        <v>4590</v>
      </c>
      <c r="F974" s="141" t="s">
        <v>1136</v>
      </c>
      <c r="G974" s="141" t="s">
        <v>4596</v>
      </c>
      <c r="H974" s="142" t="s">
        <v>4592</v>
      </c>
      <c r="I974" s="141" t="s">
        <v>4597</v>
      </c>
      <c r="J974" s="142"/>
      <c r="K974" s="206" t="s">
        <v>3100</v>
      </c>
    </row>
    <row r="975" spans="1:14" ht="25">
      <c r="A975" s="123"/>
      <c r="B975" s="141"/>
      <c r="C975" s="142"/>
      <c r="D975" s="142" t="s">
        <v>263</v>
      </c>
      <c r="E975" s="150" t="s">
        <v>4590</v>
      </c>
      <c r="F975" s="141" t="s">
        <v>1136</v>
      </c>
      <c r="G975" s="141" t="s">
        <v>4598</v>
      </c>
      <c r="H975" s="142" t="s">
        <v>4599</v>
      </c>
      <c r="I975" s="141" t="s">
        <v>4600</v>
      </c>
      <c r="J975" s="142"/>
      <c r="K975" s="206" t="s">
        <v>3100</v>
      </c>
    </row>
    <row r="976" spans="1:14" ht="37.5">
      <c r="A976" s="123"/>
      <c r="B976" s="141"/>
      <c r="C976" s="142"/>
      <c r="D976" s="142" t="s">
        <v>263</v>
      </c>
      <c r="E976" s="150" t="s">
        <v>4590</v>
      </c>
      <c r="F976" s="141" t="s">
        <v>1136</v>
      </c>
      <c r="G976" s="141" t="s">
        <v>4601</v>
      </c>
      <c r="H976" s="142" t="s">
        <v>4599</v>
      </c>
      <c r="I976" s="141" t="s">
        <v>4602</v>
      </c>
      <c r="J976" s="142"/>
      <c r="K976" s="206" t="s">
        <v>3100</v>
      </c>
    </row>
    <row r="977" spans="1:11">
      <c r="A977" s="61"/>
      <c r="B977" s="224"/>
      <c r="C977" s="61"/>
      <c r="D977" s="61"/>
      <c r="E977" s="61"/>
      <c r="F977" s="61"/>
      <c r="G977" s="61"/>
      <c r="H977" s="61"/>
      <c r="I977" s="61"/>
      <c r="J977" s="61"/>
      <c r="K977" s="61"/>
    </row>
    <row r="978" spans="1:11">
      <c r="A978" s="61"/>
      <c r="B978" s="224"/>
      <c r="C978" s="61"/>
      <c r="D978" s="61"/>
      <c r="E978" s="61"/>
      <c r="F978" s="61"/>
      <c r="G978" s="61"/>
      <c r="H978" s="61"/>
      <c r="I978" s="61"/>
      <c r="J978" s="61"/>
      <c r="K978" s="61"/>
    </row>
    <row r="979" spans="1:11">
      <c r="A979" s="61"/>
      <c r="B979" s="224"/>
      <c r="C979" s="61"/>
      <c r="D979" s="61"/>
      <c r="E979" s="61"/>
      <c r="F979" s="61"/>
      <c r="G979" s="61"/>
      <c r="H979" s="61"/>
      <c r="I979" s="61"/>
      <c r="J979" s="61"/>
      <c r="K979" s="61"/>
    </row>
    <row r="980" spans="1:11">
      <c r="A980" s="61"/>
      <c r="B980" s="224"/>
      <c r="C980" s="61"/>
      <c r="D980" s="61"/>
      <c r="E980" s="61"/>
      <c r="F980" s="61"/>
      <c r="G980" s="61"/>
      <c r="H980" s="61"/>
      <c r="I980" s="61"/>
      <c r="J980" s="61"/>
      <c r="K980" s="61"/>
    </row>
    <row r="981" spans="1:11">
      <c r="A981" s="61"/>
      <c r="B981" s="224"/>
      <c r="C981" s="61"/>
      <c r="D981" s="61"/>
      <c r="E981" s="61"/>
      <c r="F981" s="61"/>
      <c r="G981" s="61"/>
      <c r="H981" s="61"/>
      <c r="I981" s="61"/>
      <c r="J981" s="61"/>
      <c r="K981" s="61"/>
    </row>
    <row r="982" spans="1:11">
      <c r="A982" s="61"/>
      <c r="B982" s="224"/>
      <c r="C982" s="61"/>
      <c r="D982" s="61"/>
      <c r="E982" s="61"/>
      <c r="F982" s="61"/>
      <c r="G982" s="61"/>
      <c r="H982" s="61"/>
      <c r="I982" s="61"/>
      <c r="J982" s="61"/>
      <c r="K982" s="61"/>
    </row>
    <row r="983" spans="1:11">
      <c r="A983" s="61"/>
      <c r="B983" s="224"/>
      <c r="C983" s="61"/>
      <c r="D983" s="61"/>
      <c r="E983" s="61"/>
      <c r="F983" s="61"/>
      <c r="G983" s="61"/>
      <c r="H983" s="61"/>
      <c r="I983" s="61"/>
      <c r="J983" s="61"/>
      <c r="K983" s="61"/>
    </row>
    <row r="984" spans="1:11">
      <c r="A984" s="61"/>
      <c r="B984" s="224"/>
      <c r="C984" s="61"/>
      <c r="D984" s="61"/>
      <c r="E984" s="61"/>
      <c r="F984" s="61"/>
      <c r="G984" s="61"/>
      <c r="H984" s="61"/>
      <c r="I984" s="61"/>
      <c r="J984" s="61"/>
      <c r="K984" s="61"/>
    </row>
    <row r="985" spans="1:11">
      <c r="A985" s="61"/>
      <c r="B985" s="224"/>
      <c r="C985" s="61"/>
      <c r="D985" s="61"/>
      <c r="E985" s="61"/>
      <c r="F985" s="61"/>
      <c r="G985" s="61"/>
      <c r="H985" s="61"/>
      <c r="I985" s="61"/>
      <c r="J985" s="61"/>
      <c r="K985" s="61"/>
    </row>
    <row r="986" spans="1:11">
      <c r="A986" s="61"/>
      <c r="B986" s="224"/>
      <c r="C986" s="61"/>
      <c r="D986" s="61"/>
      <c r="E986" s="61"/>
      <c r="F986" s="61"/>
      <c r="G986" s="61"/>
      <c r="H986" s="61"/>
      <c r="I986" s="61"/>
      <c r="J986" s="61"/>
      <c r="K986" s="61"/>
    </row>
    <row r="987" spans="1:11">
      <c r="A987" s="61"/>
      <c r="B987" s="224"/>
      <c r="C987" s="61"/>
      <c r="D987" s="61"/>
      <c r="E987" s="61"/>
      <c r="F987" s="61"/>
      <c r="G987" s="61"/>
      <c r="H987" s="61"/>
      <c r="I987" s="61"/>
      <c r="J987" s="61"/>
      <c r="K987" s="61"/>
    </row>
    <row r="988" spans="1:11">
      <c r="A988" s="61"/>
      <c r="B988" s="224"/>
      <c r="C988" s="61"/>
      <c r="D988" s="61"/>
      <c r="E988" s="61"/>
      <c r="F988" s="61"/>
      <c r="G988" s="61"/>
      <c r="H988" s="61"/>
      <c r="I988" s="61"/>
      <c r="J988" s="61"/>
      <c r="K988" s="61"/>
    </row>
    <row r="989" spans="1:11">
      <c r="A989" s="61"/>
      <c r="B989" s="224"/>
      <c r="C989" s="61"/>
      <c r="D989" s="61"/>
      <c r="E989" s="61"/>
      <c r="F989" s="61"/>
      <c r="G989" s="61"/>
      <c r="H989" s="61"/>
      <c r="I989" s="61"/>
      <c r="J989" s="61"/>
      <c r="K989" s="61"/>
    </row>
    <row r="990" spans="1:11">
      <c r="A990" s="61"/>
      <c r="B990" s="224"/>
      <c r="C990" s="61"/>
      <c r="D990" s="61"/>
      <c r="E990" s="61"/>
      <c r="F990" s="61"/>
      <c r="G990" s="61"/>
      <c r="H990" s="61"/>
      <c r="I990" s="61"/>
      <c r="J990" s="61"/>
      <c r="K990" s="61"/>
    </row>
    <row r="999" spans="13:13">
      <c r="M999" s="159"/>
    </row>
    <row r="1000" spans="13:13">
      <c r="M1000" s="179"/>
    </row>
    <row r="1001" spans="13:13">
      <c r="M1001" s="179"/>
    </row>
    <row r="1002" spans="13:13">
      <c r="M1002" s="179"/>
    </row>
    <row r="1003" spans="13:13">
      <c r="M1003" s="179"/>
    </row>
    <row r="1004" spans="13:13">
      <c r="M1004" s="179"/>
    </row>
    <row r="1005" spans="13:13">
      <c r="M1005" s="200"/>
    </row>
  </sheetData>
  <mergeCells count="12">
    <mergeCell ref="A4:C4"/>
    <mergeCell ref="A13:C13"/>
    <mergeCell ref="A2:K2"/>
    <mergeCell ref="A47:C47"/>
    <mergeCell ref="A53:C53"/>
    <mergeCell ref="A314:C314"/>
    <mergeCell ref="A68:K68"/>
    <mergeCell ref="A51:K51"/>
    <mergeCell ref="A11:K11"/>
    <mergeCell ref="A45:K45"/>
    <mergeCell ref="A313:K313"/>
    <mergeCell ref="A101:K101"/>
  </mergeCells>
  <phoneticPr fontId="5" type="noConversion"/>
  <pageMargins left="0.7" right="0.7" top="0.75" bottom="0.75" header="0.3" footer="0.3"/>
  <pageSetup orientation="portrait" r:id="rId1"/>
  <headerFooter>
    <oddFooter>&amp;L&amp;1#&amp;"Calibri"&amp;7&amp;K000000C2 General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4091-DC05-4950-BDE0-D09C62F0D5FC}">
  <sheetPr>
    <tabColor theme="7"/>
  </sheetPr>
  <dimension ref="A1:J53"/>
  <sheetViews>
    <sheetView topLeftCell="B49" workbookViewId="0">
      <selection activeCell="E5" sqref="E5"/>
    </sheetView>
  </sheetViews>
  <sheetFormatPr defaultColWidth="8.81640625" defaultRowHeight="23.5" customHeight="1"/>
  <cols>
    <col min="1" max="1" width="36.1796875" style="45" customWidth="1"/>
    <col min="2" max="2" width="15.81640625" style="45" bestFit="1" customWidth="1"/>
    <col min="3" max="3" width="7.54296875" style="45" bestFit="1" customWidth="1"/>
    <col min="4" max="4" width="8.81640625" style="45" bestFit="1" customWidth="1"/>
    <col min="5" max="5" width="60.453125" style="45" customWidth="1"/>
    <col min="6" max="6" width="18.453125" style="45" bestFit="1" customWidth="1"/>
    <col min="7" max="7" width="22.81640625" style="45" bestFit="1" customWidth="1"/>
    <col min="8" max="8" width="7.54296875" style="45" bestFit="1" customWidth="1"/>
    <col min="9" max="9" width="6.81640625" style="45" bestFit="1" customWidth="1"/>
    <col min="10" max="10" width="8.453125" style="45" bestFit="1" customWidth="1"/>
    <col min="11" max="16384" width="8.81640625" style="45"/>
  </cols>
  <sheetData>
    <row r="1" spans="1:10" ht="23.5" customHeight="1">
      <c r="A1" s="78" t="s">
        <v>73</v>
      </c>
      <c r="B1" s="79" t="s">
        <v>74</v>
      </c>
      <c r="C1" s="79" t="s">
        <v>75</v>
      </c>
      <c r="D1" s="80" t="s">
        <v>76</v>
      </c>
      <c r="E1" s="80" t="s">
        <v>77</v>
      </c>
      <c r="F1" s="80" t="s">
        <v>78</v>
      </c>
      <c r="G1" s="80" t="s">
        <v>79</v>
      </c>
      <c r="H1" s="79" t="s">
        <v>80</v>
      </c>
      <c r="I1" s="80" t="s">
        <v>683</v>
      </c>
      <c r="J1" s="80" t="s">
        <v>2225</v>
      </c>
    </row>
    <row r="2" spans="1:10" ht="23.5" customHeight="1">
      <c r="A2" s="47" t="s">
        <v>4603</v>
      </c>
      <c r="B2" s="47"/>
      <c r="C2" s="47"/>
      <c r="D2" s="47" t="s">
        <v>263</v>
      </c>
      <c r="E2" s="3" t="s">
        <v>4604</v>
      </c>
      <c r="F2" s="47" t="s">
        <v>4605</v>
      </c>
      <c r="G2" s="94" t="s">
        <v>1485</v>
      </c>
      <c r="H2" s="47"/>
      <c r="I2" s="47"/>
      <c r="J2" s="396"/>
    </row>
    <row r="3" spans="1:10" ht="23.5" customHeight="1">
      <c r="A3" s="47" t="s">
        <v>4606</v>
      </c>
      <c r="B3" s="47"/>
      <c r="C3" s="47"/>
      <c r="D3" s="47" t="s">
        <v>263</v>
      </c>
      <c r="E3" s="3" t="s">
        <v>4607</v>
      </c>
      <c r="F3" s="47" t="s">
        <v>4605</v>
      </c>
      <c r="G3" s="94" t="s">
        <v>1491</v>
      </c>
      <c r="H3" s="47"/>
      <c r="I3" s="47"/>
      <c r="J3" s="396"/>
    </row>
    <row r="4" spans="1:10" ht="23.5" customHeight="1">
      <c r="A4" s="47" t="s">
        <v>4606</v>
      </c>
      <c r="B4" s="47"/>
      <c r="C4" s="47"/>
      <c r="D4" s="47" t="s">
        <v>263</v>
      </c>
      <c r="E4" s="3" t="s">
        <v>4608</v>
      </c>
      <c r="F4" s="47" t="s">
        <v>4605</v>
      </c>
      <c r="G4" s="94" t="s">
        <v>1497</v>
      </c>
      <c r="H4" s="47"/>
      <c r="I4" s="47"/>
      <c r="J4" s="396"/>
    </row>
    <row r="5" spans="1:10" ht="23.5" customHeight="1">
      <c r="A5" s="47"/>
      <c r="B5" s="47"/>
      <c r="C5" s="47"/>
      <c r="D5" s="47" t="s">
        <v>263</v>
      </c>
      <c r="E5" s="47" t="s">
        <v>4609</v>
      </c>
      <c r="F5" s="47" t="s">
        <v>4605</v>
      </c>
      <c r="G5" s="47" t="s">
        <v>4610</v>
      </c>
      <c r="H5" s="47"/>
      <c r="I5" s="47"/>
      <c r="J5" s="47"/>
    </row>
    <row r="6" spans="1:10" ht="23.5" customHeight="1">
      <c r="A6" s="47" t="s">
        <v>4611</v>
      </c>
      <c r="B6" s="47"/>
      <c r="C6" s="47"/>
      <c r="D6" s="47" t="s">
        <v>263</v>
      </c>
      <c r="E6" s="47" t="s">
        <v>4612</v>
      </c>
      <c r="F6" s="47" t="s">
        <v>4605</v>
      </c>
      <c r="G6" s="47" t="s">
        <v>4610</v>
      </c>
      <c r="H6" s="47"/>
      <c r="I6" s="47"/>
      <c r="J6" s="47"/>
    </row>
    <row r="7" spans="1:10" ht="23.5" customHeight="1">
      <c r="A7" s="47" t="s">
        <v>4606</v>
      </c>
      <c r="B7" s="47"/>
      <c r="C7" s="47" t="s">
        <v>4613</v>
      </c>
      <c r="D7" s="47" t="s">
        <v>263</v>
      </c>
      <c r="E7" s="47" t="s">
        <v>4614</v>
      </c>
      <c r="F7" s="47" t="s">
        <v>4605</v>
      </c>
      <c r="G7" s="47" t="s">
        <v>1509</v>
      </c>
      <c r="H7" s="47" t="s">
        <v>274</v>
      </c>
      <c r="I7" s="47"/>
      <c r="J7" s="47"/>
    </row>
    <row r="8" spans="1:10" ht="23.5" customHeight="1">
      <c r="A8" s="47" t="s">
        <v>4615</v>
      </c>
      <c r="B8" s="47"/>
      <c r="C8" s="47"/>
      <c r="D8" s="47" t="s">
        <v>263</v>
      </c>
      <c r="E8" s="47" t="s">
        <v>4616</v>
      </c>
      <c r="F8" s="47" t="s">
        <v>4605</v>
      </c>
      <c r="G8" s="47" t="s">
        <v>1515</v>
      </c>
      <c r="H8" s="47"/>
      <c r="I8" s="47"/>
      <c r="J8" s="47"/>
    </row>
    <row r="9" spans="1:10" ht="23.5" customHeight="1">
      <c r="A9" s="47"/>
      <c r="B9" s="47"/>
      <c r="C9" s="47"/>
      <c r="D9" s="47" t="s">
        <v>263</v>
      </c>
      <c r="E9" s="47" t="s">
        <v>4617</v>
      </c>
      <c r="F9" s="47" t="s">
        <v>4605</v>
      </c>
      <c r="G9" s="47" t="s">
        <v>4618</v>
      </c>
      <c r="H9" s="47"/>
      <c r="I9" s="47"/>
      <c r="J9" s="47"/>
    </row>
    <row r="10" spans="1:10" ht="23.5" customHeight="1">
      <c r="A10" s="47" t="s">
        <v>4606</v>
      </c>
      <c r="B10" s="47"/>
      <c r="C10" s="47"/>
      <c r="D10" s="47" t="s">
        <v>263</v>
      </c>
      <c r="E10" s="47" t="s">
        <v>4619</v>
      </c>
      <c r="F10" s="47" t="s">
        <v>4605</v>
      </c>
      <c r="G10" s="47" t="s">
        <v>4618</v>
      </c>
      <c r="H10" s="47"/>
      <c r="I10" s="47"/>
      <c r="J10" s="47"/>
    </row>
    <row r="11" spans="1:10" ht="23.5" customHeight="1">
      <c r="A11" s="47" t="s">
        <v>4620</v>
      </c>
      <c r="B11" s="47"/>
      <c r="C11" s="47"/>
      <c r="D11" s="47" t="s">
        <v>263</v>
      </c>
      <c r="E11" s="47" t="s">
        <v>4621</v>
      </c>
      <c r="F11" s="47" t="s">
        <v>4605</v>
      </c>
      <c r="G11" s="47" t="s">
        <v>4622</v>
      </c>
      <c r="H11" s="47"/>
      <c r="I11" s="47"/>
      <c r="J11" s="47"/>
    </row>
    <row r="12" spans="1:10" ht="23.5" customHeight="1">
      <c r="A12" s="47" t="s">
        <v>4606</v>
      </c>
      <c r="B12" s="47"/>
      <c r="C12" s="47"/>
      <c r="D12" s="47" t="s">
        <v>263</v>
      </c>
      <c r="E12" s="47" t="s">
        <v>4623</v>
      </c>
      <c r="F12" s="47" t="s">
        <v>4605</v>
      </c>
      <c r="G12" s="47" t="s">
        <v>4624</v>
      </c>
      <c r="H12" s="47"/>
      <c r="I12" s="47"/>
      <c r="J12" s="47"/>
    </row>
    <row r="13" spans="1:10" ht="23.5" customHeight="1">
      <c r="A13" s="47" t="s">
        <v>4620</v>
      </c>
      <c r="B13" s="47"/>
      <c r="C13" s="47"/>
      <c r="D13" s="47" t="s">
        <v>263</v>
      </c>
      <c r="E13" s="47" t="s">
        <v>4625</v>
      </c>
      <c r="F13" s="47" t="s">
        <v>4605</v>
      </c>
      <c r="G13" s="47" t="s">
        <v>4626</v>
      </c>
      <c r="H13" s="47"/>
      <c r="I13" s="47"/>
      <c r="J13" s="47"/>
    </row>
    <row r="14" spans="1:10" ht="23.5" customHeight="1">
      <c r="A14" s="47"/>
      <c r="B14" s="47"/>
      <c r="C14" s="47"/>
      <c r="D14" s="47" t="s">
        <v>263</v>
      </c>
      <c r="E14" s="47" t="s">
        <v>4627</v>
      </c>
      <c r="F14" s="47" t="s">
        <v>4605</v>
      </c>
      <c r="G14" s="47" t="s">
        <v>4628</v>
      </c>
      <c r="H14" s="47"/>
      <c r="I14" s="47"/>
      <c r="J14" s="47"/>
    </row>
    <row r="15" spans="1:10" ht="23.5" customHeight="1">
      <c r="A15" s="47" t="s">
        <v>4606</v>
      </c>
      <c r="B15" s="47"/>
      <c r="C15" s="47"/>
      <c r="D15" s="47" t="s">
        <v>263</v>
      </c>
      <c r="E15" s="47" t="s">
        <v>4629</v>
      </c>
      <c r="F15" s="47" t="s">
        <v>4605</v>
      </c>
      <c r="G15" s="47" t="s">
        <v>4630</v>
      </c>
      <c r="H15" s="47"/>
      <c r="I15" s="47"/>
      <c r="J15" s="47"/>
    </row>
    <row r="16" spans="1:10" ht="23.5" customHeight="1">
      <c r="A16" s="437" t="s">
        <v>4631</v>
      </c>
      <c r="B16" s="47"/>
      <c r="C16" s="47"/>
      <c r="D16" s="47" t="s">
        <v>263</v>
      </c>
      <c r="E16" s="47" t="s">
        <v>4632</v>
      </c>
      <c r="F16" s="47" t="s">
        <v>4605</v>
      </c>
      <c r="G16" s="47" t="s">
        <v>4633</v>
      </c>
      <c r="H16" s="47"/>
      <c r="I16" s="47"/>
      <c r="J16" s="47"/>
    </row>
    <row r="17" spans="1:10" ht="23.5" customHeight="1">
      <c r="A17" s="47" t="s">
        <v>4620</v>
      </c>
      <c r="B17" s="47"/>
      <c r="C17" s="47"/>
      <c r="D17" s="47" t="s">
        <v>263</v>
      </c>
      <c r="E17" s="47" t="s">
        <v>4634</v>
      </c>
      <c r="F17" s="47" t="s">
        <v>4605</v>
      </c>
      <c r="G17" s="47" t="s">
        <v>4635</v>
      </c>
      <c r="H17" s="47"/>
      <c r="I17" s="47"/>
      <c r="J17" s="47"/>
    </row>
    <row r="18" spans="1:10" ht="23.5" customHeight="1">
      <c r="A18" s="47" t="s">
        <v>4620</v>
      </c>
      <c r="B18" s="47"/>
      <c r="C18" s="47"/>
      <c r="D18" s="47" t="s">
        <v>263</v>
      </c>
      <c r="E18" s="47" t="s">
        <v>4636</v>
      </c>
      <c r="F18" s="47" t="s">
        <v>4605</v>
      </c>
      <c r="G18" s="47" t="s">
        <v>4637</v>
      </c>
      <c r="H18" s="47"/>
      <c r="I18" s="47"/>
      <c r="J18" s="438"/>
    </row>
    <row r="19" spans="1:10" ht="23.5" customHeight="1">
      <c r="A19" s="47" t="s">
        <v>4620</v>
      </c>
      <c r="B19" s="47"/>
      <c r="C19" s="47"/>
      <c r="D19" s="47" t="s">
        <v>263</v>
      </c>
      <c r="E19" s="47" t="s">
        <v>4638</v>
      </c>
      <c r="F19" s="47" t="s">
        <v>4605</v>
      </c>
      <c r="G19" s="47" t="s">
        <v>4639</v>
      </c>
      <c r="H19" s="47"/>
      <c r="I19" s="47"/>
      <c r="J19" s="47"/>
    </row>
    <row r="20" spans="1:10" ht="23.5" customHeight="1">
      <c r="A20" s="47" t="s">
        <v>4640</v>
      </c>
      <c r="B20" s="47"/>
      <c r="C20" s="47"/>
      <c r="D20" s="47" t="s">
        <v>263</v>
      </c>
      <c r="E20" s="47" t="s">
        <v>4641</v>
      </c>
      <c r="F20" s="47" t="s">
        <v>4605</v>
      </c>
      <c r="G20" s="47" t="s">
        <v>4642</v>
      </c>
      <c r="H20" s="47"/>
      <c r="I20" s="47"/>
      <c r="J20" s="51"/>
    </row>
    <row r="21" spans="1:10" ht="23.5" customHeight="1">
      <c r="A21" s="47"/>
      <c r="B21" s="51"/>
      <c r="C21" s="51"/>
      <c r="D21" s="47" t="s">
        <v>263</v>
      </c>
      <c r="E21" s="47" t="s">
        <v>4643</v>
      </c>
      <c r="F21" s="47" t="s">
        <v>4605</v>
      </c>
      <c r="G21" s="47" t="s">
        <v>4644</v>
      </c>
      <c r="H21" s="51"/>
      <c r="I21" s="51"/>
      <c r="J21" s="51"/>
    </row>
    <row r="22" spans="1:10" ht="23.5" customHeight="1">
      <c r="A22" s="437" t="s">
        <v>4631</v>
      </c>
      <c r="B22" s="51"/>
      <c r="C22" s="51"/>
      <c r="D22" s="47" t="s">
        <v>263</v>
      </c>
      <c r="E22" s="47" t="s">
        <v>4645</v>
      </c>
      <c r="F22" s="47" t="s">
        <v>4605</v>
      </c>
      <c r="G22" s="439" t="s">
        <v>4646</v>
      </c>
      <c r="H22" s="51"/>
      <c r="I22" s="51"/>
      <c r="J22" s="51"/>
    </row>
    <row r="23" spans="1:10" ht="23.5" customHeight="1">
      <c r="A23" s="47" t="s">
        <v>4620</v>
      </c>
      <c r="B23" s="51"/>
      <c r="C23" s="51"/>
      <c r="D23" s="47" t="s">
        <v>263</v>
      </c>
      <c r="E23" s="47" t="s">
        <v>4647</v>
      </c>
      <c r="F23" s="47" t="s">
        <v>4605</v>
      </c>
      <c r="G23" s="439" t="s">
        <v>1614</v>
      </c>
      <c r="H23" s="51"/>
      <c r="I23" s="51"/>
      <c r="J23" s="51"/>
    </row>
    <row r="24" spans="1:10" ht="23.5" customHeight="1">
      <c r="A24" s="437" t="s">
        <v>4648</v>
      </c>
      <c r="B24" s="51"/>
      <c r="C24" s="51"/>
      <c r="D24" s="47" t="s">
        <v>263</v>
      </c>
      <c r="E24" s="47" t="s">
        <v>4649</v>
      </c>
      <c r="F24" s="47" t="s">
        <v>4605</v>
      </c>
      <c r="G24" s="47" t="s">
        <v>1609</v>
      </c>
      <c r="H24" s="51"/>
      <c r="I24" s="51"/>
      <c r="J24" s="51"/>
    </row>
    <row r="25" spans="1:10" ht="23.5" customHeight="1">
      <c r="A25" s="47"/>
      <c r="B25" s="51"/>
      <c r="C25" s="51"/>
      <c r="D25" s="47" t="s">
        <v>263</v>
      </c>
      <c r="E25" s="47" t="s">
        <v>4650</v>
      </c>
      <c r="F25" s="47" t="s">
        <v>4605</v>
      </c>
      <c r="G25" s="47" t="s">
        <v>1617</v>
      </c>
      <c r="H25" s="51"/>
      <c r="I25" s="51"/>
      <c r="J25" s="51"/>
    </row>
    <row r="26" spans="1:10" ht="23.5" customHeight="1">
      <c r="A26" s="47"/>
      <c r="B26" s="51"/>
      <c r="C26" s="51"/>
      <c r="D26" s="47" t="s">
        <v>263</v>
      </c>
      <c r="E26" s="47" t="s">
        <v>4651</v>
      </c>
      <c r="F26" s="47" t="s">
        <v>4605</v>
      </c>
      <c r="G26" s="47" t="s">
        <v>4652</v>
      </c>
      <c r="H26" s="51"/>
      <c r="I26" s="51"/>
      <c r="J26" s="51"/>
    </row>
    <row r="27" spans="1:10" ht="23.5" customHeight="1">
      <c r="A27" s="47" t="s">
        <v>4653</v>
      </c>
      <c r="B27" s="51"/>
      <c r="C27" s="51"/>
      <c r="D27" s="47" t="s">
        <v>263</v>
      </c>
      <c r="E27" s="47" t="s">
        <v>4654</v>
      </c>
      <c r="F27" s="47" t="s">
        <v>4605</v>
      </c>
      <c r="G27" s="47" t="s">
        <v>4655</v>
      </c>
      <c r="H27" s="51"/>
      <c r="I27" s="51"/>
      <c r="J27" s="51"/>
    </row>
    <row r="28" spans="1:10" ht="23.5" customHeight="1">
      <c r="A28" s="47" t="s">
        <v>4656</v>
      </c>
      <c r="B28" s="51"/>
      <c r="C28" s="51"/>
      <c r="D28" s="47" t="s">
        <v>263</v>
      </c>
      <c r="E28" s="47" t="s">
        <v>4657</v>
      </c>
      <c r="F28" s="47" t="s">
        <v>4605</v>
      </c>
      <c r="G28" s="47" t="s">
        <v>4658</v>
      </c>
      <c r="H28" s="51"/>
      <c r="I28" s="51"/>
      <c r="J28" s="51"/>
    </row>
    <row r="29" spans="1:10" ht="23.5" customHeight="1">
      <c r="A29" s="47" t="s">
        <v>4620</v>
      </c>
      <c r="B29" s="51"/>
      <c r="C29" s="51"/>
      <c r="D29" s="47" t="s">
        <v>263</v>
      </c>
      <c r="E29" s="47" t="s">
        <v>4659</v>
      </c>
      <c r="F29" s="47" t="s">
        <v>4605</v>
      </c>
      <c r="G29" s="47" t="s">
        <v>1626</v>
      </c>
      <c r="H29" s="51"/>
      <c r="I29" s="51"/>
      <c r="J29" s="51"/>
    </row>
    <row r="30" spans="1:10" ht="23.5" customHeight="1">
      <c r="A30" s="47"/>
      <c r="B30" s="51"/>
      <c r="C30" s="51"/>
      <c r="D30" s="47" t="s">
        <v>263</v>
      </c>
      <c r="E30" s="47" t="s">
        <v>4660</v>
      </c>
      <c r="F30" s="47" t="s">
        <v>4605</v>
      </c>
      <c r="G30" s="47" t="s">
        <v>3037</v>
      </c>
      <c r="H30" s="51"/>
      <c r="I30" s="51"/>
      <c r="J30" s="51"/>
    </row>
    <row r="31" spans="1:10" ht="23.5" customHeight="1">
      <c r="A31" s="47"/>
      <c r="B31" s="93"/>
      <c r="C31" s="51"/>
      <c r="D31" s="47" t="s">
        <v>263</v>
      </c>
      <c r="E31" s="47" t="s">
        <v>4661</v>
      </c>
      <c r="F31" s="47" t="s">
        <v>4605</v>
      </c>
      <c r="G31" s="47" t="s">
        <v>4662</v>
      </c>
      <c r="H31" s="51"/>
      <c r="I31" s="51"/>
      <c r="J31" s="51"/>
    </row>
    <row r="32" spans="1:10" ht="23.5" customHeight="1">
      <c r="A32" s="437" t="s">
        <v>4663</v>
      </c>
      <c r="B32" s="51"/>
      <c r="C32" s="51"/>
      <c r="D32" s="47" t="s">
        <v>263</v>
      </c>
      <c r="E32" s="47" t="s">
        <v>4664</v>
      </c>
      <c r="F32" s="47" t="s">
        <v>4605</v>
      </c>
      <c r="G32" s="47" t="s">
        <v>4665</v>
      </c>
      <c r="H32" s="51"/>
      <c r="I32" s="51"/>
      <c r="J32" s="51"/>
    </row>
    <row r="33" spans="1:10" ht="23.5" customHeight="1">
      <c r="A33" s="437" t="s">
        <v>4663</v>
      </c>
      <c r="B33" s="51"/>
      <c r="C33" s="51"/>
      <c r="D33" s="47" t="s">
        <v>263</v>
      </c>
      <c r="E33" s="47" t="s">
        <v>4666</v>
      </c>
      <c r="F33" s="47" t="s">
        <v>4605</v>
      </c>
      <c r="G33" s="47" t="s">
        <v>4667</v>
      </c>
      <c r="H33" s="51"/>
      <c r="I33" s="51"/>
      <c r="J33" s="51"/>
    </row>
    <row r="34" spans="1:10" ht="23.5" customHeight="1">
      <c r="A34" s="47" t="s">
        <v>4620</v>
      </c>
      <c r="B34" s="51"/>
      <c r="C34" s="51"/>
      <c r="D34" s="47" t="s">
        <v>263</v>
      </c>
      <c r="E34" s="47" t="s">
        <v>4668</v>
      </c>
      <c r="F34" s="47" t="s">
        <v>4605</v>
      </c>
      <c r="G34" s="47" t="s">
        <v>4669</v>
      </c>
      <c r="H34" s="51"/>
      <c r="I34" s="51"/>
      <c r="J34" s="51"/>
    </row>
    <row r="35" spans="1:10" ht="23.5" customHeight="1">
      <c r="A35" s="47" t="s">
        <v>4620</v>
      </c>
      <c r="B35" s="51"/>
      <c r="C35" s="51"/>
      <c r="D35" s="47" t="s">
        <v>263</v>
      </c>
      <c r="E35" s="47" t="s">
        <v>4670</v>
      </c>
      <c r="F35" s="47" t="s">
        <v>4605</v>
      </c>
      <c r="G35" s="47" t="s">
        <v>4671</v>
      </c>
      <c r="H35" s="51"/>
      <c r="I35" s="51"/>
      <c r="J35" s="51"/>
    </row>
    <row r="36" spans="1:10" ht="23.5" customHeight="1">
      <c r="A36" s="47" t="s">
        <v>4631</v>
      </c>
      <c r="B36" s="51"/>
      <c r="C36" s="51"/>
      <c r="D36" s="47" t="s">
        <v>263</v>
      </c>
      <c r="E36" s="47" t="s">
        <v>4672</v>
      </c>
      <c r="F36" s="47" t="s">
        <v>4605</v>
      </c>
      <c r="G36" s="47" t="s">
        <v>4673</v>
      </c>
      <c r="H36" s="51"/>
      <c r="I36" s="51"/>
      <c r="J36" s="51"/>
    </row>
    <row r="37" spans="1:10" ht="23.5" customHeight="1">
      <c r="A37" s="47" t="s">
        <v>4620</v>
      </c>
      <c r="B37" s="51"/>
      <c r="C37" s="51"/>
      <c r="D37" s="47"/>
      <c r="E37" s="47" t="s">
        <v>4674</v>
      </c>
      <c r="F37" s="47" t="s">
        <v>4605</v>
      </c>
      <c r="G37" s="47" t="s">
        <v>4675</v>
      </c>
      <c r="H37" s="51"/>
      <c r="I37" s="51"/>
      <c r="J37" s="51"/>
    </row>
    <row r="38" spans="1:10" ht="23.5" customHeight="1">
      <c r="A38" s="47" t="s">
        <v>4631</v>
      </c>
      <c r="B38" s="51"/>
      <c r="C38" s="51"/>
      <c r="D38" s="47"/>
      <c r="E38" s="47" t="s">
        <v>4676</v>
      </c>
      <c r="F38" s="47" t="s">
        <v>4605</v>
      </c>
      <c r="G38" s="47" t="s">
        <v>4677</v>
      </c>
      <c r="H38" s="51"/>
      <c r="I38" s="51"/>
      <c r="J38" s="51"/>
    </row>
    <row r="39" spans="1:10" ht="23.5" customHeight="1">
      <c r="A39" s="47" t="s">
        <v>4663</v>
      </c>
      <c r="B39" s="51"/>
      <c r="C39" s="51"/>
      <c r="D39" s="47"/>
      <c r="E39" s="47" t="s">
        <v>4678</v>
      </c>
      <c r="F39" s="47" t="s">
        <v>4605</v>
      </c>
      <c r="G39" s="47" t="s">
        <v>1443</v>
      </c>
      <c r="H39" s="51"/>
      <c r="I39" s="51"/>
      <c r="J39" s="51"/>
    </row>
    <row r="40" spans="1:10" ht="23.5" customHeight="1">
      <c r="A40" s="47" t="s">
        <v>4620</v>
      </c>
      <c r="B40" s="51"/>
      <c r="C40" s="51"/>
      <c r="D40" s="47"/>
      <c r="E40" s="440" t="s">
        <v>4679</v>
      </c>
      <c r="F40" s="47" t="s">
        <v>4605</v>
      </c>
      <c r="G40" s="47" t="s">
        <v>4680</v>
      </c>
      <c r="H40" s="51"/>
      <c r="I40" s="51"/>
      <c r="J40" s="51"/>
    </row>
    <row r="41" spans="1:10" ht="23.5" customHeight="1">
      <c r="A41" s="47" t="s">
        <v>4653</v>
      </c>
      <c r="B41" s="51"/>
      <c r="C41" s="51"/>
      <c r="D41" s="47"/>
      <c r="E41" s="440" t="s">
        <v>4681</v>
      </c>
      <c r="F41" s="47" t="s">
        <v>4605</v>
      </c>
      <c r="G41" s="47" t="s">
        <v>4682</v>
      </c>
      <c r="H41" s="51"/>
      <c r="I41" s="51"/>
      <c r="J41" s="51"/>
    </row>
    <row r="42" spans="1:10" ht="23.5" customHeight="1">
      <c r="A42" s="47" t="s">
        <v>4620</v>
      </c>
      <c r="B42" s="51"/>
      <c r="C42" s="51"/>
      <c r="D42" s="47"/>
      <c r="E42" s="47" t="s">
        <v>4683</v>
      </c>
      <c r="F42" s="47" t="s">
        <v>4605</v>
      </c>
      <c r="G42" s="47" t="s">
        <v>4684</v>
      </c>
      <c r="H42" s="51"/>
      <c r="I42" s="51"/>
      <c r="J42" s="51"/>
    </row>
    <row r="43" spans="1:10" ht="23.5" customHeight="1">
      <c r="A43" s="47" t="s">
        <v>4685</v>
      </c>
      <c r="B43" s="51"/>
      <c r="C43" s="51"/>
      <c r="D43" s="47"/>
      <c r="E43" s="440" t="s">
        <v>4686</v>
      </c>
      <c r="F43" s="47" t="s">
        <v>4605</v>
      </c>
      <c r="G43" s="47" t="s">
        <v>4671</v>
      </c>
      <c r="H43" s="51"/>
      <c r="I43" s="51"/>
      <c r="J43" s="51"/>
    </row>
    <row r="44" spans="1:10" ht="23.5" customHeight="1">
      <c r="A44" s="47" t="s">
        <v>4685</v>
      </c>
      <c r="B44" s="51"/>
      <c r="C44" s="51"/>
      <c r="D44" s="47"/>
      <c r="E44" s="440" t="s">
        <v>4687</v>
      </c>
      <c r="F44" s="47" t="s">
        <v>4605</v>
      </c>
      <c r="G44" s="47" t="s">
        <v>4688</v>
      </c>
      <c r="H44" s="51"/>
      <c r="I44" s="51"/>
      <c r="J44" s="51"/>
    </row>
    <row r="45" spans="1:10" ht="23.5" customHeight="1">
      <c r="A45" s="47" t="s">
        <v>4685</v>
      </c>
      <c r="B45" s="51"/>
      <c r="C45" s="51"/>
      <c r="D45" s="47"/>
      <c r="E45" s="440" t="s">
        <v>4689</v>
      </c>
      <c r="F45" s="47" t="s">
        <v>4605</v>
      </c>
      <c r="G45" s="47" t="s">
        <v>4690</v>
      </c>
      <c r="H45" s="51"/>
      <c r="I45" s="51"/>
      <c r="J45" s="51"/>
    </row>
    <row r="46" spans="1:10" ht="23.5" customHeight="1">
      <c r="A46" s="47" t="s">
        <v>4685</v>
      </c>
      <c r="B46" s="51"/>
      <c r="C46" s="51"/>
      <c r="D46" s="47"/>
      <c r="E46" s="440" t="s">
        <v>4691</v>
      </c>
      <c r="F46" s="47" t="s">
        <v>4605</v>
      </c>
      <c r="G46" s="47" t="s">
        <v>4692</v>
      </c>
      <c r="H46" s="51"/>
      <c r="I46" s="51"/>
      <c r="J46" s="51"/>
    </row>
    <row r="47" spans="1:10" ht="23.5" customHeight="1">
      <c r="A47" s="47" t="s">
        <v>4685</v>
      </c>
      <c r="B47" s="51"/>
      <c r="C47" s="51"/>
      <c r="D47" s="47"/>
      <c r="E47" s="440" t="s">
        <v>4693</v>
      </c>
      <c r="F47" s="47" t="s">
        <v>4605</v>
      </c>
      <c r="G47" s="47" t="s">
        <v>4694</v>
      </c>
      <c r="H47" s="51"/>
      <c r="I47" s="51"/>
      <c r="J47" s="51"/>
    </row>
    <row r="48" spans="1:10" ht="23.5" customHeight="1">
      <c r="A48" s="47" t="s">
        <v>4620</v>
      </c>
      <c r="B48" s="51"/>
      <c r="C48" s="51"/>
      <c r="D48" s="47"/>
      <c r="E48" s="440" t="s">
        <v>4695</v>
      </c>
      <c r="F48" s="47" t="s">
        <v>4605</v>
      </c>
      <c r="G48" s="47" t="s">
        <v>4696</v>
      </c>
      <c r="H48" s="51"/>
      <c r="I48" s="51"/>
      <c r="J48" s="51"/>
    </row>
    <row r="49" spans="1:10" ht="23.5" customHeight="1">
      <c r="A49" s="47" t="s">
        <v>4620</v>
      </c>
      <c r="B49" s="51"/>
      <c r="C49" s="51"/>
      <c r="D49" s="47"/>
      <c r="E49" s="440" t="s">
        <v>4697</v>
      </c>
      <c r="F49" s="47" t="s">
        <v>4605</v>
      </c>
      <c r="G49" s="47" t="s">
        <v>4698</v>
      </c>
      <c r="H49" s="51"/>
      <c r="I49" s="51"/>
      <c r="J49" s="51"/>
    </row>
    <row r="50" spans="1:10" ht="23.5" customHeight="1">
      <c r="A50" s="47" t="s">
        <v>4620</v>
      </c>
      <c r="B50" s="51"/>
      <c r="C50" s="51"/>
      <c r="D50" s="47"/>
      <c r="E50" s="440" t="s">
        <v>4699</v>
      </c>
      <c r="F50" s="47" t="s">
        <v>4605</v>
      </c>
      <c r="G50" s="47" t="s">
        <v>4700</v>
      </c>
      <c r="H50" s="51"/>
      <c r="I50" s="51"/>
      <c r="J50" s="51"/>
    </row>
    <row r="51" spans="1:10" ht="23.5" customHeight="1">
      <c r="A51" s="47" t="s">
        <v>4620</v>
      </c>
      <c r="B51" s="51"/>
      <c r="C51" s="51"/>
      <c r="D51" s="47"/>
      <c r="E51" s="440" t="s">
        <v>4701</v>
      </c>
      <c r="F51" s="47" t="s">
        <v>4605</v>
      </c>
      <c r="G51" s="47" t="s">
        <v>4702</v>
      </c>
      <c r="H51" s="51"/>
      <c r="I51" s="51"/>
      <c r="J51" s="51"/>
    </row>
    <row r="52" spans="1:10" ht="23.5" customHeight="1">
      <c r="A52" s="47" t="s">
        <v>4620</v>
      </c>
      <c r="B52" s="51"/>
      <c r="C52" s="51"/>
      <c r="D52" s="47"/>
      <c r="E52" s="440" t="s">
        <v>4703</v>
      </c>
      <c r="F52" s="47" t="s">
        <v>4605</v>
      </c>
      <c r="G52" s="47" t="s">
        <v>4704</v>
      </c>
      <c r="H52" s="51"/>
      <c r="I52" s="51"/>
      <c r="J52" s="51"/>
    </row>
    <row r="53" spans="1:10" ht="23.5" customHeight="1">
      <c r="A53" s="47" t="s">
        <v>4620</v>
      </c>
      <c r="B53" s="51"/>
      <c r="C53" s="51"/>
      <c r="D53" s="47"/>
      <c r="E53" s="47" t="s">
        <v>4705</v>
      </c>
      <c r="F53" s="47" t="s">
        <v>4605</v>
      </c>
      <c r="G53" s="47" t="s">
        <v>4706</v>
      </c>
      <c r="H53" s="51"/>
      <c r="I53" s="51"/>
      <c r="J53" s="51"/>
    </row>
  </sheetData>
  <conditionalFormatting sqref="G1:G53">
    <cfRule type="duplicateValues" dxfId="31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56DE7-2A27-4666-88B4-55F59D4DBDF9}">
  <sheetPr>
    <tabColor theme="7"/>
  </sheetPr>
  <dimension ref="A1:K58"/>
  <sheetViews>
    <sheetView topLeftCell="A41" zoomScale="70" zoomScaleNormal="70" workbookViewId="0">
      <selection activeCell="E43" sqref="E43"/>
    </sheetView>
  </sheetViews>
  <sheetFormatPr defaultColWidth="14" defaultRowHeight="97.4" customHeight="1"/>
  <cols>
    <col min="1" max="1" width="30.81640625" customWidth="1"/>
    <col min="2" max="2" width="26.1796875" customWidth="1"/>
    <col min="3" max="3" width="15.1796875" customWidth="1"/>
    <col min="4" max="4" width="16.453125" bestFit="1" customWidth="1"/>
    <col min="5" max="5" width="52.54296875" customWidth="1"/>
    <col min="6" max="6" width="21.453125" bestFit="1" customWidth="1"/>
    <col min="7" max="7" width="24.1796875" bestFit="1" customWidth="1"/>
    <col min="8" max="8" width="18.54296875" bestFit="1" customWidth="1"/>
    <col min="9" max="9" width="22.54296875" bestFit="1" customWidth="1"/>
    <col min="10" max="10" width="25.453125" bestFit="1" customWidth="1"/>
  </cols>
  <sheetData>
    <row r="1" spans="1:10" ht="14.5">
      <c r="A1" s="97" t="s">
        <v>1405</v>
      </c>
    </row>
    <row r="2" spans="1:10" ht="138" customHeight="1">
      <c r="A2" s="96" t="s">
        <v>4707</v>
      </c>
    </row>
    <row r="3" spans="1:10" ht="14.5">
      <c r="A3" s="78" t="s">
        <v>73</v>
      </c>
      <c r="B3" s="79" t="s">
        <v>74</v>
      </c>
      <c r="C3" s="5" t="s">
        <v>75</v>
      </c>
      <c r="D3" s="6" t="s">
        <v>76</v>
      </c>
      <c r="E3" s="80" t="s">
        <v>77</v>
      </c>
      <c r="F3" s="6" t="s">
        <v>78</v>
      </c>
      <c r="G3" s="6" t="s">
        <v>79</v>
      </c>
      <c r="H3" s="5" t="s">
        <v>80</v>
      </c>
      <c r="I3" s="6" t="s">
        <v>683</v>
      </c>
      <c r="J3" s="6" t="s">
        <v>2225</v>
      </c>
    </row>
    <row r="4" spans="1:10" ht="14.5">
      <c r="A4" s="41" t="s">
        <v>1408</v>
      </c>
      <c r="B4" s="41" t="s">
        <v>1122</v>
      </c>
      <c r="C4" s="41" t="s">
        <v>1292</v>
      </c>
      <c r="D4" s="41" t="s">
        <v>686</v>
      </c>
      <c r="E4" s="41"/>
      <c r="F4" s="41" t="s">
        <v>1405</v>
      </c>
      <c r="G4" s="41" t="s">
        <v>1122</v>
      </c>
      <c r="H4" s="41" t="s">
        <v>1292</v>
      </c>
      <c r="I4" s="41" t="s">
        <v>1122</v>
      </c>
      <c r="J4" s="41"/>
    </row>
    <row r="5" spans="1:10" ht="14.5">
      <c r="A5" s="41" t="s">
        <v>1408</v>
      </c>
      <c r="B5" s="41" t="s">
        <v>1412</v>
      </c>
      <c r="C5" s="41" t="s">
        <v>351</v>
      </c>
      <c r="D5" s="41" t="s">
        <v>686</v>
      </c>
      <c r="E5" s="41"/>
      <c r="F5" s="41" t="s">
        <v>1405</v>
      </c>
      <c r="G5" s="41" t="s">
        <v>1412</v>
      </c>
      <c r="H5" s="41" t="s">
        <v>351</v>
      </c>
      <c r="I5" s="41" t="s">
        <v>1412</v>
      </c>
      <c r="J5" s="41"/>
    </row>
    <row r="6" spans="1:10" ht="34.4" customHeight="1"/>
    <row r="7" spans="1:10" ht="14.5">
      <c r="A7" s="97" t="s">
        <v>1413</v>
      </c>
    </row>
    <row r="8" spans="1:10" ht="129.65" customHeight="1">
      <c r="A8" s="96" t="s">
        <v>1414</v>
      </c>
    </row>
    <row r="9" spans="1:10" ht="34.4" customHeight="1">
      <c r="A9" s="78" t="s">
        <v>73</v>
      </c>
      <c r="B9" s="79" t="s">
        <v>74</v>
      </c>
      <c r="C9" s="5" t="s">
        <v>75</v>
      </c>
      <c r="D9" s="6" t="s">
        <v>76</v>
      </c>
      <c r="E9" s="80" t="s">
        <v>77</v>
      </c>
      <c r="F9" s="6" t="s">
        <v>78</v>
      </c>
      <c r="G9" s="6" t="s">
        <v>79</v>
      </c>
      <c r="H9" s="5" t="s">
        <v>80</v>
      </c>
      <c r="I9" s="6" t="s">
        <v>683</v>
      </c>
      <c r="J9" s="6" t="s">
        <v>2225</v>
      </c>
    </row>
    <row r="10" spans="1:10" ht="14.5">
      <c r="A10" s="41" t="s">
        <v>1408</v>
      </c>
      <c r="B10" s="41" t="s">
        <v>87</v>
      </c>
      <c r="C10" s="41" t="s">
        <v>351</v>
      </c>
      <c r="D10" s="41" t="s">
        <v>686</v>
      </c>
      <c r="E10" s="41"/>
      <c r="F10" s="98" t="s">
        <v>1413</v>
      </c>
      <c r="G10" s="41" t="s">
        <v>87</v>
      </c>
      <c r="H10" s="41" t="s">
        <v>351</v>
      </c>
      <c r="I10" s="41" t="s">
        <v>1122</v>
      </c>
      <c r="J10" s="41"/>
    </row>
    <row r="11" spans="1:10" ht="14.5">
      <c r="A11" s="41" t="s">
        <v>1408</v>
      </c>
      <c r="B11" s="41" t="s">
        <v>1122</v>
      </c>
      <c r="C11" s="41" t="s">
        <v>1292</v>
      </c>
      <c r="D11" s="41" t="s">
        <v>686</v>
      </c>
      <c r="E11" s="41"/>
      <c r="F11" s="98" t="s">
        <v>1413</v>
      </c>
      <c r="G11" s="41" t="s">
        <v>1412</v>
      </c>
      <c r="H11" s="41" t="s">
        <v>1292</v>
      </c>
      <c r="I11" s="41" t="s">
        <v>1412</v>
      </c>
      <c r="J11" s="41"/>
    </row>
    <row r="12" spans="1:10" ht="14.5">
      <c r="A12" s="41" t="s">
        <v>1408</v>
      </c>
      <c r="B12" s="41" t="s">
        <v>1415</v>
      </c>
      <c r="C12" s="41" t="s">
        <v>351</v>
      </c>
      <c r="D12" s="41" t="s">
        <v>686</v>
      </c>
      <c r="E12" s="41"/>
      <c r="F12" s="98" t="s">
        <v>1413</v>
      </c>
      <c r="G12" s="41" t="s">
        <v>1415</v>
      </c>
      <c r="H12" s="41" t="s">
        <v>351</v>
      </c>
      <c r="I12" s="41" t="s">
        <v>1415</v>
      </c>
      <c r="J12" s="41"/>
    </row>
    <row r="13" spans="1:10" ht="28.75" customHeight="1"/>
    <row r="14" spans="1:10" ht="28.75" customHeight="1"/>
    <row r="15" spans="1:10" ht="39" customHeight="1">
      <c r="A15" s="50" t="s">
        <v>1477</v>
      </c>
    </row>
    <row r="16" spans="1:10" ht="14.5">
      <c r="A16" s="78" t="s">
        <v>73</v>
      </c>
      <c r="B16" s="79" t="s">
        <v>74</v>
      </c>
      <c r="C16" s="5" t="s">
        <v>75</v>
      </c>
      <c r="D16" s="6" t="s">
        <v>76</v>
      </c>
      <c r="E16" s="80" t="s">
        <v>77</v>
      </c>
      <c r="F16" s="6" t="s">
        <v>78</v>
      </c>
      <c r="G16" s="6" t="s">
        <v>79</v>
      </c>
      <c r="H16" s="5" t="s">
        <v>80</v>
      </c>
      <c r="I16" s="6" t="s">
        <v>683</v>
      </c>
      <c r="J16" s="6" t="s">
        <v>2225</v>
      </c>
    </row>
    <row r="17" spans="1:10" ht="97.4" customHeight="1">
      <c r="A17" t="s">
        <v>1417</v>
      </c>
      <c r="B17" s="47" t="s">
        <v>3097</v>
      </c>
      <c r="C17" s="47" t="s">
        <v>262</v>
      </c>
      <c r="D17" s="47" t="s">
        <v>686</v>
      </c>
      <c r="E17" s="47"/>
      <c r="F17" s="47" t="s">
        <v>1477</v>
      </c>
      <c r="G17" s="47" t="s">
        <v>3099</v>
      </c>
      <c r="H17" s="47" t="s">
        <v>262</v>
      </c>
      <c r="I17" s="47" t="s">
        <v>1478</v>
      </c>
      <c r="J17" s="7"/>
    </row>
    <row r="18" spans="1:10" ht="97.4" customHeight="1">
      <c r="A18" s="47" t="s">
        <v>1417</v>
      </c>
      <c r="B18" t="s">
        <v>3104</v>
      </c>
      <c r="C18" s="47" t="s">
        <v>267</v>
      </c>
      <c r="D18" s="47" t="s">
        <v>686</v>
      </c>
      <c r="E18" s="47"/>
      <c r="F18" s="47" t="s">
        <v>1477</v>
      </c>
      <c r="G18" s="47" t="s">
        <v>916</v>
      </c>
      <c r="H18" s="47" t="s">
        <v>267</v>
      </c>
      <c r="I18" s="47" t="s">
        <v>1480</v>
      </c>
      <c r="J18" s="7"/>
    </row>
    <row r="19" spans="1:10" ht="97.4" customHeight="1">
      <c r="A19" s="47" t="s">
        <v>1417</v>
      </c>
      <c r="B19" s="47" t="s">
        <v>3107</v>
      </c>
      <c r="C19" s="47" t="s">
        <v>267</v>
      </c>
      <c r="D19" s="47" t="s">
        <v>686</v>
      </c>
      <c r="E19" s="47"/>
      <c r="F19" s="47" t="s">
        <v>1477</v>
      </c>
      <c r="G19" s="47" t="s">
        <v>927</v>
      </c>
      <c r="H19" s="47" t="s">
        <v>267</v>
      </c>
      <c r="I19" s="47" t="s">
        <v>1481</v>
      </c>
      <c r="J19" s="7"/>
    </row>
    <row r="20" spans="1:10" ht="97.4" customHeight="1">
      <c r="A20" s="47" t="s">
        <v>1417</v>
      </c>
      <c r="B20" s="47"/>
      <c r="C20" s="47"/>
      <c r="D20" s="47" t="s">
        <v>263</v>
      </c>
      <c r="E20" s="47" t="s">
        <v>4708</v>
      </c>
      <c r="F20" s="47" t="s">
        <v>1477</v>
      </c>
      <c r="G20" s="47" t="s">
        <v>1503</v>
      </c>
      <c r="H20" s="47" t="s">
        <v>351</v>
      </c>
      <c r="I20" s="47" t="s">
        <v>1503</v>
      </c>
      <c r="J20" s="47" t="s">
        <v>1436</v>
      </c>
    </row>
    <row r="21" spans="1:10" ht="97.4" customHeight="1">
      <c r="A21" s="47" t="s">
        <v>1417</v>
      </c>
      <c r="B21" s="47"/>
      <c r="C21" s="47"/>
      <c r="D21" s="47" t="s">
        <v>263</v>
      </c>
      <c r="E21" s="47" t="s">
        <v>4709</v>
      </c>
      <c r="F21" s="47" t="s">
        <v>1477</v>
      </c>
      <c r="G21" s="47" t="s">
        <v>4710</v>
      </c>
      <c r="H21" s="47"/>
      <c r="I21" s="47"/>
      <c r="J21" s="47" t="s">
        <v>1436</v>
      </c>
    </row>
    <row r="22" spans="1:10" ht="97.4" customHeight="1">
      <c r="A22" s="47" t="s">
        <v>1417</v>
      </c>
      <c r="B22" s="47"/>
      <c r="C22" s="47"/>
      <c r="D22" s="47" t="s">
        <v>263</v>
      </c>
      <c r="E22" s="47" t="s">
        <v>1420</v>
      </c>
      <c r="F22" s="47" t="s">
        <v>1477</v>
      </c>
      <c r="G22" s="47" t="s">
        <v>4711</v>
      </c>
      <c r="H22" s="47"/>
      <c r="I22" s="47"/>
      <c r="J22" s="47" t="s">
        <v>1436</v>
      </c>
    </row>
    <row r="23" spans="1:10" ht="97.4" customHeight="1">
      <c r="A23" s="47" t="s">
        <v>1417</v>
      </c>
      <c r="B23" s="47"/>
      <c r="C23" s="47"/>
      <c r="D23" s="47" t="s">
        <v>263</v>
      </c>
      <c r="E23" s="47" t="s">
        <v>1427</v>
      </c>
      <c r="F23" s="47" t="s">
        <v>1477</v>
      </c>
      <c r="G23" s="47" t="s">
        <v>4712</v>
      </c>
      <c r="H23" s="47"/>
      <c r="I23" s="47"/>
      <c r="J23" s="47" t="s">
        <v>1436</v>
      </c>
    </row>
    <row r="24" spans="1:10" ht="97.4" customHeight="1">
      <c r="A24" s="47" t="s">
        <v>1417</v>
      </c>
      <c r="B24" s="47"/>
      <c r="C24" s="47"/>
      <c r="D24" s="47" t="s">
        <v>263</v>
      </c>
      <c r="E24" s="47" t="s">
        <v>4713</v>
      </c>
      <c r="F24" s="47" t="s">
        <v>1477</v>
      </c>
      <c r="G24" s="47" t="s">
        <v>886</v>
      </c>
      <c r="H24" s="47"/>
      <c r="I24" s="47"/>
      <c r="J24" s="47" t="s">
        <v>1436</v>
      </c>
    </row>
    <row r="25" spans="1:10" ht="97.4" customHeight="1">
      <c r="A25" s="47" t="s">
        <v>1417</v>
      </c>
      <c r="B25" s="47"/>
      <c r="C25" s="47"/>
      <c r="D25" s="47" t="s">
        <v>93</v>
      </c>
      <c r="E25" s="47" t="s">
        <v>892</v>
      </c>
      <c r="F25" s="47" t="s">
        <v>1477</v>
      </c>
      <c r="G25" s="47" t="s">
        <v>900</v>
      </c>
      <c r="H25" s="47"/>
      <c r="I25" s="47"/>
      <c r="J25" s="47" t="s">
        <v>1436</v>
      </c>
    </row>
    <row r="26" spans="1:10" ht="97.4" customHeight="1">
      <c r="A26" s="47" t="s">
        <v>1417</v>
      </c>
      <c r="B26" s="47"/>
      <c r="C26" s="47"/>
      <c r="D26" s="47"/>
      <c r="E26" s="47" t="s">
        <v>4714</v>
      </c>
      <c r="F26" s="47" t="s">
        <v>1477</v>
      </c>
      <c r="G26" s="47" t="s">
        <v>4715</v>
      </c>
      <c r="H26" s="47"/>
      <c r="I26" s="47"/>
      <c r="J26" s="47" t="s">
        <v>1436</v>
      </c>
    </row>
    <row r="27" spans="1:10" ht="97.4" customHeight="1">
      <c r="A27" s="47" t="s">
        <v>1417</v>
      </c>
      <c r="B27" s="47"/>
      <c r="C27" s="47"/>
      <c r="D27" s="47" t="s">
        <v>263</v>
      </c>
      <c r="E27" s="47" t="s">
        <v>4716</v>
      </c>
      <c r="F27" s="47" t="s">
        <v>1477</v>
      </c>
      <c r="G27" s="47" t="s">
        <v>888</v>
      </c>
      <c r="H27" s="47"/>
      <c r="I27" s="47"/>
      <c r="J27" s="47" t="s">
        <v>1436</v>
      </c>
    </row>
    <row r="28" spans="1:10" ht="97.4" customHeight="1">
      <c r="A28" s="47" t="s">
        <v>1417</v>
      </c>
      <c r="B28" s="47"/>
      <c r="C28" s="47"/>
      <c r="D28" s="47"/>
      <c r="E28" s="47" t="s">
        <v>902</v>
      </c>
      <c r="F28" s="47" t="s">
        <v>1477</v>
      </c>
      <c r="G28" s="47" t="s">
        <v>902</v>
      </c>
      <c r="H28" s="47"/>
      <c r="I28" s="47"/>
      <c r="J28" s="47" t="s">
        <v>1436</v>
      </c>
    </row>
    <row r="29" spans="1:10" ht="97.4" customHeight="1">
      <c r="A29" s="47" t="s">
        <v>1417</v>
      </c>
      <c r="B29" s="47"/>
      <c r="C29" s="47"/>
      <c r="D29" s="47"/>
      <c r="E29" s="47" t="s">
        <v>4717</v>
      </c>
      <c r="F29" s="47" t="s">
        <v>1477</v>
      </c>
      <c r="G29" s="47" t="s">
        <v>4718</v>
      </c>
      <c r="H29" s="47"/>
      <c r="I29" s="47"/>
      <c r="J29" s="47" t="s">
        <v>1436</v>
      </c>
    </row>
    <row r="30" spans="1:10" ht="97.4" customHeight="1">
      <c r="A30" s="47" t="s">
        <v>1417</v>
      </c>
      <c r="B30" s="41"/>
      <c r="C30" s="41"/>
      <c r="D30" s="41"/>
      <c r="E30" s="47" t="s">
        <v>4719</v>
      </c>
      <c r="F30" s="11" t="s">
        <v>1477</v>
      </c>
      <c r="G30" s="41" t="s">
        <v>4720</v>
      </c>
      <c r="H30" s="41"/>
      <c r="I30" s="41"/>
      <c r="J30" s="47" t="s">
        <v>1436</v>
      </c>
    </row>
    <row r="31" spans="1:10" ht="97.4" customHeight="1">
      <c r="A31" s="47" t="s">
        <v>1417</v>
      </c>
      <c r="B31" s="47"/>
      <c r="C31" s="47"/>
      <c r="D31" s="47"/>
      <c r="E31" s="47" t="s">
        <v>4721</v>
      </c>
      <c r="F31" s="47" t="s">
        <v>1477</v>
      </c>
      <c r="G31" s="47" t="s">
        <v>4722</v>
      </c>
      <c r="H31" s="47"/>
      <c r="I31" s="47"/>
      <c r="J31" s="47" t="s">
        <v>1436</v>
      </c>
    </row>
    <row r="32" spans="1:10" ht="97.4" customHeight="1">
      <c r="A32" s="47" t="s">
        <v>1482</v>
      </c>
      <c r="B32" s="41"/>
      <c r="C32" s="41"/>
      <c r="D32" s="41"/>
      <c r="E32" s="47" t="s">
        <v>4723</v>
      </c>
      <c r="F32" s="11" t="s">
        <v>1477</v>
      </c>
      <c r="G32" s="11" t="s">
        <v>4724</v>
      </c>
      <c r="H32" s="41"/>
      <c r="I32" s="41"/>
      <c r="J32" s="47" t="s">
        <v>1444</v>
      </c>
    </row>
    <row r="33" spans="1:10" ht="103.5">
      <c r="A33" s="47" t="s">
        <v>1482</v>
      </c>
      <c r="B33" s="41"/>
      <c r="C33" s="41"/>
      <c r="D33" s="41"/>
      <c r="E33" s="47" t="s">
        <v>4725</v>
      </c>
      <c r="F33" s="11" t="s">
        <v>1477</v>
      </c>
      <c r="G33" s="11" t="s">
        <v>4726</v>
      </c>
      <c r="H33" s="41"/>
      <c r="I33" s="41"/>
      <c r="J33" s="47" t="s">
        <v>1444</v>
      </c>
    </row>
    <row r="34" spans="1:10" ht="97.4" customHeight="1">
      <c r="A34" s="47" t="s">
        <v>1482</v>
      </c>
      <c r="B34" s="41"/>
      <c r="C34" s="41"/>
      <c r="D34" s="41"/>
      <c r="E34" s="47" t="s">
        <v>4727</v>
      </c>
      <c r="F34" s="11" t="s">
        <v>1477</v>
      </c>
      <c r="G34" s="11" t="s">
        <v>4728</v>
      </c>
      <c r="H34" s="41"/>
      <c r="I34" s="41"/>
      <c r="J34" s="47" t="s">
        <v>1444</v>
      </c>
    </row>
    <row r="35" spans="1:10" ht="97.4" customHeight="1">
      <c r="A35" s="47" t="s">
        <v>1417</v>
      </c>
      <c r="B35" s="11" t="s">
        <v>464</v>
      </c>
      <c r="C35" s="11" t="s">
        <v>351</v>
      </c>
      <c r="D35" s="11" t="s">
        <v>93</v>
      </c>
      <c r="E35" s="41"/>
      <c r="F35" s="11" t="s">
        <v>1477</v>
      </c>
      <c r="G35" s="11" t="s">
        <v>464</v>
      </c>
      <c r="H35" s="41"/>
      <c r="I35" s="41"/>
      <c r="J35" s="47" t="s">
        <v>1444</v>
      </c>
    </row>
    <row r="36" spans="1:10" ht="97.4" customHeight="1">
      <c r="A36" s="47" t="s">
        <v>1417</v>
      </c>
      <c r="B36" s="11" t="s">
        <v>1666</v>
      </c>
      <c r="C36" s="11" t="s">
        <v>351</v>
      </c>
      <c r="D36" s="11" t="s">
        <v>93</v>
      </c>
      <c r="E36" s="41"/>
      <c r="F36" s="11" t="s">
        <v>1477</v>
      </c>
      <c r="G36" s="11" t="s">
        <v>1666</v>
      </c>
      <c r="H36" s="41"/>
      <c r="I36" s="41"/>
      <c r="J36" s="47" t="s">
        <v>1444</v>
      </c>
    </row>
    <row r="37" spans="1:10" ht="97.4" customHeight="1">
      <c r="A37" s="47" t="s">
        <v>1417</v>
      </c>
      <c r="B37" s="11" t="s">
        <v>1673</v>
      </c>
      <c r="C37" s="11" t="s">
        <v>351</v>
      </c>
      <c r="D37" s="11" t="s">
        <v>93</v>
      </c>
      <c r="E37" s="41"/>
      <c r="F37" s="11" t="s">
        <v>1477</v>
      </c>
      <c r="G37" s="11" t="s">
        <v>1673</v>
      </c>
      <c r="H37" s="41"/>
      <c r="I37" s="41"/>
      <c r="J37" s="47" t="s">
        <v>1444</v>
      </c>
    </row>
    <row r="38" spans="1:10" ht="97.4" customHeight="1">
      <c r="A38" s="47" t="s">
        <v>1482</v>
      </c>
      <c r="B38" s="41"/>
      <c r="C38" s="41"/>
      <c r="D38" s="41"/>
      <c r="E38" s="82" t="s">
        <v>4729</v>
      </c>
      <c r="F38" s="11" t="s">
        <v>1477</v>
      </c>
      <c r="G38" s="11" t="s">
        <v>1509</v>
      </c>
      <c r="H38" s="41"/>
      <c r="I38" s="41"/>
      <c r="J38" s="47" t="s">
        <v>1444</v>
      </c>
    </row>
    <row r="39" spans="1:10" ht="97.4" customHeight="1">
      <c r="A39" s="47" t="s">
        <v>1482</v>
      </c>
      <c r="B39" s="41"/>
      <c r="C39" s="41"/>
      <c r="D39" s="41"/>
      <c r="E39" s="82" t="s">
        <v>4730</v>
      </c>
      <c r="F39" s="11" t="s">
        <v>1477</v>
      </c>
      <c r="G39" s="11" t="s">
        <v>1515</v>
      </c>
      <c r="H39" s="41"/>
      <c r="I39" s="41"/>
      <c r="J39" s="47" t="s">
        <v>1444</v>
      </c>
    </row>
    <row r="40" spans="1:10" ht="97.4" customHeight="1">
      <c r="A40" s="47" t="s">
        <v>1417</v>
      </c>
      <c r="B40" s="83" t="s">
        <v>477</v>
      </c>
      <c r="C40" s="41"/>
      <c r="D40" s="41"/>
      <c r="E40" s="41"/>
      <c r="F40" s="11" t="s">
        <v>1477</v>
      </c>
      <c r="G40" s="11" t="s">
        <v>4731</v>
      </c>
      <c r="H40" s="41"/>
      <c r="I40" s="41"/>
      <c r="J40" s="47" t="s">
        <v>1444</v>
      </c>
    </row>
    <row r="41" spans="1:10" ht="97.4" customHeight="1">
      <c r="A41" s="47" t="s">
        <v>1482</v>
      </c>
      <c r="B41" s="41"/>
      <c r="C41" s="41"/>
      <c r="D41" s="11" t="s">
        <v>263</v>
      </c>
      <c r="E41" s="81" t="s">
        <v>4732</v>
      </c>
      <c r="F41" s="11" t="s">
        <v>1477</v>
      </c>
      <c r="G41" s="11" t="s">
        <v>4733</v>
      </c>
      <c r="H41" s="41"/>
      <c r="I41" s="41"/>
      <c r="J41" s="47" t="s">
        <v>1444</v>
      </c>
    </row>
    <row r="42" spans="1:10" ht="97.4" customHeight="1">
      <c r="A42" s="47" t="s">
        <v>1482</v>
      </c>
      <c r="B42" s="41"/>
      <c r="C42" s="41"/>
      <c r="D42" s="11" t="s">
        <v>263</v>
      </c>
      <c r="E42" s="81" t="s">
        <v>4734</v>
      </c>
      <c r="F42" s="11" t="s">
        <v>1477</v>
      </c>
      <c r="G42" s="11" t="s">
        <v>4735</v>
      </c>
      <c r="H42" s="41"/>
      <c r="I42" s="41"/>
      <c r="J42" s="47" t="s">
        <v>1444</v>
      </c>
    </row>
    <row r="43" spans="1:10" ht="97.4" customHeight="1">
      <c r="A43" s="47" t="s">
        <v>1482</v>
      </c>
      <c r="B43" s="41"/>
      <c r="C43" s="41"/>
      <c r="D43" s="11" t="s">
        <v>263</v>
      </c>
      <c r="E43" s="81" t="s">
        <v>4736</v>
      </c>
      <c r="F43" s="11" t="s">
        <v>1477</v>
      </c>
      <c r="G43" s="11" t="s">
        <v>4737</v>
      </c>
      <c r="H43" s="41"/>
      <c r="I43" s="41"/>
      <c r="J43" s="47" t="s">
        <v>1444</v>
      </c>
    </row>
    <row r="44" spans="1:10" ht="97.4" customHeight="1">
      <c r="A44" s="47" t="s">
        <v>1482</v>
      </c>
      <c r="B44" s="41"/>
      <c r="C44" s="41"/>
      <c r="D44" s="11" t="s">
        <v>263</v>
      </c>
      <c r="E44" s="81" t="s">
        <v>4738</v>
      </c>
      <c r="F44" s="11" t="s">
        <v>1477</v>
      </c>
      <c r="G44" s="11" t="s">
        <v>4739</v>
      </c>
      <c r="H44" s="41"/>
      <c r="I44" s="41"/>
      <c r="J44" s="47" t="s">
        <v>1444</v>
      </c>
    </row>
    <row r="45" spans="1:10" ht="97.4" customHeight="1">
      <c r="A45" s="47" t="s">
        <v>1482</v>
      </c>
      <c r="B45" s="41"/>
      <c r="C45" s="41"/>
      <c r="D45" s="11" t="s">
        <v>263</v>
      </c>
      <c r="E45" s="81" t="s">
        <v>4740</v>
      </c>
      <c r="F45" s="11" t="s">
        <v>1477</v>
      </c>
      <c r="G45" s="11" t="s">
        <v>4741</v>
      </c>
      <c r="H45" s="41"/>
      <c r="I45" s="41"/>
      <c r="J45" s="47" t="s">
        <v>1444</v>
      </c>
    </row>
    <row r="46" spans="1:10" ht="97.4" customHeight="1">
      <c r="A46" s="47" t="s">
        <v>1482</v>
      </c>
      <c r="B46" s="41"/>
      <c r="C46" s="41"/>
      <c r="D46" s="11" t="s">
        <v>263</v>
      </c>
      <c r="E46" s="82" t="s">
        <v>4742</v>
      </c>
      <c r="F46" s="41"/>
      <c r="G46" s="85" t="s">
        <v>4743</v>
      </c>
      <c r="H46" s="41"/>
      <c r="I46" s="41"/>
      <c r="J46" s="47" t="s">
        <v>1444</v>
      </c>
    </row>
    <row r="47" spans="1:10" ht="97.4" customHeight="1">
      <c r="A47" s="47" t="s">
        <v>1482</v>
      </c>
      <c r="B47" s="41"/>
      <c r="C47" s="41"/>
      <c r="D47" s="11" t="s">
        <v>263</v>
      </c>
      <c r="E47" s="83" t="s">
        <v>1564</v>
      </c>
      <c r="F47" s="41"/>
      <c r="G47" s="87" t="s">
        <v>4744</v>
      </c>
      <c r="H47" s="41"/>
      <c r="I47" s="41"/>
      <c r="J47" s="47" t="s">
        <v>1444</v>
      </c>
    </row>
    <row r="48" spans="1:10" ht="97.4" customHeight="1">
      <c r="A48" s="47" t="s">
        <v>1482</v>
      </c>
      <c r="B48" s="41"/>
      <c r="C48" s="41"/>
      <c r="D48" s="11" t="s">
        <v>263</v>
      </c>
      <c r="E48" s="86" t="s">
        <v>4745</v>
      </c>
      <c r="F48" s="41"/>
      <c r="G48" s="88" t="s">
        <v>4746</v>
      </c>
      <c r="H48" s="41"/>
      <c r="I48" s="41"/>
      <c r="J48" s="47" t="s">
        <v>1444</v>
      </c>
    </row>
    <row r="49" spans="1:11" ht="97.4" customHeight="1">
      <c r="A49" s="47" t="s">
        <v>1482</v>
      </c>
      <c r="B49" s="41"/>
      <c r="C49" s="41"/>
      <c r="D49" s="11" t="s">
        <v>263</v>
      </c>
      <c r="E49" s="89" t="s">
        <v>4747</v>
      </c>
      <c r="F49" s="41"/>
      <c r="G49" s="88" t="s">
        <v>1588</v>
      </c>
      <c r="H49" s="41"/>
      <c r="I49" s="41"/>
      <c r="J49" s="47" t="s">
        <v>1444</v>
      </c>
    </row>
    <row r="50" spans="1:11" ht="97.4" customHeight="1">
      <c r="A50" s="47" t="s">
        <v>1482</v>
      </c>
      <c r="B50" s="41"/>
      <c r="C50" s="41"/>
      <c r="D50" s="11" t="s">
        <v>263</v>
      </c>
      <c r="E50" s="89" t="s">
        <v>4748</v>
      </c>
      <c r="F50" s="41"/>
      <c r="G50" s="88" t="s">
        <v>4749</v>
      </c>
      <c r="H50" s="41"/>
      <c r="I50" s="41"/>
      <c r="J50" s="47" t="s">
        <v>1444</v>
      </c>
    </row>
    <row r="51" spans="1:11" ht="97.4" customHeight="1">
      <c r="A51" s="47" t="s">
        <v>1482</v>
      </c>
      <c r="B51" s="41"/>
      <c r="C51" s="41"/>
      <c r="D51" s="11" t="s">
        <v>263</v>
      </c>
      <c r="E51" s="89" t="s">
        <v>4750</v>
      </c>
      <c r="F51" s="41"/>
      <c r="G51" s="88" t="s">
        <v>1594</v>
      </c>
      <c r="H51" s="41"/>
      <c r="I51" s="41"/>
      <c r="J51" s="47" t="s">
        <v>1444</v>
      </c>
    </row>
    <row r="52" spans="1:11" ht="97.4" customHeight="1">
      <c r="A52" s="47" t="s">
        <v>1482</v>
      </c>
      <c r="B52" s="41"/>
      <c r="C52" s="41"/>
      <c r="D52" s="11" t="s">
        <v>263</v>
      </c>
      <c r="E52" s="90" t="s">
        <v>4751</v>
      </c>
      <c r="F52" s="41"/>
      <c r="G52" s="88" t="s">
        <v>4752</v>
      </c>
      <c r="H52" s="41"/>
      <c r="I52" s="41"/>
      <c r="J52" s="47" t="s">
        <v>1444</v>
      </c>
    </row>
    <row r="53" spans="1:11" ht="97.4" customHeight="1">
      <c r="A53" s="65" t="s">
        <v>4753</v>
      </c>
      <c r="B53" s="57"/>
      <c r="C53" s="11" t="s">
        <v>351</v>
      </c>
      <c r="D53" s="11" t="s">
        <v>263</v>
      </c>
      <c r="E53" s="56" t="s">
        <v>4754</v>
      </c>
      <c r="F53" s="57"/>
      <c r="G53" s="95" t="s">
        <v>4755</v>
      </c>
      <c r="H53" s="57"/>
      <c r="I53" s="57"/>
      <c r="J53" s="65" t="s">
        <v>1444</v>
      </c>
      <c r="K53" s="96" t="s">
        <v>4756</v>
      </c>
    </row>
    <row r="54" spans="1:11" ht="97.4" customHeight="1">
      <c r="A54" s="47" t="s">
        <v>1417</v>
      </c>
      <c r="B54" s="83" t="s">
        <v>780</v>
      </c>
      <c r="C54" s="41"/>
      <c r="D54" s="11" t="s">
        <v>686</v>
      </c>
      <c r="E54" s="41"/>
      <c r="F54" s="41"/>
      <c r="G54" s="91" t="s">
        <v>4757</v>
      </c>
      <c r="H54" s="41"/>
      <c r="I54" s="41"/>
      <c r="J54" s="47" t="s">
        <v>1444</v>
      </c>
    </row>
    <row r="55" spans="1:11" ht="97.4" customHeight="1">
      <c r="A55" s="47" t="s">
        <v>1417</v>
      </c>
      <c r="B55" s="83" t="s">
        <v>1612</v>
      </c>
      <c r="C55" s="41"/>
      <c r="D55" s="11" t="s">
        <v>686</v>
      </c>
      <c r="E55" s="41"/>
      <c r="F55" s="41"/>
      <c r="G55" s="91" t="s">
        <v>4758</v>
      </c>
      <c r="H55" s="41"/>
      <c r="I55" s="41"/>
      <c r="J55" s="47" t="s">
        <v>1444</v>
      </c>
    </row>
    <row r="56" spans="1:11" ht="97.4" customHeight="1">
      <c r="A56" s="41"/>
      <c r="B56" s="41"/>
      <c r="C56" s="41"/>
      <c r="D56" s="41"/>
      <c r="E56" s="91" t="s">
        <v>4759</v>
      </c>
      <c r="F56" s="41"/>
      <c r="G56" s="92" t="s">
        <v>4760</v>
      </c>
      <c r="H56" s="41"/>
      <c r="I56" s="41"/>
      <c r="J56" s="47" t="s">
        <v>1444</v>
      </c>
    </row>
    <row r="57" spans="1:11" ht="145">
      <c r="A57" s="41"/>
      <c r="B57" s="41"/>
      <c r="C57" s="11" t="s">
        <v>351</v>
      </c>
      <c r="D57" s="11" t="s">
        <v>263</v>
      </c>
      <c r="E57" s="51" t="s">
        <v>4761</v>
      </c>
      <c r="F57" s="41"/>
      <c r="G57" s="92" t="s">
        <v>4762</v>
      </c>
      <c r="H57" s="41"/>
      <c r="I57" s="41"/>
      <c r="J57" s="47" t="s">
        <v>1444</v>
      </c>
    </row>
    <row r="58" spans="1:11" ht="97.4" customHeight="1">
      <c r="A58" s="41"/>
      <c r="B58" s="83" t="s">
        <v>1624</v>
      </c>
      <c r="C58" s="11" t="s">
        <v>351</v>
      </c>
      <c r="D58" s="11" t="s">
        <v>686</v>
      </c>
      <c r="E58" s="83" t="s">
        <v>1624</v>
      </c>
      <c r="F58" s="41"/>
      <c r="G58" s="93" t="s">
        <v>1626</v>
      </c>
      <c r="H58" s="41"/>
      <c r="I58" s="41"/>
      <c r="J58" s="47" t="s">
        <v>1444</v>
      </c>
    </row>
  </sheetData>
  <conditionalFormatting sqref="B35:B37">
    <cfRule type="duplicateValues" dxfId="30" priority="14"/>
  </conditionalFormatting>
  <conditionalFormatting sqref="C35:C37">
    <cfRule type="duplicateValues" dxfId="29" priority="13"/>
  </conditionalFormatting>
  <conditionalFormatting sqref="C53">
    <cfRule type="duplicateValues" dxfId="28" priority="9"/>
  </conditionalFormatting>
  <conditionalFormatting sqref="C57">
    <cfRule type="duplicateValues" dxfId="27" priority="6"/>
  </conditionalFormatting>
  <conditionalFormatting sqref="C58">
    <cfRule type="duplicateValues" dxfId="26" priority="4"/>
  </conditionalFormatting>
  <conditionalFormatting sqref="D35:D37">
    <cfRule type="duplicateValues" dxfId="25" priority="12"/>
  </conditionalFormatting>
  <conditionalFormatting sqref="D41:D45">
    <cfRule type="duplicateValues" dxfId="24" priority="1"/>
  </conditionalFormatting>
  <conditionalFormatting sqref="D46:D53">
    <cfRule type="duplicateValues" dxfId="23" priority="8"/>
  </conditionalFormatting>
  <conditionalFormatting sqref="D54:D55">
    <cfRule type="duplicateValues" dxfId="22" priority="2"/>
  </conditionalFormatting>
  <conditionalFormatting sqref="D57">
    <cfRule type="duplicateValues" dxfId="21" priority="5"/>
  </conditionalFormatting>
  <conditionalFormatting sqref="D58">
    <cfRule type="duplicateValues" dxfId="20" priority="3"/>
  </conditionalFormatting>
  <conditionalFormatting sqref="E56">
    <cfRule type="duplicateValues" dxfId="19" priority="7"/>
  </conditionalFormatting>
  <conditionalFormatting sqref="G3">
    <cfRule type="duplicateValues" dxfId="18" priority="11"/>
  </conditionalFormatting>
  <conditionalFormatting sqref="G9">
    <cfRule type="duplicateValues" dxfId="17" priority="10"/>
  </conditionalFormatting>
  <conditionalFormatting sqref="G16:G28 G30 G32:G1048576">
    <cfRule type="duplicateValues" dxfId="16" priority="15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A063-9BC3-4CF4-91DB-8671AC935DE7}">
  <sheetPr>
    <tabColor theme="7"/>
  </sheetPr>
  <dimension ref="A1:L107"/>
  <sheetViews>
    <sheetView topLeftCell="C1" workbookViewId="0">
      <pane ySplit="1" topLeftCell="A2" activePane="bottomLeft" state="frozen"/>
      <selection pane="bottomLeft" activeCell="A5" sqref="A5"/>
    </sheetView>
  </sheetViews>
  <sheetFormatPr defaultColWidth="8.81640625" defaultRowHeight="23.5" customHeight="1"/>
  <cols>
    <col min="1" max="1" width="29.81640625" style="84" bestFit="1" customWidth="1"/>
    <col min="2" max="2" width="16.1796875" style="84" bestFit="1" customWidth="1"/>
    <col min="3" max="3" width="19" style="84" bestFit="1" customWidth="1"/>
    <col min="4" max="4" width="15.54296875" style="84" bestFit="1" customWidth="1"/>
    <col min="5" max="5" width="64.453125" style="84" customWidth="1"/>
    <col min="6" max="6" width="34" style="84" customWidth="1"/>
    <col min="7" max="7" width="15.81640625" style="84" bestFit="1" customWidth="1"/>
    <col min="8" max="8" width="18.54296875" style="84" bestFit="1" customWidth="1"/>
    <col min="9" max="9" width="22.54296875" style="84" bestFit="1" customWidth="1"/>
    <col min="10" max="10" width="22.1796875" style="84" bestFit="1" customWidth="1"/>
    <col min="11" max="16384" width="8.81640625" style="84"/>
  </cols>
  <sheetData>
    <row r="1" spans="1:12" s="48" customFormat="1" ht="11.5">
      <c r="A1" s="78" t="s">
        <v>73</v>
      </c>
      <c r="B1" s="79" t="s">
        <v>74</v>
      </c>
      <c r="C1" s="5" t="s">
        <v>75</v>
      </c>
      <c r="D1" s="6" t="s">
        <v>76</v>
      </c>
      <c r="E1" s="80" t="s">
        <v>77</v>
      </c>
      <c r="F1" s="6" t="s">
        <v>78</v>
      </c>
      <c r="G1" s="6" t="s">
        <v>79</v>
      </c>
      <c r="H1" s="5" t="s">
        <v>80</v>
      </c>
      <c r="I1" s="6" t="s">
        <v>683</v>
      </c>
      <c r="J1" s="6" t="s">
        <v>2225</v>
      </c>
      <c r="K1" s="441"/>
      <c r="L1" s="441"/>
    </row>
    <row r="2" spans="1:12" ht="23.5" customHeight="1">
      <c r="A2" s="99" t="s">
        <v>2717</v>
      </c>
      <c r="B2" s="99" t="s">
        <v>87</v>
      </c>
      <c r="C2" s="99" t="s">
        <v>262</v>
      </c>
      <c r="D2" s="99" t="s">
        <v>686</v>
      </c>
      <c r="E2" s="99"/>
      <c r="F2" s="99" t="s">
        <v>2716</v>
      </c>
      <c r="G2" s="99" t="s">
        <v>1242</v>
      </c>
      <c r="H2" s="99" t="s">
        <v>262</v>
      </c>
      <c r="I2" s="99" t="s">
        <v>1478</v>
      </c>
      <c r="J2" s="99"/>
      <c r="K2" s="442"/>
      <c r="L2" s="442"/>
    </row>
    <row r="3" spans="1:12" ht="23.5" customHeight="1">
      <c r="A3" s="99" t="s">
        <v>2717</v>
      </c>
      <c r="B3" s="99" t="s">
        <v>92</v>
      </c>
      <c r="C3" s="99" t="s">
        <v>267</v>
      </c>
      <c r="D3" s="99" t="s">
        <v>686</v>
      </c>
      <c r="E3" s="99"/>
      <c r="F3" s="99" t="s">
        <v>2716</v>
      </c>
      <c r="G3" s="99" t="s">
        <v>310</v>
      </c>
      <c r="H3" s="99" t="s">
        <v>267</v>
      </c>
      <c r="I3" s="99" t="s">
        <v>2718</v>
      </c>
      <c r="J3" s="99"/>
      <c r="K3" s="442"/>
      <c r="L3" s="93"/>
    </row>
    <row r="4" spans="1:12" ht="23.5" customHeight="1">
      <c r="A4" s="99" t="s">
        <v>2717</v>
      </c>
      <c r="B4" s="99" t="s">
        <v>95</v>
      </c>
      <c r="C4" s="99" t="s">
        <v>267</v>
      </c>
      <c r="D4" s="99" t="s">
        <v>686</v>
      </c>
      <c r="E4" s="99"/>
      <c r="F4" s="99" t="s">
        <v>2716</v>
      </c>
      <c r="G4" s="99" t="s">
        <v>312</v>
      </c>
      <c r="H4" s="99" t="s">
        <v>267</v>
      </c>
      <c r="I4" s="99" t="s">
        <v>2719</v>
      </c>
      <c r="J4" s="99"/>
      <c r="K4" s="442"/>
      <c r="L4" s="101"/>
    </row>
    <row r="5" spans="1:12" ht="31.5">
      <c r="A5" s="99" t="s">
        <v>2717</v>
      </c>
      <c r="B5" s="99"/>
      <c r="C5" s="99"/>
      <c r="D5" s="17" t="s">
        <v>263</v>
      </c>
      <c r="E5" s="17" t="s">
        <v>4763</v>
      </c>
      <c r="F5" s="99" t="s">
        <v>2716</v>
      </c>
      <c r="G5" s="99" t="s">
        <v>4764</v>
      </c>
      <c r="H5" s="17" t="s">
        <v>351</v>
      </c>
      <c r="I5" s="99" t="s">
        <v>4764</v>
      </c>
      <c r="J5" s="443" t="s">
        <v>4765</v>
      </c>
      <c r="K5" s="442"/>
      <c r="L5" s="101"/>
    </row>
    <row r="6" spans="1:12" ht="42">
      <c r="A6" s="99" t="s">
        <v>2717</v>
      </c>
      <c r="B6" s="99"/>
      <c r="C6" s="99"/>
      <c r="D6" s="99" t="s">
        <v>263</v>
      </c>
      <c r="E6" s="99" t="s">
        <v>4766</v>
      </c>
      <c r="F6" s="99" t="s">
        <v>2716</v>
      </c>
      <c r="G6" s="99" t="s">
        <v>4767</v>
      </c>
      <c r="H6" s="99" t="s">
        <v>351</v>
      </c>
      <c r="I6" s="99" t="s">
        <v>4767</v>
      </c>
      <c r="J6" s="443" t="s">
        <v>4765</v>
      </c>
      <c r="K6" s="442"/>
      <c r="L6" s="101"/>
    </row>
    <row r="7" spans="1:12" ht="23.5" customHeight="1">
      <c r="A7" s="99" t="s">
        <v>2717</v>
      </c>
      <c r="B7" s="99"/>
      <c r="C7" s="99"/>
      <c r="D7" s="99" t="s">
        <v>263</v>
      </c>
      <c r="E7" s="99" t="s">
        <v>4768</v>
      </c>
      <c r="F7" s="99" t="s">
        <v>2716</v>
      </c>
      <c r="G7" s="99" t="s">
        <v>1527</v>
      </c>
      <c r="H7" s="99" t="s">
        <v>351</v>
      </c>
      <c r="I7" s="99" t="s">
        <v>1527</v>
      </c>
      <c r="J7" s="443" t="s">
        <v>4765</v>
      </c>
      <c r="K7" s="442"/>
      <c r="L7" s="102"/>
    </row>
    <row r="8" spans="1:12" ht="23.5" customHeight="1">
      <c r="A8" s="99" t="s">
        <v>2717</v>
      </c>
      <c r="B8" s="99"/>
      <c r="C8" s="99"/>
      <c r="D8" s="99" t="s">
        <v>263</v>
      </c>
      <c r="E8" s="99" t="s">
        <v>4769</v>
      </c>
      <c r="F8" s="99" t="s">
        <v>2716</v>
      </c>
      <c r="G8" s="99" t="s">
        <v>1575</v>
      </c>
      <c r="H8" s="99" t="s">
        <v>351</v>
      </c>
      <c r="I8" s="99" t="s">
        <v>1575</v>
      </c>
      <c r="J8" s="443" t="s">
        <v>4765</v>
      </c>
      <c r="K8" s="442"/>
      <c r="L8" s="103"/>
    </row>
    <row r="9" spans="1:12" ht="23.5" customHeight="1">
      <c r="A9" s="99" t="s">
        <v>2717</v>
      </c>
      <c r="B9" s="99"/>
      <c r="C9" s="99"/>
      <c r="D9" s="99" t="s">
        <v>263</v>
      </c>
      <c r="E9" s="99" t="s">
        <v>4770</v>
      </c>
      <c r="F9" s="99" t="s">
        <v>2716</v>
      </c>
      <c r="G9" s="99" t="s">
        <v>4771</v>
      </c>
      <c r="H9" s="99" t="s">
        <v>351</v>
      </c>
      <c r="I9" s="99" t="s">
        <v>4771</v>
      </c>
      <c r="J9" s="443" t="s">
        <v>4765</v>
      </c>
      <c r="K9" s="442"/>
      <c r="L9" s="102"/>
    </row>
    <row r="10" spans="1:12" ht="23.5" customHeight="1">
      <c r="A10" s="99" t="s">
        <v>2717</v>
      </c>
      <c r="B10" s="99"/>
      <c r="C10" s="99"/>
      <c r="D10" s="99" t="s">
        <v>263</v>
      </c>
      <c r="E10" s="99" t="s">
        <v>4772</v>
      </c>
      <c r="F10" s="99" t="s">
        <v>2716</v>
      </c>
      <c r="G10" s="99" t="s">
        <v>1447</v>
      </c>
      <c r="H10" s="99" t="s">
        <v>351</v>
      </c>
      <c r="I10" s="99" t="s">
        <v>1447</v>
      </c>
      <c r="J10" s="443" t="s">
        <v>4765</v>
      </c>
      <c r="K10" s="442"/>
      <c r="L10" s="101"/>
    </row>
    <row r="11" spans="1:12" ht="23.5" customHeight="1">
      <c r="A11" s="99" t="s">
        <v>2717</v>
      </c>
      <c r="B11" s="99"/>
      <c r="C11" s="99"/>
      <c r="D11" s="99" t="s">
        <v>263</v>
      </c>
      <c r="E11" s="99" t="s">
        <v>4773</v>
      </c>
      <c r="F11" s="99" t="s">
        <v>2716</v>
      </c>
      <c r="G11" s="99" t="s">
        <v>4774</v>
      </c>
      <c r="H11" s="99" t="s">
        <v>351</v>
      </c>
      <c r="I11" s="99" t="s">
        <v>4774</v>
      </c>
      <c r="J11" s="443" t="s">
        <v>4765</v>
      </c>
      <c r="K11" s="442"/>
      <c r="L11" s="104"/>
    </row>
    <row r="12" spans="1:12" ht="120" customHeight="1">
      <c r="A12" s="99" t="s">
        <v>4775</v>
      </c>
      <c r="B12" s="444" t="s">
        <v>4776</v>
      </c>
      <c r="C12" s="99"/>
      <c r="D12" s="99" t="s">
        <v>263</v>
      </c>
      <c r="E12" s="99" t="s">
        <v>4777</v>
      </c>
      <c r="F12" s="99" t="s">
        <v>2716</v>
      </c>
      <c r="G12" s="99" t="s">
        <v>4778</v>
      </c>
      <c r="H12" s="99" t="s">
        <v>351</v>
      </c>
      <c r="I12" s="99" t="s">
        <v>4778</v>
      </c>
      <c r="J12" s="443" t="s">
        <v>4765</v>
      </c>
      <c r="K12" s="442"/>
      <c r="L12" s="101"/>
    </row>
    <row r="13" spans="1:12" ht="23.5" customHeight="1">
      <c r="A13" s="99" t="s">
        <v>2717</v>
      </c>
      <c r="B13" s="99"/>
      <c r="C13" s="99"/>
      <c r="D13" s="99" t="s">
        <v>263</v>
      </c>
      <c r="E13" s="99" t="s">
        <v>4779</v>
      </c>
      <c r="F13" s="99" t="s">
        <v>2716</v>
      </c>
      <c r="G13" s="99" t="s">
        <v>4780</v>
      </c>
      <c r="H13" s="99" t="s">
        <v>351</v>
      </c>
      <c r="I13" s="99" t="s">
        <v>4780</v>
      </c>
      <c r="J13" s="443" t="s">
        <v>4765</v>
      </c>
      <c r="K13" s="442"/>
      <c r="L13" s="101"/>
    </row>
    <row r="14" spans="1:12" ht="23.5" customHeight="1">
      <c r="A14" s="99" t="s">
        <v>2717</v>
      </c>
      <c r="B14" s="99"/>
      <c r="C14" s="99"/>
      <c r="D14" s="99" t="s">
        <v>263</v>
      </c>
      <c r="E14" s="99" t="s">
        <v>4781</v>
      </c>
      <c r="F14" s="99" t="s">
        <v>2716</v>
      </c>
      <c r="G14" s="99" t="s">
        <v>4782</v>
      </c>
      <c r="H14" s="99" t="s">
        <v>351</v>
      </c>
      <c r="I14" s="99" t="s">
        <v>4782</v>
      </c>
      <c r="J14" s="443" t="s">
        <v>4765</v>
      </c>
      <c r="K14" s="442"/>
      <c r="L14" s="101"/>
    </row>
    <row r="15" spans="1:12" ht="23.5" customHeight="1">
      <c r="A15" s="99" t="s">
        <v>2717</v>
      </c>
      <c r="B15" s="99"/>
      <c r="C15" s="99"/>
      <c r="D15" s="99" t="s">
        <v>263</v>
      </c>
      <c r="E15" s="99" t="s">
        <v>4783</v>
      </c>
      <c r="F15" s="99" t="s">
        <v>2716</v>
      </c>
      <c r="G15" s="99" t="s">
        <v>4784</v>
      </c>
      <c r="H15" s="99" t="s">
        <v>351</v>
      </c>
      <c r="I15" s="99" t="s">
        <v>4784</v>
      </c>
      <c r="J15" s="99" t="s">
        <v>4785</v>
      </c>
      <c r="K15" s="442"/>
      <c r="L15" s="101"/>
    </row>
    <row r="16" spans="1:12" ht="23.5" customHeight="1">
      <c r="A16" s="99" t="s">
        <v>2717</v>
      </c>
      <c r="B16" s="99"/>
      <c r="C16" s="99"/>
      <c r="D16" s="99" t="s">
        <v>263</v>
      </c>
      <c r="E16" s="99" t="s">
        <v>4786</v>
      </c>
      <c r="F16" s="99" t="s">
        <v>2716</v>
      </c>
      <c r="G16" s="99" t="s">
        <v>1453</v>
      </c>
      <c r="H16" s="99" t="s">
        <v>351</v>
      </c>
      <c r="I16" s="99" t="s">
        <v>1453</v>
      </c>
      <c r="J16" s="99" t="s">
        <v>4785</v>
      </c>
      <c r="K16" s="442"/>
      <c r="L16" s="101"/>
    </row>
    <row r="17" spans="1:12" ht="23.5" customHeight="1">
      <c r="A17" s="99" t="s">
        <v>2717</v>
      </c>
      <c r="B17" s="99"/>
      <c r="C17" s="99"/>
      <c r="D17" s="99" t="s">
        <v>263</v>
      </c>
      <c r="E17" s="99" t="s">
        <v>4787</v>
      </c>
      <c r="F17" s="99" t="s">
        <v>2716</v>
      </c>
      <c r="G17" s="99" t="s">
        <v>4788</v>
      </c>
      <c r="H17" s="99" t="s">
        <v>351</v>
      </c>
      <c r="I17" s="99" t="s">
        <v>4788</v>
      </c>
      <c r="J17" s="99" t="s">
        <v>4785</v>
      </c>
      <c r="K17" s="442"/>
      <c r="L17" s="104"/>
    </row>
    <row r="18" spans="1:12" ht="23.5" customHeight="1">
      <c r="A18" s="99" t="s">
        <v>2717</v>
      </c>
      <c r="B18" s="99"/>
      <c r="C18" s="99"/>
      <c r="D18" s="99" t="s">
        <v>263</v>
      </c>
      <c r="E18" s="99" t="s">
        <v>4789</v>
      </c>
      <c r="F18" s="99" t="s">
        <v>2716</v>
      </c>
      <c r="G18" s="99" t="s">
        <v>4790</v>
      </c>
      <c r="H18" s="99" t="s">
        <v>351</v>
      </c>
      <c r="I18" s="99" t="s">
        <v>4790</v>
      </c>
      <c r="J18" s="99" t="s">
        <v>4785</v>
      </c>
      <c r="K18" s="442"/>
      <c r="L18" s="104"/>
    </row>
    <row r="19" spans="1:12" ht="23.5" customHeight="1">
      <c r="A19" s="99" t="s">
        <v>2717</v>
      </c>
      <c r="B19" s="99"/>
      <c r="C19" s="99"/>
      <c r="D19" s="99" t="s">
        <v>263</v>
      </c>
      <c r="E19" s="99" t="s">
        <v>4791</v>
      </c>
      <c r="F19" s="99" t="s">
        <v>2716</v>
      </c>
      <c r="G19" s="99" t="s">
        <v>4792</v>
      </c>
      <c r="H19" s="99" t="s">
        <v>351</v>
      </c>
      <c r="I19" s="99" t="s">
        <v>4792</v>
      </c>
      <c r="J19" s="99" t="s">
        <v>4785</v>
      </c>
      <c r="K19" s="442"/>
      <c r="L19" s="101"/>
    </row>
    <row r="20" spans="1:12" ht="23.5" customHeight="1">
      <c r="A20" s="99" t="s">
        <v>2717</v>
      </c>
      <c r="B20" s="99"/>
      <c r="C20" s="99"/>
      <c r="D20" s="99" t="s">
        <v>263</v>
      </c>
      <c r="E20" s="99" t="s">
        <v>4793</v>
      </c>
      <c r="F20" s="99" t="s">
        <v>2716</v>
      </c>
      <c r="G20" s="99" t="s">
        <v>4794</v>
      </c>
      <c r="H20" s="99" t="s">
        <v>351</v>
      </c>
      <c r="I20" s="99" t="s">
        <v>4794</v>
      </c>
      <c r="J20" s="99" t="s">
        <v>4785</v>
      </c>
      <c r="K20" s="442"/>
      <c r="L20" s="101"/>
    </row>
    <row r="21" spans="1:12" ht="23.5" customHeight="1">
      <c r="A21" s="99" t="s">
        <v>2717</v>
      </c>
      <c r="B21" s="99"/>
      <c r="C21" s="99"/>
      <c r="D21" s="99" t="s">
        <v>263</v>
      </c>
      <c r="E21" s="99" t="s">
        <v>4795</v>
      </c>
      <c r="F21" s="99" t="s">
        <v>2716</v>
      </c>
      <c r="G21" s="99" t="s">
        <v>4796</v>
      </c>
      <c r="H21" s="99" t="s">
        <v>351</v>
      </c>
      <c r="I21" s="99" t="s">
        <v>4796</v>
      </c>
      <c r="J21" s="99" t="s">
        <v>4785</v>
      </c>
      <c r="K21" s="442"/>
      <c r="L21" s="104"/>
    </row>
    <row r="22" spans="1:12" ht="23.5" customHeight="1">
      <c r="A22" s="99" t="s">
        <v>2717</v>
      </c>
      <c r="B22" s="99"/>
      <c r="C22" s="99"/>
      <c r="D22" s="99" t="s">
        <v>263</v>
      </c>
      <c r="E22" s="99" t="s">
        <v>4797</v>
      </c>
      <c r="F22" s="99" t="s">
        <v>2716</v>
      </c>
      <c r="G22" s="99" t="s">
        <v>4798</v>
      </c>
      <c r="H22" s="99" t="s">
        <v>351</v>
      </c>
      <c r="I22" s="99" t="s">
        <v>4798</v>
      </c>
      <c r="J22" s="99" t="s">
        <v>4785</v>
      </c>
      <c r="K22" s="442"/>
      <c r="L22" s="104"/>
    </row>
    <row r="23" spans="1:12" ht="23.5" customHeight="1">
      <c r="A23" s="99" t="s">
        <v>2717</v>
      </c>
      <c r="B23" s="99"/>
      <c r="C23" s="99"/>
      <c r="D23" s="99" t="s">
        <v>263</v>
      </c>
      <c r="E23" s="99" t="s">
        <v>4799</v>
      </c>
      <c r="F23" s="99" t="s">
        <v>2716</v>
      </c>
      <c r="G23" s="99" t="s">
        <v>4800</v>
      </c>
      <c r="H23" s="99" t="s">
        <v>351</v>
      </c>
      <c r="I23" s="99" t="s">
        <v>4800</v>
      </c>
      <c r="J23" s="99" t="s">
        <v>4785</v>
      </c>
      <c r="K23" s="442"/>
      <c r="L23" s="101"/>
    </row>
    <row r="24" spans="1:12" ht="23.5" customHeight="1">
      <c r="A24" s="99" t="s">
        <v>2717</v>
      </c>
      <c r="B24" s="99"/>
      <c r="C24" s="99"/>
      <c r="D24" s="99" t="s">
        <v>263</v>
      </c>
      <c r="E24" s="99" t="s">
        <v>4801</v>
      </c>
      <c r="F24" s="99" t="s">
        <v>2716</v>
      </c>
      <c r="G24" s="99" t="s">
        <v>1539</v>
      </c>
      <c r="H24" s="99" t="s">
        <v>351</v>
      </c>
      <c r="I24" s="99" t="s">
        <v>1539</v>
      </c>
      <c r="J24" s="99" t="s">
        <v>4785</v>
      </c>
      <c r="K24" s="442"/>
      <c r="L24" s="101"/>
    </row>
    <row r="25" spans="1:12" ht="23.5" customHeight="1">
      <c r="A25" s="99" t="s">
        <v>2717</v>
      </c>
      <c r="B25" s="99"/>
      <c r="C25" s="99"/>
      <c r="D25" s="99" t="s">
        <v>263</v>
      </c>
      <c r="E25" s="99" t="s">
        <v>4802</v>
      </c>
      <c r="F25" s="99" t="s">
        <v>2716</v>
      </c>
      <c r="G25" s="99" t="s">
        <v>1533</v>
      </c>
      <c r="H25" s="99" t="s">
        <v>351</v>
      </c>
      <c r="I25" s="99" t="s">
        <v>1533</v>
      </c>
      <c r="J25" s="99" t="s">
        <v>4785</v>
      </c>
      <c r="K25" s="442"/>
      <c r="L25" s="101"/>
    </row>
    <row r="26" spans="1:12" ht="23.5" customHeight="1">
      <c r="A26" s="99" t="s">
        <v>2717</v>
      </c>
      <c r="B26" s="99"/>
      <c r="C26" s="99"/>
      <c r="D26" s="99" t="s">
        <v>263</v>
      </c>
      <c r="E26" s="99" t="s">
        <v>4803</v>
      </c>
      <c r="F26" s="99" t="s">
        <v>2716</v>
      </c>
      <c r="G26" s="99" t="s">
        <v>1545</v>
      </c>
      <c r="H26" s="99" t="s">
        <v>351</v>
      </c>
      <c r="I26" s="99" t="s">
        <v>1545</v>
      </c>
      <c r="J26" s="99" t="s">
        <v>4785</v>
      </c>
      <c r="K26" s="442"/>
      <c r="L26" s="104"/>
    </row>
    <row r="27" spans="1:12" ht="23.5" customHeight="1">
      <c r="A27" s="99" t="s">
        <v>2717</v>
      </c>
      <c r="B27" s="99"/>
      <c r="C27" s="99"/>
      <c r="D27" s="99" t="s">
        <v>263</v>
      </c>
      <c r="E27" s="99" t="s">
        <v>4804</v>
      </c>
      <c r="F27" s="99" t="s">
        <v>2716</v>
      </c>
      <c r="G27" s="99" t="s">
        <v>1551</v>
      </c>
      <c r="H27" s="99" t="s">
        <v>351</v>
      </c>
      <c r="I27" s="99" t="s">
        <v>1551</v>
      </c>
      <c r="J27" s="99" t="s">
        <v>4785</v>
      </c>
      <c r="K27" s="442"/>
      <c r="L27" s="104"/>
    </row>
    <row r="28" spans="1:12" ht="23.5" customHeight="1">
      <c r="A28" s="99" t="s">
        <v>2717</v>
      </c>
      <c r="B28" s="99"/>
      <c r="C28" s="99"/>
      <c r="D28" s="99" t="s">
        <v>263</v>
      </c>
      <c r="E28" s="99" t="s">
        <v>4805</v>
      </c>
      <c r="F28" s="99" t="s">
        <v>2716</v>
      </c>
      <c r="G28" s="99" t="s">
        <v>1557</v>
      </c>
      <c r="H28" s="99" t="s">
        <v>351</v>
      </c>
      <c r="I28" s="99" t="s">
        <v>1557</v>
      </c>
      <c r="J28" s="99" t="s">
        <v>4785</v>
      </c>
      <c r="K28" s="442"/>
      <c r="L28" s="101"/>
    </row>
    <row r="29" spans="1:12" ht="23.5" customHeight="1">
      <c r="A29" s="99" t="s">
        <v>2717</v>
      </c>
      <c r="B29" s="99"/>
      <c r="C29" s="99"/>
      <c r="D29" s="99" t="s">
        <v>263</v>
      </c>
      <c r="E29" s="99" t="s">
        <v>4806</v>
      </c>
      <c r="F29" s="99" t="s">
        <v>2716</v>
      </c>
      <c r="G29" s="99" t="s">
        <v>1569</v>
      </c>
      <c r="H29" s="99" t="s">
        <v>351</v>
      </c>
      <c r="I29" s="99" t="s">
        <v>1569</v>
      </c>
      <c r="J29" s="99" t="s">
        <v>4785</v>
      </c>
      <c r="K29" s="442"/>
      <c r="L29" s="442"/>
    </row>
    <row r="30" spans="1:12" ht="23.5" customHeight="1">
      <c r="A30" s="99" t="s">
        <v>2717</v>
      </c>
      <c r="B30" s="99"/>
      <c r="C30" s="99"/>
      <c r="D30" s="99" t="s">
        <v>263</v>
      </c>
      <c r="E30" s="99" t="s">
        <v>4807</v>
      </c>
      <c r="F30" s="99" t="s">
        <v>2716</v>
      </c>
      <c r="G30" s="99" t="s">
        <v>1575</v>
      </c>
      <c r="H30" s="99" t="s">
        <v>351</v>
      </c>
      <c r="I30" s="99" t="s">
        <v>1575</v>
      </c>
      <c r="J30" s="99" t="s">
        <v>4785</v>
      </c>
      <c r="K30" s="442"/>
      <c r="L30" s="442"/>
    </row>
    <row r="31" spans="1:12" ht="23.5" customHeight="1">
      <c r="A31" s="99" t="s">
        <v>2717</v>
      </c>
      <c r="B31" s="99"/>
      <c r="C31" s="99"/>
      <c r="D31" s="99" t="s">
        <v>263</v>
      </c>
      <c r="E31" s="99" t="s">
        <v>4808</v>
      </c>
      <c r="F31" s="99" t="s">
        <v>2716</v>
      </c>
      <c r="G31" s="99" t="s">
        <v>1588</v>
      </c>
      <c r="H31" s="99" t="s">
        <v>351</v>
      </c>
      <c r="I31" s="99" t="s">
        <v>1588</v>
      </c>
      <c r="J31" s="99" t="s">
        <v>4785</v>
      </c>
      <c r="K31" s="442"/>
      <c r="L31" s="442"/>
    </row>
    <row r="32" spans="1:12" ht="23.5" customHeight="1">
      <c r="A32" s="99" t="s">
        <v>2717</v>
      </c>
      <c r="B32" s="99"/>
      <c r="C32" s="99"/>
      <c r="D32" s="99" t="s">
        <v>263</v>
      </c>
      <c r="E32" s="99" t="s">
        <v>4809</v>
      </c>
      <c r="F32" s="99" t="s">
        <v>2716</v>
      </c>
      <c r="G32" s="99" t="s">
        <v>4810</v>
      </c>
      <c r="H32" s="99" t="s">
        <v>351</v>
      </c>
      <c r="I32" s="99" t="s">
        <v>4810</v>
      </c>
      <c r="J32" s="99" t="s">
        <v>4785</v>
      </c>
      <c r="K32" s="442"/>
      <c r="L32" s="442"/>
    </row>
    <row r="33" spans="1:10" ht="23.5" customHeight="1">
      <c r="A33" s="99" t="s">
        <v>2717</v>
      </c>
      <c r="B33" s="99"/>
      <c r="C33" s="99"/>
      <c r="D33" s="99" t="s">
        <v>263</v>
      </c>
      <c r="E33" s="99" t="s">
        <v>4811</v>
      </c>
      <c r="F33" s="99" t="s">
        <v>2716</v>
      </c>
      <c r="G33" s="99" t="s">
        <v>1599</v>
      </c>
      <c r="H33" s="99" t="s">
        <v>351</v>
      </c>
      <c r="I33" s="99" t="s">
        <v>1599</v>
      </c>
      <c r="J33" s="99" t="s">
        <v>4785</v>
      </c>
    </row>
    <row r="34" spans="1:10" ht="23.5" customHeight="1">
      <c r="A34" s="99" t="s">
        <v>2717</v>
      </c>
      <c r="B34" s="99"/>
      <c r="C34" s="99"/>
      <c r="D34" s="99" t="s">
        <v>263</v>
      </c>
      <c r="E34" s="99" t="s">
        <v>4812</v>
      </c>
      <c r="F34" s="99" t="s">
        <v>2716</v>
      </c>
      <c r="G34" s="99" t="s">
        <v>1447</v>
      </c>
      <c r="H34" s="99" t="s">
        <v>351</v>
      </c>
      <c r="I34" s="99" t="s">
        <v>1447</v>
      </c>
      <c r="J34" s="99" t="s">
        <v>4785</v>
      </c>
    </row>
    <row r="35" spans="1:10" ht="23.5" customHeight="1">
      <c r="A35" s="99" t="s">
        <v>2717</v>
      </c>
      <c r="B35" s="99"/>
      <c r="C35" s="99"/>
      <c r="D35" s="99" t="s">
        <v>263</v>
      </c>
      <c r="E35" s="99" t="s">
        <v>4813</v>
      </c>
      <c r="F35" s="99" t="s">
        <v>2716</v>
      </c>
      <c r="G35" s="99" t="s">
        <v>1609</v>
      </c>
      <c r="H35" s="99" t="s">
        <v>351</v>
      </c>
      <c r="I35" s="99" t="s">
        <v>1609</v>
      </c>
      <c r="J35" s="99" t="s">
        <v>4785</v>
      </c>
    </row>
    <row r="36" spans="1:10" ht="23.5" customHeight="1">
      <c r="A36" s="99" t="s">
        <v>2717</v>
      </c>
      <c r="B36" s="99"/>
      <c r="C36" s="99"/>
      <c r="D36" s="99" t="s">
        <v>263</v>
      </c>
      <c r="E36" s="99" t="s">
        <v>2759</v>
      </c>
      <c r="F36" s="99" t="s">
        <v>2716</v>
      </c>
      <c r="G36" s="99" t="s">
        <v>1611</v>
      </c>
      <c r="H36" s="99" t="s">
        <v>351</v>
      </c>
      <c r="I36" s="99" t="s">
        <v>1611</v>
      </c>
      <c r="J36" s="99" t="s">
        <v>4785</v>
      </c>
    </row>
    <row r="37" spans="1:10" ht="23.5" customHeight="1">
      <c r="A37" s="99" t="s">
        <v>2717</v>
      </c>
      <c r="B37" s="99"/>
      <c r="C37" s="99"/>
      <c r="D37" s="99" t="s">
        <v>263</v>
      </c>
      <c r="E37" s="99" t="s">
        <v>4814</v>
      </c>
      <c r="F37" s="99" t="s">
        <v>2716</v>
      </c>
      <c r="G37" s="99" t="s">
        <v>1614</v>
      </c>
      <c r="H37" s="99" t="s">
        <v>351</v>
      </c>
      <c r="I37" s="99" t="s">
        <v>1614</v>
      </c>
      <c r="J37" s="99" t="s">
        <v>4785</v>
      </c>
    </row>
    <row r="38" spans="1:10" ht="23.5" customHeight="1">
      <c r="A38" s="99" t="s">
        <v>2717</v>
      </c>
      <c r="B38" s="99"/>
      <c r="C38" s="99"/>
      <c r="D38" s="99" t="s">
        <v>263</v>
      </c>
      <c r="E38" s="99" t="s">
        <v>4815</v>
      </c>
      <c r="F38" s="99" t="s">
        <v>2716</v>
      </c>
      <c r="G38" s="99" t="s">
        <v>1617</v>
      </c>
      <c r="H38" s="99" t="s">
        <v>351</v>
      </c>
      <c r="I38" s="99" t="s">
        <v>1617</v>
      </c>
      <c r="J38" s="99" t="s">
        <v>4785</v>
      </c>
    </row>
    <row r="39" spans="1:10" ht="23.5" customHeight="1">
      <c r="A39" s="99" t="s">
        <v>2717</v>
      </c>
      <c r="B39" s="99"/>
      <c r="C39" s="99"/>
      <c r="D39" s="99" t="s">
        <v>263</v>
      </c>
      <c r="E39" s="99" t="s">
        <v>4816</v>
      </c>
      <c r="F39" s="99" t="s">
        <v>2716</v>
      </c>
      <c r="G39" s="99" t="s">
        <v>880</v>
      </c>
      <c r="H39" s="99" t="s">
        <v>351</v>
      </c>
      <c r="I39" s="99" t="s">
        <v>880</v>
      </c>
      <c r="J39" s="99" t="s">
        <v>4785</v>
      </c>
    </row>
    <row r="40" spans="1:10" ht="23.5" customHeight="1">
      <c r="A40" s="99" t="s">
        <v>2717</v>
      </c>
      <c r="B40" s="99"/>
      <c r="C40" s="99"/>
      <c r="D40" s="99" t="s">
        <v>263</v>
      </c>
      <c r="E40" s="99" t="s">
        <v>2773</v>
      </c>
      <c r="F40" s="99" t="s">
        <v>2716</v>
      </c>
      <c r="G40" s="99" t="s">
        <v>4817</v>
      </c>
      <c r="H40" s="99" t="s">
        <v>351</v>
      </c>
      <c r="I40" s="99" t="s">
        <v>4817</v>
      </c>
      <c r="J40" s="99" t="s">
        <v>4785</v>
      </c>
    </row>
    <row r="41" spans="1:10" ht="23.5" customHeight="1">
      <c r="A41" s="99" t="s">
        <v>2717</v>
      </c>
      <c r="B41" s="99" t="s">
        <v>141</v>
      </c>
      <c r="C41" s="99"/>
      <c r="D41" s="99" t="s">
        <v>686</v>
      </c>
      <c r="E41" s="99"/>
      <c r="F41" s="99" t="s">
        <v>2716</v>
      </c>
      <c r="G41" s="99" t="s">
        <v>4818</v>
      </c>
      <c r="H41" s="99" t="s">
        <v>351</v>
      </c>
      <c r="I41" s="99" t="s">
        <v>4818</v>
      </c>
      <c r="J41" s="99" t="s">
        <v>4785</v>
      </c>
    </row>
    <row r="42" spans="1:10" ht="23.5" customHeight="1">
      <c r="A42" s="99" t="s">
        <v>2717</v>
      </c>
      <c r="B42" s="99" t="s">
        <v>3165</v>
      </c>
      <c r="C42" s="99"/>
      <c r="D42" s="99" t="s">
        <v>686</v>
      </c>
      <c r="E42" s="99"/>
      <c r="F42" s="99" t="s">
        <v>2716</v>
      </c>
      <c r="G42" s="99" t="s">
        <v>4819</v>
      </c>
      <c r="H42" s="99" t="s">
        <v>351</v>
      </c>
      <c r="I42" s="99" t="s">
        <v>4819</v>
      </c>
      <c r="J42" s="99" t="s">
        <v>4785</v>
      </c>
    </row>
    <row r="43" spans="1:10" ht="25" customHeight="1">
      <c r="A43" s="99" t="s">
        <v>2717</v>
      </c>
      <c r="B43" s="99" t="s">
        <v>4820</v>
      </c>
      <c r="C43" s="99"/>
      <c r="D43" s="99" t="s">
        <v>686</v>
      </c>
      <c r="E43" s="99"/>
      <c r="F43" s="99" t="s">
        <v>2716</v>
      </c>
      <c r="G43" s="99" t="s">
        <v>4821</v>
      </c>
      <c r="H43" s="99" t="s">
        <v>351</v>
      </c>
      <c r="I43" s="99" t="s">
        <v>4821</v>
      </c>
      <c r="J43" s="99" t="s">
        <v>4785</v>
      </c>
    </row>
    <row r="44" spans="1:10" ht="23.5" customHeight="1">
      <c r="A44" s="99" t="s">
        <v>4822</v>
      </c>
      <c r="B44" s="99"/>
      <c r="C44" s="99"/>
      <c r="D44" s="99" t="s">
        <v>263</v>
      </c>
      <c r="E44" s="99" t="s">
        <v>4783</v>
      </c>
      <c r="F44" s="99" t="s">
        <v>2716</v>
      </c>
      <c r="G44" s="99" t="s">
        <v>4784</v>
      </c>
      <c r="H44" s="99" t="s">
        <v>351</v>
      </c>
      <c r="I44" s="99" t="s">
        <v>4823</v>
      </c>
      <c r="J44" s="443" t="s">
        <v>4824</v>
      </c>
    </row>
    <row r="45" spans="1:10" ht="23.5" customHeight="1">
      <c r="A45" s="99" t="s">
        <v>4822</v>
      </c>
      <c r="B45" s="99"/>
      <c r="C45" s="99"/>
      <c r="D45" s="99" t="s">
        <v>263</v>
      </c>
      <c r="E45" s="99" t="s">
        <v>4786</v>
      </c>
      <c r="F45" s="99" t="s">
        <v>2716</v>
      </c>
      <c r="G45" s="99" t="s">
        <v>1453</v>
      </c>
      <c r="H45" s="99" t="s">
        <v>351</v>
      </c>
      <c r="I45" s="99" t="s">
        <v>4825</v>
      </c>
      <c r="J45" s="443" t="s">
        <v>4824</v>
      </c>
    </row>
    <row r="46" spans="1:10" ht="23.5" customHeight="1">
      <c r="A46" s="99" t="s">
        <v>4822</v>
      </c>
      <c r="B46" s="99" t="s">
        <v>3186</v>
      </c>
      <c r="C46" s="99"/>
      <c r="D46" s="99" t="s">
        <v>686</v>
      </c>
      <c r="E46" s="99" t="s">
        <v>4787</v>
      </c>
      <c r="F46" s="99" t="s">
        <v>2716</v>
      </c>
      <c r="G46" s="99" t="s">
        <v>4788</v>
      </c>
      <c r="H46" s="99" t="s">
        <v>351</v>
      </c>
      <c r="I46" s="99" t="s">
        <v>4826</v>
      </c>
      <c r="J46" s="443" t="s">
        <v>4824</v>
      </c>
    </row>
    <row r="47" spans="1:10" ht="23.5" customHeight="1">
      <c r="A47" s="99" t="s">
        <v>4822</v>
      </c>
      <c r="B47" s="99"/>
      <c r="C47" s="99"/>
      <c r="D47" s="99" t="s">
        <v>263</v>
      </c>
      <c r="E47" s="99" t="s">
        <v>4827</v>
      </c>
      <c r="F47" s="99" t="s">
        <v>2716</v>
      </c>
      <c r="G47" s="99" t="s">
        <v>4790</v>
      </c>
      <c r="H47" s="99" t="s">
        <v>351</v>
      </c>
      <c r="I47" s="99" t="s">
        <v>4828</v>
      </c>
      <c r="J47" s="443" t="s">
        <v>4824</v>
      </c>
    </row>
    <row r="48" spans="1:10" ht="23.5" customHeight="1">
      <c r="A48" s="99" t="s">
        <v>4822</v>
      </c>
      <c r="B48" s="99"/>
      <c r="C48" s="99"/>
      <c r="D48" s="99" t="s">
        <v>263</v>
      </c>
      <c r="E48" s="99" t="s">
        <v>4791</v>
      </c>
      <c r="F48" s="99" t="s">
        <v>2716</v>
      </c>
      <c r="G48" s="99" t="s">
        <v>4792</v>
      </c>
      <c r="H48" s="99" t="s">
        <v>351</v>
      </c>
      <c r="I48" s="99" t="s">
        <v>4829</v>
      </c>
      <c r="J48" s="443" t="s">
        <v>4824</v>
      </c>
    </row>
    <row r="49" spans="1:10" ht="23.5" customHeight="1">
      <c r="A49" s="99" t="s">
        <v>4822</v>
      </c>
      <c r="B49" s="99"/>
      <c r="C49" s="99"/>
      <c r="D49" s="99" t="s">
        <v>263</v>
      </c>
      <c r="E49" s="99" t="s">
        <v>4793</v>
      </c>
      <c r="F49" s="99" t="s">
        <v>2716</v>
      </c>
      <c r="G49" s="99" t="s">
        <v>4794</v>
      </c>
      <c r="H49" s="99" t="s">
        <v>351</v>
      </c>
      <c r="I49" s="99" t="s">
        <v>4830</v>
      </c>
      <c r="J49" s="443" t="s">
        <v>4824</v>
      </c>
    </row>
    <row r="50" spans="1:10" ht="23.5" customHeight="1">
      <c r="A50" s="99" t="s">
        <v>4822</v>
      </c>
      <c r="B50" s="99"/>
      <c r="C50" s="99"/>
      <c r="D50" s="99" t="s">
        <v>263</v>
      </c>
      <c r="E50" s="99" t="s">
        <v>4795</v>
      </c>
      <c r="F50" s="99" t="s">
        <v>2716</v>
      </c>
      <c r="G50" s="99" t="s">
        <v>4796</v>
      </c>
      <c r="H50" s="99" t="s">
        <v>351</v>
      </c>
      <c r="I50" s="99" t="s">
        <v>4831</v>
      </c>
      <c r="J50" s="443" t="s">
        <v>4824</v>
      </c>
    </row>
    <row r="51" spans="1:10" ht="23.5" customHeight="1">
      <c r="A51" s="99" t="s">
        <v>4822</v>
      </c>
      <c r="B51" s="99" t="s">
        <v>477</v>
      </c>
      <c r="C51" s="99"/>
      <c r="D51" s="99" t="s">
        <v>686</v>
      </c>
      <c r="E51" s="99" t="s">
        <v>4797</v>
      </c>
      <c r="F51" s="99" t="s">
        <v>2716</v>
      </c>
      <c r="G51" s="99" t="s">
        <v>4798</v>
      </c>
      <c r="H51" s="99" t="s">
        <v>351</v>
      </c>
      <c r="I51" s="99" t="s">
        <v>4832</v>
      </c>
      <c r="J51" s="443" t="s">
        <v>4824</v>
      </c>
    </row>
    <row r="52" spans="1:10" ht="23.5" customHeight="1">
      <c r="A52" s="99" t="s">
        <v>4822</v>
      </c>
      <c r="B52" s="99"/>
      <c r="C52" s="99"/>
      <c r="D52" s="99" t="s">
        <v>263</v>
      </c>
      <c r="E52" s="99" t="s">
        <v>4799</v>
      </c>
      <c r="F52" s="99" t="s">
        <v>2716</v>
      </c>
      <c r="G52" s="99" t="s">
        <v>4800</v>
      </c>
      <c r="H52" s="99" t="s">
        <v>351</v>
      </c>
      <c r="I52" s="99" t="s">
        <v>4833</v>
      </c>
      <c r="J52" s="443" t="s">
        <v>4824</v>
      </c>
    </row>
    <row r="53" spans="1:10" ht="23.5" customHeight="1">
      <c r="A53" s="99" t="s">
        <v>4822</v>
      </c>
      <c r="B53" s="99"/>
      <c r="C53" s="99"/>
      <c r="D53" s="99" t="s">
        <v>263</v>
      </c>
      <c r="E53" s="99" t="s">
        <v>4801</v>
      </c>
      <c r="F53" s="99" t="s">
        <v>2716</v>
      </c>
      <c r="G53" s="99" t="s">
        <v>1539</v>
      </c>
      <c r="H53" s="99" t="s">
        <v>351</v>
      </c>
      <c r="I53" s="99" t="s">
        <v>4834</v>
      </c>
      <c r="J53" s="443" t="s">
        <v>4824</v>
      </c>
    </row>
    <row r="54" spans="1:10" ht="23.5" customHeight="1">
      <c r="A54" s="99" t="s">
        <v>4822</v>
      </c>
      <c r="B54" s="99"/>
      <c r="C54" s="99"/>
      <c r="D54" s="99" t="s">
        <v>263</v>
      </c>
      <c r="E54" s="99" t="s">
        <v>4802</v>
      </c>
      <c r="F54" s="99" t="s">
        <v>2716</v>
      </c>
      <c r="G54" s="99" t="s">
        <v>1533</v>
      </c>
      <c r="H54" s="99" t="s">
        <v>351</v>
      </c>
      <c r="I54" s="99" t="s">
        <v>4835</v>
      </c>
      <c r="J54" s="443" t="s">
        <v>4824</v>
      </c>
    </row>
    <row r="55" spans="1:10" ht="23.5" customHeight="1">
      <c r="A55" s="99" t="s">
        <v>4822</v>
      </c>
      <c r="B55" s="99"/>
      <c r="C55" s="99"/>
      <c r="D55" s="99" t="s">
        <v>263</v>
      </c>
      <c r="E55" s="99" t="s">
        <v>4803</v>
      </c>
      <c r="F55" s="99" t="s">
        <v>2716</v>
      </c>
      <c r="G55" s="99" t="s">
        <v>1545</v>
      </c>
      <c r="H55" s="99" t="s">
        <v>351</v>
      </c>
      <c r="I55" s="99" t="s">
        <v>4836</v>
      </c>
      <c r="J55" s="443" t="s">
        <v>4824</v>
      </c>
    </row>
    <row r="56" spans="1:10" ht="23.5" customHeight="1">
      <c r="A56" s="99" t="s">
        <v>4822</v>
      </c>
      <c r="B56" s="99"/>
      <c r="C56" s="99"/>
      <c r="D56" s="99" t="s">
        <v>263</v>
      </c>
      <c r="E56" s="99" t="s">
        <v>4804</v>
      </c>
      <c r="F56" s="99" t="s">
        <v>2716</v>
      </c>
      <c r="G56" s="99" t="s">
        <v>1551</v>
      </c>
      <c r="H56" s="99" t="s">
        <v>351</v>
      </c>
      <c r="I56" s="99" t="s">
        <v>4837</v>
      </c>
      <c r="J56" s="443" t="s">
        <v>4824</v>
      </c>
    </row>
    <row r="57" spans="1:10" ht="23.5" customHeight="1">
      <c r="A57" s="99" t="s">
        <v>4822</v>
      </c>
      <c r="B57" s="99"/>
      <c r="C57" s="99"/>
      <c r="D57" s="99" t="s">
        <v>263</v>
      </c>
      <c r="E57" s="99" t="s">
        <v>4805</v>
      </c>
      <c r="F57" s="99" t="s">
        <v>2716</v>
      </c>
      <c r="G57" s="99" t="s">
        <v>1557</v>
      </c>
      <c r="H57" s="99" t="s">
        <v>351</v>
      </c>
      <c r="I57" s="99" t="s">
        <v>4838</v>
      </c>
      <c r="J57" s="443" t="s">
        <v>4824</v>
      </c>
    </row>
    <row r="58" spans="1:10" ht="23.5" customHeight="1">
      <c r="A58" s="99" t="s">
        <v>4822</v>
      </c>
      <c r="B58" s="99"/>
      <c r="C58" s="99"/>
      <c r="D58" s="99" t="s">
        <v>263</v>
      </c>
      <c r="E58" s="99" t="s">
        <v>4839</v>
      </c>
      <c r="F58" s="99" t="s">
        <v>2716</v>
      </c>
      <c r="G58" s="99" t="s">
        <v>1569</v>
      </c>
      <c r="H58" s="99" t="s">
        <v>351</v>
      </c>
      <c r="I58" s="99" t="s">
        <v>4840</v>
      </c>
      <c r="J58" s="443" t="s">
        <v>4824</v>
      </c>
    </row>
    <row r="59" spans="1:10" ht="23.5" customHeight="1">
      <c r="A59" s="99" t="s">
        <v>4822</v>
      </c>
      <c r="B59" s="99"/>
      <c r="C59" s="99"/>
      <c r="D59" s="99" t="s">
        <v>263</v>
      </c>
      <c r="E59" s="99" t="s">
        <v>4807</v>
      </c>
      <c r="F59" s="99" t="s">
        <v>2716</v>
      </c>
      <c r="G59" s="99" t="s">
        <v>1575</v>
      </c>
      <c r="H59" s="99" t="s">
        <v>351</v>
      </c>
      <c r="I59" s="99" t="s">
        <v>4841</v>
      </c>
      <c r="J59" s="443" t="s">
        <v>4824</v>
      </c>
    </row>
    <row r="60" spans="1:10" ht="23.5" customHeight="1">
      <c r="A60" s="99" t="s">
        <v>4822</v>
      </c>
      <c r="B60" s="99"/>
      <c r="C60" s="99"/>
      <c r="D60" s="99" t="s">
        <v>263</v>
      </c>
      <c r="E60" s="99" t="s">
        <v>4808</v>
      </c>
      <c r="F60" s="99" t="s">
        <v>2716</v>
      </c>
      <c r="G60" s="99" t="s">
        <v>1588</v>
      </c>
      <c r="H60" s="99" t="s">
        <v>351</v>
      </c>
      <c r="I60" s="99" t="s">
        <v>4842</v>
      </c>
      <c r="J60" s="443" t="s">
        <v>4824</v>
      </c>
    </row>
    <row r="61" spans="1:10" ht="23.5" customHeight="1">
      <c r="A61" s="99" t="s">
        <v>4822</v>
      </c>
      <c r="B61" s="99"/>
      <c r="C61" s="99"/>
      <c r="D61" s="99" t="s">
        <v>263</v>
      </c>
      <c r="E61" s="99" t="s">
        <v>4809</v>
      </c>
      <c r="F61" s="99" t="s">
        <v>2716</v>
      </c>
      <c r="G61" s="99" t="s">
        <v>4810</v>
      </c>
      <c r="H61" s="99" t="s">
        <v>351</v>
      </c>
      <c r="I61" s="99" t="s">
        <v>4843</v>
      </c>
      <c r="J61" s="443" t="s">
        <v>4824</v>
      </c>
    </row>
    <row r="62" spans="1:10" ht="23.5" customHeight="1">
      <c r="A62" s="99" t="s">
        <v>4822</v>
      </c>
      <c r="B62" s="99"/>
      <c r="C62" s="99"/>
      <c r="D62" s="99" t="s">
        <v>263</v>
      </c>
      <c r="E62" s="99" t="s">
        <v>4811</v>
      </c>
      <c r="F62" s="99" t="s">
        <v>2716</v>
      </c>
      <c r="G62" s="99" t="s">
        <v>1599</v>
      </c>
      <c r="H62" s="99" t="s">
        <v>351</v>
      </c>
      <c r="I62" s="99" t="s">
        <v>4844</v>
      </c>
      <c r="J62" s="443" t="s">
        <v>4824</v>
      </c>
    </row>
    <row r="63" spans="1:10" ht="23.5" customHeight="1">
      <c r="A63" s="99" t="s">
        <v>4822</v>
      </c>
      <c r="B63" s="99"/>
      <c r="C63" s="99"/>
      <c r="D63" s="99" t="s">
        <v>263</v>
      </c>
      <c r="E63" s="99" t="s">
        <v>4812</v>
      </c>
      <c r="F63" s="99" t="s">
        <v>2716</v>
      </c>
      <c r="G63" s="99" t="s">
        <v>1447</v>
      </c>
      <c r="H63" s="99" t="s">
        <v>351</v>
      </c>
      <c r="I63" s="99" t="s">
        <v>4845</v>
      </c>
      <c r="J63" s="443" t="s">
        <v>4824</v>
      </c>
    </row>
    <row r="64" spans="1:10" ht="23.5" customHeight="1">
      <c r="A64" s="99" t="s">
        <v>4846</v>
      </c>
      <c r="B64" s="99"/>
      <c r="C64" s="99"/>
      <c r="D64" s="99" t="s">
        <v>263</v>
      </c>
      <c r="E64" s="99" t="s">
        <v>4847</v>
      </c>
      <c r="F64" s="99" t="s">
        <v>2716</v>
      </c>
      <c r="G64" s="99" t="s">
        <v>1609</v>
      </c>
      <c r="H64" s="99" t="s">
        <v>351</v>
      </c>
      <c r="I64" s="99" t="s">
        <v>4848</v>
      </c>
      <c r="J64" s="443" t="s">
        <v>4824</v>
      </c>
    </row>
    <row r="65" spans="1:10" ht="23.5" customHeight="1">
      <c r="A65" s="99" t="s">
        <v>4822</v>
      </c>
      <c r="B65" s="99"/>
      <c r="C65" s="99"/>
      <c r="D65" s="99" t="s">
        <v>263</v>
      </c>
      <c r="E65" s="99" t="s">
        <v>2759</v>
      </c>
      <c r="F65" s="99" t="s">
        <v>2716</v>
      </c>
      <c r="G65" s="99" t="s">
        <v>1611</v>
      </c>
      <c r="H65" s="99" t="s">
        <v>351</v>
      </c>
      <c r="I65" s="99" t="s">
        <v>4849</v>
      </c>
      <c r="J65" s="443" t="s">
        <v>4824</v>
      </c>
    </row>
    <row r="66" spans="1:10" ht="23.5" customHeight="1">
      <c r="A66" s="99" t="s">
        <v>4822</v>
      </c>
      <c r="B66" s="99"/>
      <c r="C66" s="99"/>
      <c r="D66" s="99" t="s">
        <v>263</v>
      </c>
      <c r="E66" s="99" t="s">
        <v>4814</v>
      </c>
      <c r="F66" s="99" t="s">
        <v>2716</v>
      </c>
      <c r="G66" s="99" t="s">
        <v>1614</v>
      </c>
      <c r="H66" s="99" t="s">
        <v>351</v>
      </c>
      <c r="I66" s="99" t="s">
        <v>4850</v>
      </c>
      <c r="J66" s="443" t="s">
        <v>4824</v>
      </c>
    </row>
    <row r="67" spans="1:10" ht="23.5" customHeight="1">
      <c r="A67" s="99" t="s">
        <v>4822</v>
      </c>
      <c r="B67" s="99"/>
      <c r="C67" s="99"/>
      <c r="D67" s="99" t="s">
        <v>263</v>
      </c>
      <c r="E67" s="99" t="s">
        <v>4815</v>
      </c>
      <c r="F67" s="99" t="s">
        <v>2716</v>
      </c>
      <c r="G67" s="99" t="s">
        <v>1617</v>
      </c>
      <c r="H67" s="99" t="s">
        <v>351</v>
      </c>
      <c r="I67" s="99" t="s">
        <v>4851</v>
      </c>
      <c r="J67" s="443" t="s">
        <v>4824</v>
      </c>
    </row>
    <row r="68" spans="1:10" ht="23.5" customHeight="1">
      <c r="A68" s="99" t="s">
        <v>4822</v>
      </c>
      <c r="B68" s="99"/>
      <c r="C68" s="99"/>
      <c r="D68" s="99" t="s">
        <v>263</v>
      </c>
      <c r="E68" s="99" t="s">
        <v>4816</v>
      </c>
      <c r="F68" s="99" t="s">
        <v>2716</v>
      </c>
      <c r="G68" s="99" t="s">
        <v>880</v>
      </c>
      <c r="H68" s="99" t="s">
        <v>351</v>
      </c>
      <c r="I68" s="99" t="s">
        <v>4852</v>
      </c>
      <c r="J68" s="443" t="s">
        <v>4824</v>
      </c>
    </row>
    <row r="69" spans="1:10" ht="23.5" customHeight="1">
      <c r="A69" s="99" t="s">
        <v>4822</v>
      </c>
      <c r="B69" s="99"/>
      <c r="C69" s="99"/>
      <c r="D69" s="99" t="s">
        <v>263</v>
      </c>
      <c r="E69" s="99" t="s">
        <v>2773</v>
      </c>
      <c r="F69" s="99" t="s">
        <v>2716</v>
      </c>
      <c r="G69" s="99" t="s">
        <v>4817</v>
      </c>
      <c r="H69" s="99" t="s">
        <v>351</v>
      </c>
      <c r="I69" s="99" t="s">
        <v>4853</v>
      </c>
      <c r="J69" s="443" t="s">
        <v>4824</v>
      </c>
    </row>
    <row r="70" spans="1:10" ht="23.5" customHeight="1">
      <c r="A70" s="99" t="s">
        <v>4822</v>
      </c>
      <c r="B70" s="99"/>
      <c r="C70" s="99"/>
      <c r="D70" s="99" t="s">
        <v>686</v>
      </c>
      <c r="E70" s="99" t="s">
        <v>419</v>
      </c>
      <c r="F70" s="99" t="s">
        <v>2716</v>
      </c>
      <c r="G70" s="99" t="s">
        <v>2964</v>
      </c>
      <c r="H70" s="99" t="s">
        <v>351</v>
      </c>
      <c r="I70" s="99" t="s">
        <v>4854</v>
      </c>
      <c r="J70" s="443" t="s">
        <v>4824</v>
      </c>
    </row>
    <row r="71" spans="1:10" ht="23.5" customHeight="1">
      <c r="A71" s="444" t="s">
        <v>4855</v>
      </c>
      <c r="B71" s="444"/>
      <c r="C71" s="444"/>
      <c r="D71" s="444"/>
      <c r="E71" s="444" t="s">
        <v>4856</v>
      </c>
      <c r="F71" s="444" t="s">
        <v>2716</v>
      </c>
      <c r="G71" s="444" t="s">
        <v>4857</v>
      </c>
      <c r="H71" s="444"/>
      <c r="I71" s="444"/>
      <c r="J71" s="445" t="s">
        <v>4858</v>
      </c>
    </row>
    <row r="72" spans="1:10" ht="23.5" customHeight="1">
      <c r="A72" s="444" t="s">
        <v>4859</v>
      </c>
      <c r="B72" s="444"/>
      <c r="C72" s="444"/>
      <c r="D72" s="444"/>
      <c r="E72" s="444" t="s">
        <v>4860</v>
      </c>
      <c r="F72" s="444" t="s">
        <v>2716</v>
      </c>
      <c r="G72" s="444" t="s">
        <v>4861</v>
      </c>
      <c r="H72" s="444"/>
      <c r="I72" s="444"/>
      <c r="J72" s="445" t="s">
        <v>4858</v>
      </c>
    </row>
    <row r="73" spans="1:10" ht="23.5" customHeight="1">
      <c r="A73" s="444" t="s">
        <v>4862</v>
      </c>
      <c r="B73" s="444"/>
      <c r="C73" s="444"/>
      <c r="D73" s="444"/>
      <c r="E73" s="444" t="s">
        <v>4860</v>
      </c>
      <c r="F73" s="444" t="s">
        <v>2716</v>
      </c>
      <c r="G73" s="444" t="s">
        <v>4863</v>
      </c>
      <c r="H73" s="444"/>
      <c r="I73" s="444"/>
      <c r="J73" s="445" t="s">
        <v>4858</v>
      </c>
    </row>
    <row r="74" spans="1:10" ht="23.5" customHeight="1">
      <c r="A74" s="99" t="s">
        <v>4864</v>
      </c>
      <c r="B74" s="99"/>
      <c r="C74" s="99"/>
      <c r="D74" s="99"/>
      <c r="E74" s="99" t="s">
        <v>4865</v>
      </c>
      <c r="F74" s="99" t="s">
        <v>2716</v>
      </c>
      <c r="G74" s="99" t="s">
        <v>4866</v>
      </c>
      <c r="H74" s="99" t="s">
        <v>351</v>
      </c>
      <c r="I74" s="99"/>
      <c r="J74" s="99" t="s">
        <v>4867</v>
      </c>
    </row>
    <row r="75" spans="1:10" ht="23.5" customHeight="1">
      <c r="A75" s="99" t="s">
        <v>4864</v>
      </c>
      <c r="B75" s="99"/>
      <c r="C75" s="99"/>
      <c r="D75" s="99"/>
      <c r="E75" s="99" t="s">
        <v>4868</v>
      </c>
      <c r="F75" s="99" t="s">
        <v>2716</v>
      </c>
      <c r="G75" s="99" t="s">
        <v>4869</v>
      </c>
      <c r="H75" s="99" t="s">
        <v>351</v>
      </c>
      <c r="I75" s="99"/>
      <c r="J75" s="99" t="s">
        <v>4867</v>
      </c>
    </row>
    <row r="76" spans="1:10" ht="120.65" customHeight="1">
      <c r="A76" s="99" t="s">
        <v>4870</v>
      </c>
      <c r="B76" s="99"/>
      <c r="C76" s="99"/>
      <c r="D76" s="99"/>
      <c r="E76" s="99" t="s">
        <v>4871</v>
      </c>
      <c r="F76" s="99" t="s">
        <v>2716</v>
      </c>
      <c r="G76" s="99" t="s">
        <v>4872</v>
      </c>
      <c r="H76" s="99" t="s">
        <v>351</v>
      </c>
      <c r="I76" s="99"/>
      <c r="J76" s="99" t="s">
        <v>4867</v>
      </c>
    </row>
    <row r="77" spans="1:10" ht="52.5">
      <c r="A77" s="99" t="s">
        <v>4873</v>
      </c>
      <c r="B77" s="99"/>
      <c r="C77" s="99"/>
      <c r="D77" s="99"/>
      <c r="E77" s="99" t="s">
        <v>4866</v>
      </c>
      <c r="F77" s="99" t="s">
        <v>2716</v>
      </c>
      <c r="G77" s="99" t="s">
        <v>4874</v>
      </c>
      <c r="H77" s="99" t="s">
        <v>351</v>
      </c>
      <c r="I77" s="99"/>
      <c r="J77" s="99" t="s">
        <v>4867</v>
      </c>
    </row>
    <row r="78" spans="1:10" ht="52.5">
      <c r="A78" s="99" t="s">
        <v>4873</v>
      </c>
      <c r="B78" s="99"/>
      <c r="C78" s="99"/>
      <c r="D78" s="99"/>
      <c r="E78" s="99" t="s">
        <v>4875</v>
      </c>
      <c r="F78" s="99" t="s">
        <v>2716</v>
      </c>
      <c r="G78" s="99"/>
      <c r="H78" s="99" t="s">
        <v>351</v>
      </c>
      <c r="I78" s="99"/>
      <c r="J78" s="99" t="s">
        <v>4867</v>
      </c>
    </row>
    <row r="79" spans="1:10" ht="23.5" customHeight="1">
      <c r="A79" s="99" t="s">
        <v>4876</v>
      </c>
      <c r="B79" s="99"/>
      <c r="C79" s="99"/>
      <c r="D79" s="99"/>
      <c r="E79" s="99" t="s">
        <v>4877</v>
      </c>
      <c r="F79" s="99" t="s">
        <v>2716</v>
      </c>
      <c r="G79" s="99" t="s">
        <v>4878</v>
      </c>
      <c r="H79" s="99" t="s">
        <v>351</v>
      </c>
      <c r="I79" s="99"/>
      <c r="J79" s="99" t="s">
        <v>4879</v>
      </c>
    </row>
    <row r="80" spans="1:10" ht="23.5" customHeight="1">
      <c r="A80" s="99" t="s">
        <v>4876</v>
      </c>
      <c r="B80" s="99"/>
      <c r="C80" s="99"/>
      <c r="D80" s="99"/>
      <c r="E80" s="99" t="s">
        <v>4880</v>
      </c>
      <c r="F80" s="99" t="s">
        <v>2716</v>
      </c>
      <c r="G80" s="99" t="s">
        <v>4881</v>
      </c>
      <c r="H80" s="99" t="s">
        <v>351</v>
      </c>
      <c r="I80" s="99"/>
      <c r="J80" s="99" t="s">
        <v>4879</v>
      </c>
    </row>
    <row r="81" spans="1:10" ht="23.5" customHeight="1">
      <c r="A81" s="99" t="s">
        <v>4876</v>
      </c>
      <c r="B81" s="99"/>
      <c r="C81" s="99"/>
      <c r="D81" s="99"/>
      <c r="E81" s="99" t="s">
        <v>4882</v>
      </c>
      <c r="F81" s="99" t="s">
        <v>2716</v>
      </c>
      <c r="G81" s="99" t="s">
        <v>4883</v>
      </c>
      <c r="H81" s="99" t="s">
        <v>351</v>
      </c>
      <c r="I81" s="99"/>
      <c r="J81" s="99" t="s">
        <v>4879</v>
      </c>
    </row>
    <row r="82" spans="1:10" ht="23.5" customHeight="1">
      <c r="A82" s="99" t="s">
        <v>4876</v>
      </c>
      <c r="B82" s="99"/>
      <c r="C82" s="99"/>
      <c r="D82" s="99"/>
      <c r="E82" s="99" t="s">
        <v>4884</v>
      </c>
      <c r="F82" s="99" t="s">
        <v>2716</v>
      </c>
      <c r="G82" s="99" t="s">
        <v>4885</v>
      </c>
      <c r="H82" s="99" t="s">
        <v>351</v>
      </c>
      <c r="I82" s="99"/>
      <c r="J82" s="99" t="s">
        <v>4879</v>
      </c>
    </row>
    <row r="83" spans="1:10" ht="23.5" customHeight="1">
      <c r="A83" s="99" t="s">
        <v>4876</v>
      </c>
      <c r="B83" s="99"/>
      <c r="C83" s="99"/>
      <c r="D83" s="99"/>
      <c r="E83" s="99" t="s">
        <v>4886</v>
      </c>
      <c r="F83" s="99" t="s">
        <v>2716</v>
      </c>
      <c r="G83" s="99" t="s">
        <v>4887</v>
      </c>
      <c r="H83" s="99" t="s">
        <v>351</v>
      </c>
      <c r="I83" s="99"/>
      <c r="J83" s="99" t="s">
        <v>4879</v>
      </c>
    </row>
    <row r="84" spans="1:10" ht="23.5" customHeight="1">
      <c r="A84" s="99" t="s">
        <v>4876</v>
      </c>
      <c r="B84" s="99"/>
      <c r="C84" s="99"/>
      <c r="D84" s="99"/>
      <c r="E84" s="99" t="s">
        <v>4878</v>
      </c>
      <c r="F84" s="99" t="s">
        <v>2716</v>
      </c>
      <c r="G84" s="99" t="s">
        <v>4888</v>
      </c>
      <c r="H84" s="99" t="s">
        <v>351</v>
      </c>
      <c r="I84" s="99"/>
      <c r="J84" s="99" t="s">
        <v>4879</v>
      </c>
    </row>
    <row r="85" spans="1:10" ht="23.5" customHeight="1">
      <c r="A85" s="99" t="s">
        <v>4876</v>
      </c>
      <c r="B85" s="99"/>
      <c r="C85" s="99"/>
      <c r="D85" s="99"/>
      <c r="E85" s="99" t="s">
        <v>4889</v>
      </c>
      <c r="F85" s="99" t="s">
        <v>2716</v>
      </c>
      <c r="G85" s="99" t="s">
        <v>4890</v>
      </c>
      <c r="H85" s="99" t="s">
        <v>351</v>
      </c>
      <c r="I85" s="99"/>
      <c r="J85" s="99" t="s">
        <v>4879</v>
      </c>
    </row>
    <row r="86" spans="1:10" ht="23.5" customHeight="1">
      <c r="A86" s="99" t="s">
        <v>4876</v>
      </c>
      <c r="B86" s="99"/>
      <c r="C86" s="99"/>
      <c r="D86" s="99"/>
      <c r="E86" s="99" t="s">
        <v>4891</v>
      </c>
      <c r="F86" s="99" t="s">
        <v>2716</v>
      </c>
      <c r="G86" s="99" t="s">
        <v>4892</v>
      </c>
      <c r="H86" s="99" t="s">
        <v>351</v>
      </c>
      <c r="I86" s="99"/>
      <c r="J86" s="99" t="s">
        <v>4879</v>
      </c>
    </row>
    <row r="87" spans="1:10" ht="23.5" customHeight="1">
      <c r="A87" s="99" t="s">
        <v>4876</v>
      </c>
      <c r="B87" s="99"/>
      <c r="C87" s="99"/>
      <c r="D87" s="99"/>
      <c r="E87" s="99" t="s">
        <v>4893</v>
      </c>
      <c r="F87" s="99" t="s">
        <v>2716</v>
      </c>
      <c r="G87" s="99" t="s">
        <v>4894</v>
      </c>
      <c r="H87" s="99" t="s">
        <v>351</v>
      </c>
      <c r="I87" s="99"/>
      <c r="J87" s="99" t="s">
        <v>4879</v>
      </c>
    </row>
    <row r="88" spans="1:10" ht="23.5" customHeight="1">
      <c r="A88" s="99" t="s">
        <v>4876</v>
      </c>
      <c r="B88" s="99"/>
      <c r="C88" s="99"/>
      <c r="D88" s="99"/>
      <c r="E88" s="99" t="s">
        <v>4895</v>
      </c>
      <c r="F88" s="99" t="s">
        <v>2716</v>
      </c>
      <c r="G88" s="99" t="s">
        <v>4896</v>
      </c>
      <c r="H88" s="99" t="s">
        <v>351</v>
      </c>
      <c r="I88" s="99"/>
      <c r="J88" s="99" t="s">
        <v>4879</v>
      </c>
    </row>
    <row r="89" spans="1:10" ht="23.5" customHeight="1">
      <c r="A89" s="99" t="s">
        <v>4876</v>
      </c>
      <c r="B89" s="99"/>
      <c r="C89" s="99"/>
      <c r="D89" s="99"/>
      <c r="E89" s="99" t="s">
        <v>4897</v>
      </c>
      <c r="F89" s="99" t="s">
        <v>2716</v>
      </c>
      <c r="G89" s="99" t="s">
        <v>4898</v>
      </c>
      <c r="H89" s="99" t="s">
        <v>351</v>
      </c>
      <c r="I89" s="99"/>
      <c r="J89" s="99" t="s">
        <v>4879</v>
      </c>
    </row>
    <row r="90" spans="1:10" ht="23.5" customHeight="1">
      <c r="A90" s="99" t="s">
        <v>4859</v>
      </c>
      <c r="B90" s="99"/>
      <c r="C90" s="99"/>
      <c r="D90" s="99"/>
      <c r="E90" s="99" t="s">
        <v>4899</v>
      </c>
      <c r="F90" s="99" t="s">
        <v>2716</v>
      </c>
      <c r="G90" s="99" t="s">
        <v>4900</v>
      </c>
      <c r="H90" s="99" t="s">
        <v>351</v>
      </c>
      <c r="I90" s="99"/>
      <c r="J90" s="99" t="s">
        <v>4901</v>
      </c>
    </row>
    <row r="91" spans="1:10" ht="23.5" customHeight="1">
      <c r="A91" s="99" t="s">
        <v>4859</v>
      </c>
      <c r="B91" s="99"/>
      <c r="C91" s="99"/>
      <c r="D91" s="99"/>
      <c r="E91" s="99" t="s">
        <v>4902</v>
      </c>
      <c r="F91" s="99" t="s">
        <v>2716</v>
      </c>
      <c r="G91" s="99" t="s">
        <v>4903</v>
      </c>
      <c r="H91" s="99" t="s">
        <v>351</v>
      </c>
      <c r="I91" s="99"/>
      <c r="J91" s="99" t="s">
        <v>4901</v>
      </c>
    </row>
    <row r="92" spans="1:10" ht="23.5" customHeight="1">
      <c r="A92" s="99" t="s">
        <v>4859</v>
      </c>
      <c r="B92" s="99"/>
      <c r="C92" s="99"/>
      <c r="D92" s="99"/>
      <c r="E92" s="81" t="s">
        <v>4904</v>
      </c>
      <c r="F92" s="99" t="s">
        <v>2716</v>
      </c>
      <c r="G92" s="99" t="s">
        <v>4905</v>
      </c>
      <c r="H92" s="99" t="s">
        <v>351</v>
      </c>
      <c r="I92" s="99"/>
      <c r="J92" s="99" t="s">
        <v>4901</v>
      </c>
    </row>
    <row r="93" spans="1:10" ht="23.5" customHeight="1">
      <c r="A93" s="99" t="s">
        <v>4859</v>
      </c>
      <c r="B93" s="99"/>
      <c r="C93" s="99"/>
      <c r="D93" s="99"/>
      <c r="E93" s="99" t="s">
        <v>4900</v>
      </c>
      <c r="F93" s="99" t="s">
        <v>2716</v>
      </c>
      <c r="G93" s="99" t="s">
        <v>4906</v>
      </c>
      <c r="H93" s="99" t="s">
        <v>351</v>
      </c>
      <c r="I93" s="99"/>
      <c r="J93" s="99" t="s">
        <v>4901</v>
      </c>
    </row>
    <row r="94" spans="1:10" ht="23.5" customHeight="1">
      <c r="A94" s="99" t="s">
        <v>4859</v>
      </c>
      <c r="B94" s="99"/>
      <c r="C94" s="99"/>
      <c r="D94" s="99"/>
      <c r="E94" s="99" t="s">
        <v>4907</v>
      </c>
      <c r="F94" s="99" t="s">
        <v>2716</v>
      </c>
      <c r="G94" s="99" t="s">
        <v>4908</v>
      </c>
      <c r="H94" s="99" t="s">
        <v>351</v>
      </c>
      <c r="I94" s="99"/>
      <c r="J94" s="99" t="s">
        <v>4901</v>
      </c>
    </row>
    <row r="95" spans="1:10" ht="23.5" customHeight="1">
      <c r="A95" s="99" t="s">
        <v>4859</v>
      </c>
      <c r="B95" s="99"/>
      <c r="C95" s="99"/>
      <c r="D95" s="99"/>
      <c r="E95" s="99" t="s">
        <v>4907</v>
      </c>
      <c r="F95" s="99" t="s">
        <v>2716</v>
      </c>
      <c r="G95" s="99"/>
      <c r="H95" s="99" t="s">
        <v>351</v>
      </c>
      <c r="I95" s="99"/>
      <c r="J95" s="99" t="s">
        <v>4901</v>
      </c>
    </row>
    <row r="96" spans="1:10" ht="23.5" customHeight="1">
      <c r="A96" s="99" t="s">
        <v>4909</v>
      </c>
      <c r="B96" s="99"/>
      <c r="C96" s="99"/>
      <c r="D96" s="99"/>
      <c r="E96" s="99" t="s">
        <v>4910</v>
      </c>
      <c r="F96" s="99" t="s">
        <v>2716</v>
      </c>
      <c r="G96" s="99" t="s">
        <v>4911</v>
      </c>
      <c r="H96" s="99" t="s">
        <v>351</v>
      </c>
      <c r="I96" s="99"/>
      <c r="J96" s="99" t="s">
        <v>4912</v>
      </c>
    </row>
    <row r="97" spans="1:10" ht="23.5" customHeight="1">
      <c r="A97" s="99" t="s">
        <v>4909</v>
      </c>
      <c r="B97" s="99"/>
      <c r="C97" s="99"/>
      <c r="D97" s="99"/>
      <c r="E97" s="99" t="s">
        <v>4913</v>
      </c>
      <c r="F97" s="99" t="s">
        <v>2716</v>
      </c>
      <c r="G97" s="99" t="s">
        <v>4914</v>
      </c>
      <c r="H97" s="99" t="s">
        <v>351</v>
      </c>
      <c r="I97" s="99"/>
      <c r="J97" s="99" t="s">
        <v>4912</v>
      </c>
    </row>
    <row r="98" spans="1:10" ht="23.5" customHeight="1">
      <c r="A98" s="99" t="s">
        <v>4915</v>
      </c>
      <c r="B98" s="99"/>
      <c r="C98" s="99"/>
      <c r="D98" s="99"/>
      <c r="E98" s="99" t="s">
        <v>4916</v>
      </c>
      <c r="F98" s="99" t="s">
        <v>2716</v>
      </c>
      <c r="G98" s="99" t="s">
        <v>4917</v>
      </c>
      <c r="H98" s="99" t="s">
        <v>351</v>
      </c>
      <c r="I98" s="99"/>
      <c r="J98" s="99" t="s">
        <v>4912</v>
      </c>
    </row>
    <row r="99" spans="1:10" ht="23.5" customHeight="1">
      <c r="A99" s="99" t="s">
        <v>4909</v>
      </c>
      <c r="B99" s="99"/>
      <c r="C99" s="99"/>
      <c r="D99" s="99"/>
      <c r="E99" s="99" t="s">
        <v>4911</v>
      </c>
      <c r="F99" s="99" t="s">
        <v>2716</v>
      </c>
      <c r="G99" s="99" t="s">
        <v>4918</v>
      </c>
      <c r="H99" s="99" t="s">
        <v>351</v>
      </c>
      <c r="I99" s="99"/>
      <c r="J99" s="99" t="s">
        <v>4912</v>
      </c>
    </row>
    <row r="100" spans="1:10" ht="23.5" customHeight="1">
      <c r="A100" s="99" t="s">
        <v>4909</v>
      </c>
      <c r="B100" s="99"/>
      <c r="C100" s="99"/>
      <c r="D100" s="99"/>
      <c r="E100" s="99" t="s">
        <v>4911</v>
      </c>
      <c r="F100" s="99" t="s">
        <v>2716</v>
      </c>
      <c r="G100" s="99" t="s">
        <v>4919</v>
      </c>
      <c r="H100" s="99" t="s">
        <v>351</v>
      </c>
      <c r="I100" s="99"/>
      <c r="J100" s="99" t="s">
        <v>4912</v>
      </c>
    </row>
    <row r="101" spans="1:10" ht="23.5" customHeight="1">
      <c r="A101" s="99" t="s">
        <v>4909</v>
      </c>
      <c r="B101" s="99"/>
      <c r="C101" s="99"/>
      <c r="D101" s="99"/>
      <c r="E101" s="99" t="s">
        <v>4920</v>
      </c>
      <c r="F101" s="99" t="s">
        <v>2716</v>
      </c>
      <c r="G101" s="99"/>
      <c r="H101" s="99" t="s">
        <v>351</v>
      </c>
      <c r="I101" s="99"/>
      <c r="J101" s="99" t="s">
        <v>4912</v>
      </c>
    </row>
    <row r="102" spans="1:10" ht="23.5" customHeight="1">
      <c r="A102" s="99" t="s">
        <v>4921</v>
      </c>
      <c r="B102" s="99"/>
      <c r="C102" s="99"/>
      <c r="D102" s="99"/>
      <c r="E102" s="99" t="s">
        <v>4922</v>
      </c>
      <c r="F102" s="99" t="s">
        <v>2716</v>
      </c>
      <c r="G102" s="99" t="s">
        <v>4696</v>
      </c>
      <c r="H102" s="99" t="s">
        <v>351</v>
      </c>
      <c r="I102" s="99"/>
      <c r="J102" s="99" t="s">
        <v>4923</v>
      </c>
    </row>
    <row r="103" spans="1:10" ht="23.5" customHeight="1">
      <c r="A103" s="99" t="s">
        <v>4921</v>
      </c>
      <c r="B103" s="99"/>
      <c r="C103" s="99"/>
      <c r="D103" s="99"/>
      <c r="E103" s="99" t="s">
        <v>4924</v>
      </c>
      <c r="F103" s="99" t="s">
        <v>2716</v>
      </c>
      <c r="G103" s="99" t="s">
        <v>4698</v>
      </c>
      <c r="H103" s="99" t="s">
        <v>351</v>
      </c>
      <c r="I103" s="99"/>
      <c r="J103" s="99" t="s">
        <v>4923</v>
      </c>
    </row>
    <row r="104" spans="1:10" ht="23.5" customHeight="1">
      <c r="A104" s="99" t="s">
        <v>4921</v>
      </c>
      <c r="B104" s="99"/>
      <c r="C104" s="99"/>
      <c r="D104" s="99"/>
      <c r="E104" s="99" t="s">
        <v>4925</v>
      </c>
      <c r="F104" s="99" t="s">
        <v>2716</v>
      </c>
      <c r="G104" s="99" t="s">
        <v>4926</v>
      </c>
      <c r="H104" s="99" t="s">
        <v>351</v>
      </c>
      <c r="I104" s="99"/>
      <c r="J104" s="99" t="s">
        <v>4923</v>
      </c>
    </row>
    <row r="105" spans="1:10" ht="23.5" customHeight="1">
      <c r="A105" s="99" t="s">
        <v>4921</v>
      </c>
      <c r="B105" s="99"/>
      <c r="C105" s="99"/>
      <c r="D105" s="99"/>
      <c r="E105" s="99" t="s">
        <v>4927</v>
      </c>
      <c r="F105" s="99" t="s">
        <v>2716</v>
      </c>
      <c r="G105" s="99" t="s">
        <v>4700</v>
      </c>
      <c r="H105" s="99" t="s">
        <v>351</v>
      </c>
      <c r="I105" s="99"/>
      <c r="J105" s="99" t="s">
        <v>4923</v>
      </c>
    </row>
    <row r="106" spans="1:10" ht="23.5" customHeight="1">
      <c r="A106" s="99" t="s">
        <v>4921</v>
      </c>
      <c r="B106" s="99"/>
      <c r="C106" s="99"/>
      <c r="D106" s="99"/>
      <c r="E106" s="99" t="s">
        <v>4928</v>
      </c>
      <c r="F106" s="99" t="s">
        <v>2716</v>
      </c>
      <c r="G106" s="99" t="s">
        <v>4706</v>
      </c>
      <c r="H106" s="99" t="s">
        <v>351</v>
      </c>
      <c r="I106" s="99"/>
      <c r="J106" s="99" t="s">
        <v>4923</v>
      </c>
    </row>
    <row r="107" spans="1:10" ht="23.5" customHeight="1">
      <c r="A107" s="99" t="s">
        <v>4921</v>
      </c>
      <c r="B107" s="99"/>
      <c r="C107" s="99"/>
      <c r="D107" s="99"/>
      <c r="E107" s="99" t="s">
        <v>4929</v>
      </c>
      <c r="F107" s="99" t="s">
        <v>2716</v>
      </c>
      <c r="G107" s="99" t="s">
        <v>4930</v>
      </c>
      <c r="H107" s="99" t="s">
        <v>351</v>
      </c>
      <c r="I107" s="99"/>
      <c r="J107" s="99" t="s">
        <v>4923</v>
      </c>
    </row>
  </sheetData>
  <conditionalFormatting sqref="G1">
    <cfRule type="duplicateValues" dxfId="15" priority="1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C51C-6344-4A66-882F-031347B4284C}">
  <dimension ref="A1:F386"/>
  <sheetViews>
    <sheetView topLeftCell="A370" workbookViewId="0"/>
  </sheetViews>
  <sheetFormatPr defaultRowHeight="14.5"/>
  <cols>
    <col min="1" max="1" width="4" bestFit="1" customWidth="1"/>
    <col min="2" max="2" width="30.54296875" bestFit="1" customWidth="1"/>
    <col min="3" max="3" width="30.453125" style="77" bestFit="1" customWidth="1"/>
    <col min="4" max="4" width="19.54296875" bestFit="1" customWidth="1"/>
  </cols>
  <sheetData>
    <row r="1" spans="1:6">
      <c r="A1" s="1" t="s">
        <v>4931</v>
      </c>
      <c r="B1" s="1" t="s">
        <v>78</v>
      </c>
      <c r="C1" s="1" t="s">
        <v>79</v>
      </c>
      <c r="D1" s="1" t="s">
        <v>4932</v>
      </c>
    </row>
    <row r="2" spans="1:6">
      <c r="A2" s="41">
        <v>276</v>
      </c>
      <c r="B2" s="446" t="s">
        <v>1136</v>
      </c>
      <c r="C2" s="446" t="s">
        <v>386</v>
      </c>
      <c r="D2" s="446" t="s">
        <v>4933</v>
      </c>
      <c r="F2" s="41" t="s">
        <v>3099</v>
      </c>
    </row>
    <row r="3" spans="1:6">
      <c r="A3" s="41">
        <v>358</v>
      </c>
      <c r="B3" s="446" t="s">
        <v>1136</v>
      </c>
      <c r="C3" s="446" t="s">
        <v>4934</v>
      </c>
      <c r="D3" s="446" t="s">
        <v>4933</v>
      </c>
      <c r="F3" s="41" t="s">
        <v>3102</v>
      </c>
    </row>
    <row r="4" spans="1:6">
      <c r="A4" s="41">
        <v>364</v>
      </c>
      <c r="B4" s="446" t="s">
        <v>1136</v>
      </c>
      <c r="C4" s="446" t="s">
        <v>582</v>
      </c>
      <c r="D4" s="446" t="s">
        <v>4933</v>
      </c>
      <c r="F4" s="41" t="s">
        <v>916</v>
      </c>
    </row>
    <row r="5" spans="1:6">
      <c r="A5" s="41">
        <v>337</v>
      </c>
      <c r="B5" s="446" t="s">
        <v>1136</v>
      </c>
      <c r="C5" s="446" t="s">
        <v>522</v>
      </c>
      <c r="D5" s="446" t="s">
        <v>4933</v>
      </c>
      <c r="F5" s="41" t="s">
        <v>914</v>
      </c>
    </row>
    <row r="6" spans="1:6">
      <c r="A6" s="41">
        <v>335</v>
      </c>
      <c r="B6" s="446" t="s">
        <v>1136</v>
      </c>
      <c r="C6" s="446" t="s">
        <v>519</v>
      </c>
      <c r="D6" s="446" t="s">
        <v>4933</v>
      </c>
      <c r="F6" s="41" t="s">
        <v>927</v>
      </c>
    </row>
    <row r="7" spans="1:6">
      <c r="A7" s="41">
        <v>336</v>
      </c>
      <c r="B7" s="446" t="s">
        <v>1136</v>
      </c>
      <c r="C7" s="446" t="s">
        <v>520</v>
      </c>
      <c r="D7" s="446" t="s">
        <v>4933</v>
      </c>
      <c r="F7" s="41" t="s">
        <v>924</v>
      </c>
    </row>
    <row r="8" spans="1:6">
      <c r="A8" s="41">
        <v>334</v>
      </c>
      <c r="B8" s="446" t="s">
        <v>1136</v>
      </c>
      <c r="C8" s="446" t="s">
        <v>518</v>
      </c>
      <c r="D8" s="446" t="s">
        <v>4933</v>
      </c>
      <c r="F8" s="41" t="s">
        <v>310</v>
      </c>
    </row>
    <row r="9" spans="1:6">
      <c r="A9" s="41">
        <v>283</v>
      </c>
      <c r="B9" s="446" t="s">
        <v>1136</v>
      </c>
      <c r="C9" s="446" t="s">
        <v>400</v>
      </c>
      <c r="D9" s="446" t="s">
        <v>4933</v>
      </c>
      <c r="F9" s="41" t="s">
        <v>312</v>
      </c>
    </row>
    <row r="10" spans="1:6">
      <c r="A10" s="41">
        <v>326</v>
      </c>
      <c r="B10" s="446" t="s">
        <v>1136</v>
      </c>
      <c r="C10" s="446" t="s">
        <v>501</v>
      </c>
      <c r="D10" s="446" t="s">
        <v>4933</v>
      </c>
      <c r="F10" s="41" t="s">
        <v>929</v>
      </c>
    </row>
    <row r="11" spans="1:6">
      <c r="A11" s="41">
        <v>361</v>
      </c>
      <c r="B11" s="446" t="s">
        <v>1136</v>
      </c>
      <c r="C11" s="446" t="s">
        <v>575</v>
      </c>
      <c r="D11" s="446" t="s">
        <v>4933</v>
      </c>
      <c r="F11" s="41" t="s">
        <v>931</v>
      </c>
    </row>
    <row r="12" spans="1:6">
      <c r="A12" s="41">
        <v>362</v>
      </c>
      <c r="B12" s="446" t="s">
        <v>1136</v>
      </c>
      <c r="C12" s="446" t="s">
        <v>4935</v>
      </c>
      <c r="D12" s="446" t="s">
        <v>4933</v>
      </c>
      <c r="F12" s="41" t="s">
        <v>933</v>
      </c>
    </row>
    <row r="13" spans="1:6">
      <c r="A13" s="41">
        <v>338</v>
      </c>
      <c r="B13" s="446" t="s">
        <v>1136</v>
      </c>
      <c r="C13" s="446" t="s">
        <v>523</v>
      </c>
      <c r="D13" s="446" t="s">
        <v>4933</v>
      </c>
      <c r="F13" s="41" t="s">
        <v>935</v>
      </c>
    </row>
    <row r="14" spans="1:6">
      <c r="A14" s="41">
        <v>299</v>
      </c>
      <c r="B14" s="446" t="s">
        <v>1136</v>
      </c>
      <c r="C14" s="446" t="s">
        <v>433</v>
      </c>
      <c r="D14" s="446" t="s">
        <v>4933</v>
      </c>
      <c r="F14" s="41" t="s">
        <v>937</v>
      </c>
    </row>
    <row r="15" spans="1:6">
      <c r="A15" s="41">
        <v>300</v>
      </c>
      <c r="B15" s="446" t="s">
        <v>1136</v>
      </c>
      <c r="C15" s="446" t="s">
        <v>434</v>
      </c>
      <c r="D15" s="446" t="s">
        <v>4933</v>
      </c>
      <c r="F15" s="41" t="s">
        <v>939</v>
      </c>
    </row>
    <row r="16" spans="1:6">
      <c r="A16" s="41">
        <v>301</v>
      </c>
      <c r="B16" s="446" t="s">
        <v>1136</v>
      </c>
      <c r="C16" s="446" t="s">
        <v>437</v>
      </c>
      <c r="D16" s="446" t="s">
        <v>4933</v>
      </c>
      <c r="F16" s="41" t="s">
        <v>941</v>
      </c>
    </row>
    <row r="17" spans="1:6">
      <c r="A17" s="41">
        <v>298</v>
      </c>
      <c r="B17" s="446" t="s">
        <v>1136</v>
      </c>
      <c r="C17" s="446" t="s">
        <v>431</v>
      </c>
      <c r="D17" s="446" t="s">
        <v>4933</v>
      </c>
      <c r="F17" s="41" t="s">
        <v>943</v>
      </c>
    </row>
    <row r="18" spans="1:6">
      <c r="A18" s="41">
        <v>281</v>
      </c>
      <c r="B18" s="446" t="s">
        <v>1136</v>
      </c>
      <c r="C18" s="446" t="s">
        <v>396</v>
      </c>
      <c r="D18" s="446" t="s">
        <v>4933</v>
      </c>
      <c r="F18" s="41" t="s">
        <v>1094</v>
      </c>
    </row>
    <row r="19" spans="1:6">
      <c r="A19" s="41">
        <v>376</v>
      </c>
      <c r="B19" s="446" t="s">
        <v>1136</v>
      </c>
      <c r="C19" s="446" t="s">
        <v>609</v>
      </c>
      <c r="D19" s="446" t="s">
        <v>4933</v>
      </c>
      <c r="F19" s="41" t="s">
        <v>1096</v>
      </c>
    </row>
    <row r="20" spans="1:6">
      <c r="A20" s="41">
        <v>339</v>
      </c>
      <c r="B20" s="446" t="s">
        <v>1136</v>
      </c>
      <c r="C20" s="446" t="s">
        <v>524</v>
      </c>
      <c r="D20" s="446" t="s">
        <v>4933</v>
      </c>
      <c r="F20" s="41" t="s">
        <v>945</v>
      </c>
    </row>
    <row r="21" spans="1:6">
      <c r="A21" s="41">
        <v>327</v>
      </c>
      <c r="B21" s="446" t="s">
        <v>1136</v>
      </c>
      <c r="C21" s="446" t="s">
        <v>504</v>
      </c>
      <c r="D21" s="446" t="s">
        <v>4933</v>
      </c>
      <c r="F21" s="41" t="s">
        <v>947</v>
      </c>
    </row>
    <row r="22" spans="1:6">
      <c r="A22" s="41">
        <v>333</v>
      </c>
      <c r="B22" s="446" t="s">
        <v>1136</v>
      </c>
      <c r="C22" s="446" t="s">
        <v>516</v>
      </c>
      <c r="D22" s="446" t="s">
        <v>4933</v>
      </c>
      <c r="F22" s="41" t="s">
        <v>949</v>
      </c>
    </row>
    <row r="23" spans="1:6">
      <c r="A23" s="41">
        <v>328</v>
      </c>
      <c r="B23" s="446" t="s">
        <v>1136</v>
      </c>
      <c r="C23" s="446" t="s">
        <v>506</v>
      </c>
      <c r="D23" s="446" t="s">
        <v>4933</v>
      </c>
      <c r="F23" s="41" t="s">
        <v>951</v>
      </c>
    </row>
    <row r="24" spans="1:6">
      <c r="A24" s="41">
        <v>331</v>
      </c>
      <c r="B24" s="446" t="s">
        <v>1136</v>
      </c>
      <c r="C24" s="446" t="s">
        <v>512</v>
      </c>
      <c r="D24" s="446" t="s">
        <v>4933</v>
      </c>
      <c r="F24" s="41" t="s">
        <v>953</v>
      </c>
    </row>
    <row r="25" spans="1:6">
      <c r="A25" s="41">
        <v>329</v>
      </c>
      <c r="B25" s="446" t="s">
        <v>1136</v>
      </c>
      <c r="C25" s="446" t="s">
        <v>508</v>
      </c>
      <c r="D25" s="446" t="s">
        <v>4933</v>
      </c>
      <c r="F25" s="41" t="s">
        <v>955</v>
      </c>
    </row>
    <row r="26" spans="1:6">
      <c r="A26" s="41">
        <v>330</v>
      </c>
      <c r="B26" s="446" t="s">
        <v>1136</v>
      </c>
      <c r="C26" s="446" t="s">
        <v>510</v>
      </c>
      <c r="D26" s="446" t="s">
        <v>4933</v>
      </c>
      <c r="F26" s="41" t="s">
        <v>957</v>
      </c>
    </row>
    <row r="27" spans="1:6">
      <c r="A27" s="41">
        <v>340</v>
      </c>
      <c r="B27" s="446" t="s">
        <v>1136</v>
      </c>
      <c r="C27" s="446" t="s">
        <v>525</v>
      </c>
      <c r="D27" s="446" t="s">
        <v>4933</v>
      </c>
      <c r="F27" s="41" t="s">
        <v>959</v>
      </c>
    </row>
    <row r="28" spans="1:6">
      <c r="A28" s="41">
        <v>374</v>
      </c>
      <c r="B28" s="446" t="s">
        <v>1136</v>
      </c>
      <c r="C28" s="446" t="s">
        <v>604</v>
      </c>
      <c r="D28" s="446" t="s">
        <v>4933</v>
      </c>
      <c r="F28" s="41" t="s">
        <v>961</v>
      </c>
    </row>
    <row r="29" spans="1:6">
      <c r="A29" s="41">
        <v>372</v>
      </c>
      <c r="B29" s="446" t="s">
        <v>1136</v>
      </c>
      <c r="C29" s="446" t="s">
        <v>4936</v>
      </c>
      <c r="D29" s="446" t="s">
        <v>4933</v>
      </c>
      <c r="F29" s="41" t="s">
        <v>963</v>
      </c>
    </row>
    <row r="30" spans="1:6">
      <c r="A30" s="41">
        <v>371</v>
      </c>
      <c r="B30" s="446" t="s">
        <v>1136</v>
      </c>
      <c r="C30" s="446" t="s">
        <v>601</v>
      </c>
      <c r="D30" s="446" t="s">
        <v>4933</v>
      </c>
      <c r="F30" s="41" t="s">
        <v>965</v>
      </c>
    </row>
    <row r="31" spans="1:6">
      <c r="A31" s="41">
        <v>288</v>
      </c>
      <c r="B31" s="446" t="s">
        <v>1136</v>
      </c>
      <c r="C31" s="446" t="s">
        <v>411</v>
      </c>
      <c r="D31" s="446" t="s">
        <v>4933</v>
      </c>
      <c r="F31" s="41" t="s">
        <v>967</v>
      </c>
    </row>
    <row r="32" spans="1:6">
      <c r="A32" s="41">
        <v>324</v>
      </c>
      <c r="B32" s="446" t="s">
        <v>1136</v>
      </c>
      <c r="C32" s="446" t="s">
        <v>493</v>
      </c>
      <c r="D32" s="446" t="s">
        <v>4933</v>
      </c>
      <c r="F32" s="41" t="s">
        <v>969</v>
      </c>
    </row>
    <row r="33" spans="1:6">
      <c r="A33" s="41">
        <v>325</v>
      </c>
      <c r="B33" s="446" t="s">
        <v>1136</v>
      </c>
      <c r="C33" s="446" t="s">
        <v>4937</v>
      </c>
      <c r="D33" s="446" t="s">
        <v>4933</v>
      </c>
      <c r="F33" s="41" t="s">
        <v>971</v>
      </c>
    </row>
    <row r="34" spans="1:6">
      <c r="A34" s="41">
        <v>366</v>
      </c>
      <c r="B34" s="446" t="s">
        <v>1136</v>
      </c>
      <c r="C34" s="446" t="s">
        <v>586</v>
      </c>
      <c r="D34" s="446" t="s">
        <v>4933</v>
      </c>
      <c r="F34" s="41" t="s">
        <v>973</v>
      </c>
    </row>
    <row r="35" spans="1:6">
      <c r="A35" s="41">
        <v>368</v>
      </c>
      <c r="B35" s="446" t="s">
        <v>1136</v>
      </c>
      <c r="C35" s="446" t="s">
        <v>594</v>
      </c>
      <c r="D35" s="446" t="s">
        <v>4933</v>
      </c>
      <c r="F35" s="41" t="s">
        <v>975</v>
      </c>
    </row>
    <row r="36" spans="1:6">
      <c r="A36" s="41">
        <v>332</v>
      </c>
      <c r="B36" s="446" t="s">
        <v>1136</v>
      </c>
      <c r="C36" s="446" t="s">
        <v>514</v>
      </c>
      <c r="D36" s="446" t="s">
        <v>4933</v>
      </c>
      <c r="F36" s="41" t="s">
        <v>977</v>
      </c>
    </row>
    <row r="37" spans="1:6">
      <c r="A37" s="41">
        <v>341</v>
      </c>
      <c r="B37" s="446" t="s">
        <v>1136</v>
      </c>
      <c r="C37" s="446" t="s">
        <v>526</v>
      </c>
      <c r="D37" s="446" t="s">
        <v>4933</v>
      </c>
      <c r="F37" s="41" t="s">
        <v>979</v>
      </c>
    </row>
    <row r="38" spans="1:6">
      <c r="A38" s="41">
        <v>357</v>
      </c>
      <c r="B38" s="446" t="s">
        <v>1136</v>
      </c>
      <c r="C38" s="446" t="s">
        <v>563</v>
      </c>
      <c r="D38" s="446" t="s">
        <v>4933</v>
      </c>
      <c r="F38" s="41" t="s">
        <v>981</v>
      </c>
    </row>
    <row r="39" spans="1:6">
      <c r="A39" s="41">
        <v>363</v>
      </c>
      <c r="B39" s="446" t="s">
        <v>1136</v>
      </c>
      <c r="C39" s="446" t="s">
        <v>579</v>
      </c>
      <c r="D39" s="446" t="s">
        <v>4933</v>
      </c>
      <c r="F39" s="41" t="s">
        <v>983</v>
      </c>
    </row>
    <row r="40" spans="1:6">
      <c r="A40" s="41">
        <v>321</v>
      </c>
      <c r="B40" s="446" t="s">
        <v>1136</v>
      </c>
      <c r="C40" s="446" t="s">
        <v>487</v>
      </c>
      <c r="D40" s="446" t="s">
        <v>4933</v>
      </c>
      <c r="F40" s="41" t="s">
        <v>985</v>
      </c>
    </row>
    <row r="41" spans="1:6">
      <c r="A41" s="41">
        <v>319</v>
      </c>
      <c r="B41" s="446" t="s">
        <v>1136</v>
      </c>
      <c r="C41" s="446" t="s">
        <v>483</v>
      </c>
      <c r="D41" s="446" t="s">
        <v>4933</v>
      </c>
      <c r="F41" s="41" t="s">
        <v>987</v>
      </c>
    </row>
    <row r="42" spans="1:6">
      <c r="A42" s="41">
        <v>320</v>
      </c>
      <c r="B42" s="446" t="s">
        <v>1136</v>
      </c>
      <c r="C42" s="446" t="s">
        <v>484</v>
      </c>
      <c r="D42" s="446" t="s">
        <v>4933</v>
      </c>
      <c r="F42" s="41" t="s">
        <v>989</v>
      </c>
    </row>
    <row r="43" spans="1:6">
      <c r="A43" s="41">
        <v>318</v>
      </c>
      <c r="B43" s="446" t="s">
        <v>1136</v>
      </c>
      <c r="C43" s="446" t="s">
        <v>481</v>
      </c>
      <c r="D43" s="446" t="s">
        <v>4933</v>
      </c>
      <c r="F43" s="41" t="s">
        <v>991</v>
      </c>
    </row>
    <row r="44" spans="1:6">
      <c r="A44" s="41">
        <v>282</v>
      </c>
      <c r="B44" s="446" t="s">
        <v>1136</v>
      </c>
      <c r="C44" s="446" t="s">
        <v>398</v>
      </c>
      <c r="D44" s="446" t="s">
        <v>4933</v>
      </c>
      <c r="F44" s="41" t="s">
        <v>993</v>
      </c>
    </row>
    <row r="45" spans="1:6">
      <c r="A45" s="41">
        <v>310</v>
      </c>
      <c r="B45" s="446" t="s">
        <v>1136</v>
      </c>
      <c r="C45" s="446" t="s">
        <v>459</v>
      </c>
      <c r="D45" s="446" t="s">
        <v>4933</v>
      </c>
      <c r="F45" s="41" t="s">
        <v>995</v>
      </c>
    </row>
    <row r="46" spans="1:6">
      <c r="A46" s="41">
        <v>359</v>
      </c>
      <c r="B46" s="446" t="s">
        <v>1136</v>
      </c>
      <c r="C46" s="446" t="s">
        <v>571</v>
      </c>
      <c r="D46" s="446" t="s">
        <v>4933</v>
      </c>
      <c r="F46" s="41" t="s">
        <v>997</v>
      </c>
    </row>
    <row r="47" spans="1:6">
      <c r="A47" s="41">
        <v>360</v>
      </c>
      <c r="B47" s="446" t="s">
        <v>1136</v>
      </c>
      <c r="C47" s="446" t="s">
        <v>4938</v>
      </c>
      <c r="D47" s="446" t="s">
        <v>4933</v>
      </c>
      <c r="F47" s="41" t="s">
        <v>999</v>
      </c>
    </row>
    <row r="48" spans="1:6">
      <c r="A48" s="41">
        <v>322</v>
      </c>
      <c r="B48" s="446" t="s">
        <v>1136</v>
      </c>
      <c r="C48" s="446" t="s">
        <v>489</v>
      </c>
      <c r="D48" s="446" t="s">
        <v>4933</v>
      </c>
      <c r="F48" s="41" t="s">
        <v>1001</v>
      </c>
    </row>
    <row r="49" spans="1:6">
      <c r="A49" s="41">
        <v>295</v>
      </c>
      <c r="B49" s="446" t="s">
        <v>1136</v>
      </c>
      <c r="C49" s="446" t="s">
        <v>425</v>
      </c>
      <c r="D49" s="446" t="s">
        <v>4933</v>
      </c>
      <c r="F49" s="41" t="s">
        <v>1003</v>
      </c>
    </row>
    <row r="50" spans="1:6">
      <c r="A50" s="41">
        <v>296</v>
      </c>
      <c r="B50" s="446" t="s">
        <v>1136</v>
      </c>
      <c r="C50" s="446" t="s">
        <v>428</v>
      </c>
      <c r="D50" s="446" t="s">
        <v>4933</v>
      </c>
      <c r="F50" s="41" t="s">
        <v>1005</v>
      </c>
    </row>
    <row r="51" spans="1:6">
      <c r="A51" s="41">
        <v>297</v>
      </c>
      <c r="B51" s="446" t="s">
        <v>1136</v>
      </c>
      <c r="C51" s="446" t="s">
        <v>430</v>
      </c>
      <c r="D51" s="446" t="s">
        <v>4933</v>
      </c>
      <c r="F51" s="41" t="s">
        <v>1007</v>
      </c>
    </row>
    <row r="52" spans="1:6">
      <c r="A52" s="41">
        <v>294</v>
      </c>
      <c r="B52" s="446" t="s">
        <v>1136</v>
      </c>
      <c r="C52" s="446" t="s">
        <v>422</v>
      </c>
      <c r="D52" s="446" t="s">
        <v>4933</v>
      </c>
      <c r="F52" s="41" t="s">
        <v>1009</v>
      </c>
    </row>
    <row r="53" spans="1:6">
      <c r="A53" s="41">
        <v>280</v>
      </c>
      <c r="B53" s="446" t="s">
        <v>1136</v>
      </c>
      <c r="C53" s="446" t="s">
        <v>394</v>
      </c>
      <c r="D53" s="446" t="s">
        <v>4933</v>
      </c>
      <c r="F53" s="41" t="s">
        <v>1011</v>
      </c>
    </row>
    <row r="54" spans="1:6">
      <c r="A54" s="41">
        <v>311</v>
      </c>
      <c r="B54" s="446" t="s">
        <v>1136</v>
      </c>
      <c r="C54" s="446" t="s">
        <v>462</v>
      </c>
      <c r="D54" s="446" t="s">
        <v>4933</v>
      </c>
      <c r="F54" s="41" t="s">
        <v>1013</v>
      </c>
    </row>
    <row r="55" spans="1:6">
      <c r="A55" s="41">
        <v>317</v>
      </c>
      <c r="B55" s="446" t="s">
        <v>1136</v>
      </c>
      <c r="C55" s="446" t="s">
        <v>479</v>
      </c>
      <c r="D55" s="446" t="s">
        <v>4933</v>
      </c>
      <c r="F55" s="41" t="s">
        <v>1015</v>
      </c>
    </row>
    <row r="56" spans="1:6">
      <c r="A56" s="41">
        <v>312</v>
      </c>
      <c r="B56" s="446" t="s">
        <v>1136</v>
      </c>
      <c r="C56" s="446" t="s">
        <v>466</v>
      </c>
      <c r="D56" s="446" t="s">
        <v>4933</v>
      </c>
      <c r="F56" s="41" t="s">
        <v>1017</v>
      </c>
    </row>
    <row r="57" spans="1:6">
      <c r="A57" s="41">
        <v>315</v>
      </c>
      <c r="B57" s="446" t="s">
        <v>1136</v>
      </c>
      <c r="C57" s="446" t="s">
        <v>474</v>
      </c>
      <c r="D57" s="446" t="s">
        <v>4933</v>
      </c>
      <c r="F57" s="41" t="s">
        <v>1019</v>
      </c>
    </row>
    <row r="58" spans="1:6">
      <c r="A58" s="41">
        <v>313</v>
      </c>
      <c r="B58" s="446" t="s">
        <v>1136</v>
      </c>
      <c r="C58" s="446" t="s">
        <v>468</v>
      </c>
      <c r="D58" s="446" t="s">
        <v>4933</v>
      </c>
      <c r="F58" s="41" t="s">
        <v>1021</v>
      </c>
    </row>
    <row r="59" spans="1:6">
      <c r="A59" s="41">
        <v>314</v>
      </c>
      <c r="B59" s="446" t="s">
        <v>1136</v>
      </c>
      <c r="C59" s="446" t="s">
        <v>471</v>
      </c>
      <c r="D59" s="446" t="s">
        <v>4933</v>
      </c>
      <c r="F59" s="41" t="s">
        <v>1102</v>
      </c>
    </row>
    <row r="60" spans="1:6">
      <c r="A60" s="41">
        <v>323</v>
      </c>
      <c r="B60" s="446" t="s">
        <v>1136</v>
      </c>
      <c r="C60" s="446" t="s">
        <v>490</v>
      </c>
      <c r="D60" s="446" t="s">
        <v>4933</v>
      </c>
      <c r="F60" s="41" t="s">
        <v>1104</v>
      </c>
    </row>
    <row r="61" spans="1:6">
      <c r="A61" s="41">
        <v>373</v>
      </c>
      <c r="B61" s="446" t="s">
        <v>1136</v>
      </c>
      <c r="C61" s="446" t="s">
        <v>603</v>
      </c>
      <c r="D61" s="446" t="s">
        <v>4933</v>
      </c>
      <c r="F61" s="41" t="s">
        <v>1106</v>
      </c>
    </row>
    <row r="62" spans="1:6">
      <c r="A62" s="41">
        <v>370</v>
      </c>
      <c r="B62" s="446" t="s">
        <v>1136</v>
      </c>
      <c r="C62" s="446" t="s">
        <v>4939</v>
      </c>
      <c r="D62" s="446" t="s">
        <v>4933</v>
      </c>
      <c r="F62" s="41" t="s">
        <v>1108</v>
      </c>
    </row>
    <row r="63" spans="1:6">
      <c r="A63" s="41">
        <v>369</v>
      </c>
      <c r="B63" s="446" t="s">
        <v>1136</v>
      </c>
      <c r="C63" s="446" t="s">
        <v>598</v>
      </c>
      <c r="D63" s="446" t="s">
        <v>4933</v>
      </c>
      <c r="F63" s="41" t="s">
        <v>1023</v>
      </c>
    </row>
    <row r="64" spans="1:6">
      <c r="A64" s="41">
        <v>287</v>
      </c>
      <c r="B64" s="446" t="s">
        <v>1136</v>
      </c>
      <c r="C64" s="446" t="s">
        <v>409</v>
      </c>
      <c r="D64" s="446" t="s">
        <v>4933</v>
      </c>
      <c r="F64" s="41" t="s">
        <v>1025</v>
      </c>
    </row>
    <row r="65" spans="1:6">
      <c r="A65" s="41">
        <v>309</v>
      </c>
      <c r="B65" s="446" t="s">
        <v>1136</v>
      </c>
      <c r="C65" s="446" t="s">
        <v>454</v>
      </c>
      <c r="D65" s="446" t="s">
        <v>4933</v>
      </c>
      <c r="F65" s="41" t="s">
        <v>1027</v>
      </c>
    </row>
    <row r="66" spans="1:6">
      <c r="A66" s="41">
        <v>365</v>
      </c>
      <c r="B66" s="446" t="s">
        <v>1136</v>
      </c>
      <c r="C66" s="446" t="s">
        <v>584</v>
      </c>
      <c r="D66" s="446" t="s">
        <v>4933</v>
      </c>
      <c r="F66" s="41" t="s">
        <v>1029</v>
      </c>
    </row>
    <row r="67" spans="1:6">
      <c r="A67" s="41">
        <v>367</v>
      </c>
      <c r="B67" s="446" t="s">
        <v>1136</v>
      </c>
      <c r="C67" s="446" t="s">
        <v>590</v>
      </c>
      <c r="D67" s="446" t="s">
        <v>4933</v>
      </c>
      <c r="F67" s="41" t="s">
        <v>1031</v>
      </c>
    </row>
    <row r="68" spans="1:6">
      <c r="A68" s="41">
        <v>316</v>
      </c>
      <c r="B68" s="446" t="s">
        <v>1136</v>
      </c>
      <c r="C68" s="446" t="s">
        <v>476</v>
      </c>
      <c r="D68" s="446" t="s">
        <v>4933</v>
      </c>
      <c r="F68" s="41" t="s">
        <v>1033</v>
      </c>
    </row>
    <row r="69" spans="1:6">
      <c r="A69" s="41">
        <v>375</v>
      </c>
      <c r="B69" s="446" t="s">
        <v>1136</v>
      </c>
      <c r="C69" s="446" t="s">
        <v>607</v>
      </c>
      <c r="D69" s="446" t="s">
        <v>4933</v>
      </c>
      <c r="F69" s="41" t="s">
        <v>1035</v>
      </c>
    </row>
    <row r="70" spans="1:6">
      <c r="A70" s="41">
        <v>175</v>
      </c>
      <c r="B70" s="446" t="s">
        <v>1136</v>
      </c>
      <c r="C70" s="446" t="s">
        <v>3240</v>
      </c>
      <c r="D70" s="446" t="s">
        <v>4940</v>
      </c>
      <c r="F70" s="41" t="s">
        <v>1037</v>
      </c>
    </row>
    <row r="71" spans="1:6">
      <c r="A71" s="41">
        <v>188</v>
      </c>
      <c r="B71" s="446" t="s">
        <v>1136</v>
      </c>
      <c r="C71" s="446" t="s">
        <v>3273</v>
      </c>
      <c r="D71" s="446" t="s">
        <v>4940</v>
      </c>
      <c r="F71" s="41" t="s">
        <v>1039</v>
      </c>
    </row>
    <row r="72" spans="1:6">
      <c r="A72" s="41">
        <v>171</v>
      </c>
      <c r="B72" s="446" t="s">
        <v>1136</v>
      </c>
      <c r="C72" s="446" t="s">
        <v>3233</v>
      </c>
      <c r="D72" s="446" t="s">
        <v>4940</v>
      </c>
      <c r="F72" s="41" t="s">
        <v>1041</v>
      </c>
    </row>
    <row r="73" spans="1:6">
      <c r="A73" s="41">
        <v>179</v>
      </c>
      <c r="B73" s="446" t="s">
        <v>1136</v>
      </c>
      <c r="C73" s="446" t="s">
        <v>3250</v>
      </c>
      <c r="D73" s="446" t="s">
        <v>4940</v>
      </c>
      <c r="F73" s="41" t="s">
        <v>1043</v>
      </c>
    </row>
    <row r="74" spans="1:6">
      <c r="A74" s="41">
        <v>173</v>
      </c>
      <c r="B74" s="446" t="s">
        <v>1136</v>
      </c>
      <c r="C74" s="446" t="s">
        <v>3237</v>
      </c>
      <c r="D74" s="446" t="s">
        <v>4940</v>
      </c>
      <c r="F74" s="41" t="s">
        <v>1045</v>
      </c>
    </row>
    <row r="75" spans="1:6">
      <c r="A75" s="41">
        <v>185</v>
      </c>
      <c r="B75" s="446" t="s">
        <v>1136</v>
      </c>
      <c r="C75" s="446" t="s">
        <v>3265</v>
      </c>
      <c r="D75" s="446" t="s">
        <v>4940</v>
      </c>
      <c r="F75" s="41" t="s">
        <v>1047</v>
      </c>
    </row>
    <row r="76" spans="1:6">
      <c r="A76" s="41">
        <v>186</v>
      </c>
      <c r="B76" s="446" t="s">
        <v>1136</v>
      </c>
      <c r="C76" s="446" t="s">
        <v>3268</v>
      </c>
      <c r="D76" s="446" t="s">
        <v>4940</v>
      </c>
      <c r="F76" s="41" t="s">
        <v>1049</v>
      </c>
    </row>
    <row r="77" spans="1:6">
      <c r="A77" s="41">
        <v>183</v>
      </c>
      <c r="B77" s="446" t="s">
        <v>1136</v>
      </c>
      <c r="C77" s="446" t="s">
        <v>3261</v>
      </c>
      <c r="D77" s="446" t="s">
        <v>4940</v>
      </c>
      <c r="F77" s="41" t="s">
        <v>1051</v>
      </c>
    </row>
    <row r="78" spans="1:6">
      <c r="A78" s="41">
        <v>181</v>
      </c>
      <c r="B78" s="446" t="s">
        <v>1136</v>
      </c>
      <c r="C78" s="446" t="s">
        <v>3256</v>
      </c>
      <c r="D78" s="446" t="s">
        <v>4940</v>
      </c>
      <c r="F78" s="41" t="s">
        <v>1053</v>
      </c>
    </row>
    <row r="79" spans="1:6">
      <c r="A79" s="41">
        <v>174</v>
      </c>
      <c r="B79" s="446" t="s">
        <v>1136</v>
      </c>
      <c r="C79" s="446" t="s">
        <v>3238</v>
      </c>
      <c r="D79" s="446" t="s">
        <v>4940</v>
      </c>
      <c r="F79" s="41" t="s">
        <v>1055</v>
      </c>
    </row>
    <row r="80" spans="1:6">
      <c r="A80" s="41">
        <v>180</v>
      </c>
      <c r="B80" s="446" t="s">
        <v>1136</v>
      </c>
      <c r="C80" s="446" t="s">
        <v>3253</v>
      </c>
      <c r="D80" s="446" t="s">
        <v>4940</v>
      </c>
      <c r="F80" s="41" t="s">
        <v>1057</v>
      </c>
    </row>
    <row r="81" spans="1:6">
      <c r="A81" s="41">
        <v>184</v>
      </c>
      <c r="B81" s="446" t="s">
        <v>1136</v>
      </c>
      <c r="C81" s="446" t="s">
        <v>3263</v>
      </c>
      <c r="D81" s="446" t="s">
        <v>4940</v>
      </c>
      <c r="F81" s="41" t="s">
        <v>1059</v>
      </c>
    </row>
    <row r="82" spans="1:6">
      <c r="A82" s="41">
        <v>187</v>
      </c>
      <c r="B82" s="446" t="s">
        <v>1136</v>
      </c>
      <c r="C82" s="446" t="s">
        <v>3270</v>
      </c>
      <c r="D82" s="446" t="s">
        <v>4940</v>
      </c>
      <c r="F82" s="41" t="s">
        <v>1061</v>
      </c>
    </row>
    <row r="83" spans="1:6">
      <c r="A83" s="41">
        <v>177</v>
      </c>
      <c r="B83" s="446" t="s">
        <v>1136</v>
      </c>
      <c r="C83" s="446" t="s">
        <v>3245</v>
      </c>
      <c r="D83" s="446" t="s">
        <v>4940</v>
      </c>
      <c r="F83" s="41" t="s">
        <v>1063</v>
      </c>
    </row>
    <row r="84" spans="1:6">
      <c r="A84" s="41">
        <v>178</v>
      </c>
      <c r="B84" s="446" t="s">
        <v>1136</v>
      </c>
      <c r="C84" s="446" t="s">
        <v>3247</v>
      </c>
      <c r="D84" s="446" t="s">
        <v>4940</v>
      </c>
      <c r="F84" s="41" t="s">
        <v>1065</v>
      </c>
    </row>
    <row r="85" spans="1:6">
      <c r="A85" s="41">
        <v>176</v>
      </c>
      <c r="B85" s="446" t="s">
        <v>1136</v>
      </c>
      <c r="C85" s="446" t="s">
        <v>3243</v>
      </c>
      <c r="D85" s="446" t="s">
        <v>4940</v>
      </c>
      <c r="F85" s="41" t="s">
        <v>1067</v>
      </c>
    </row>
    <row r="86" spans="1:6">
      <c r="A86" s="41">
        <v>172</v>
      </c>
      <c r="B86" s="446" t="s">
        <v>1136</v>
      </c>
      <c r="C86" s="446" t="s">
        <v>3235</v>
      </c>
      <c r="D86" s="446" t="s">
        <v>4940</v>
      </c>
      <c r="F86" s="41" t="s">
        <v>1069</v>
      </c>
    </row>
    <row r="87" spans="1:6">
      <c r="A87" s="41">
        <v>277</v>
      </c>
      <c r="B87" s="446" t="s">
        <v>1136</v>
      </c>
      <c r="C87" s="446" t="s">
        <v>388</v>
      </c>
      <c r="D87" s="446" t="s">
        <v>4933</v>
      </c>
      <c r="F87" s="41" t="s">
        <v>1071</v>
      </c>
    </row>
    <row r="88" spans="1:6">
      <c r="A88" s="41">
        <v>286</v>
      </c>
      <c r="B88" s="446" t="s">
        <v>1136</v>
      </c>
      <c r="C88" s="446" t="s">
        <v>559</v>
      </c>
      <c r="D88" s="446" t="s">
        <v>4933</v>
      </c>
      <c r="F88" s="41" t="s">
        <v>1073</v>
      </c>
    </row>
    <row r="89" spans="1:6">
      <c r="A89" s="41">
        <v>304</v>
      </c>
      <c r="B89" s="446" t="s">
        <v>1136</v>
      </c>
      <c r="C89" s="446" t="s">
        <v>444</v>
      </c>
      <c r="D89" s="446" t="s">
        <v>4933</v>
      </c>
      <c r="F89" s="41" t="s">
        <v>1075</v>
      </c>
    </row>
    <row r="90" spans="1:6">
      <c r="A90" s="41">
        <v>293</v>
      </c>
      <c r="B90" s="446" t="s">
        <v>1136</v>
      </c>
      <c r="C90" s="446" t="s">
        <v>421</v>
      </c>
      <c r="D90" s="446" t="s">
        <v>4933</v>
      </c>
      <c r="F90" s="41" t="s">
        <v>1077</v>
      </c>
    </row>
    <row r="91" spans="1:6">
      <c r="A91" s="41">
        <v>194</v>
      </c>
      <c r="B91" s="446" t="s">
        <v>1136</v>
      </c>
      <c r="C91" s="446" t="s">
        <v>1171</v>
      </c>
      <c r="D91" s="446" t="s">
        <v>4940</v>
      </c>
      <c r="F91" s="41" t="s">
        <v>1079</v>
      </c>
    </row>
    <row r="92" spans="1:6">
      <c r="A92" s="41">
        <v>234</v>
      </c>
      <c r="B92" s="446" t="s">
        <v>1136</v>
      </c>
      <c r="C92" s="446" t="s">
        <v>232</v>
      </c>
      <c r="D92" s="446" t="s">
        <v>4941</v>
      </c>
      <c r="F92" s="41" t="s">
        <v>1081</v>
      </c>
    </row>
    <row r="93" spans="1:6">
      <c r="A93" s="41">
        <v>231</v>
      </c>
      <c r="B93" s="446" t="s">
        <v>1136</v>
      </c>
      <c r="C93" s="446" t="s">
        <v>339</v>
      </c>
      <c r="D93" s="446" t="s">
        <v>4941</v>
      </c>
      <c r="F93" s="41" t="s">
        <v>1083</v>
      </c>
    </row>
    <row r="94" spans="1:6">
      <c r="A94" s="41">
        <v>237</v>
      </c>
      <c r="B94" s="446" t="s">
        <v>1136</v>
      </c>
      <c r="C94" s="446" t="s">
        <v>338</v>
      </c>
      <c r="D94" s="446" t="s">
        <v>4941</v>
      </c>
      <c r="F94" s="41" t="s">
        <v>1085</v>
      </c>
    </row>
    <row r="95" spans="1:6">
      <c r="A95" s="41">
        <v>232</v>
      </c>
      <c r="B95" s="446" t="s">
        <v>1136</v>
      </c>
      <c r="C95" s="446" t="s">
        <v>230</v>
      </c>
      <c r="D95" s="446" t="s">
        <v>4941</v>
      </c>
      <c r="F95" s="41" t="s">
        <v>1098</v>
      </c>
    </row>
    <row r="96" spans="1:6">
      <c r="A96" s="41">
        <v>233</v>
      </c>
      <c r="B96" s="446" t="s">
        <v>1136</v>
      </c>
      <c r="C96" s="446" t="s">
        <v>231</v>
      </c>
      <c r="D96" s="446" t="s">
        <v>4941</v>
      </c>
      <c r="F96" s="41" t="s">
        <v>1100</v>
      </c>
    </row>
    <row r="97" spans="1:6">
      <c r="A97" s="41">
        <v>215</v>
      </c>
      <c r="B97" s="446" t="s">
        <v>1136</v>
      </c>
      <c r="C97" s="446" t="s">
        <v>3643</v>
      </c>
      <c r="D97" s="446" t="s">
        <v>4941</v>
      </c>
      <c r="F97" s="41" t="s">
        <v>290</v>
      </c>
    </row>
    <row r="98" spans="1:6">
      <c r="A98" s="41">
        <v>216</v>
      </c>
      <c r="B98" s="446" t="s">
        <v>1136</v>
      </c>
      <c r="C98" s="446" t="s">
        <v>3645</v>
      </c>
      <c r="D98" s="446" t="s">
        <v>4941</v>
      </c>
      <c r="F98" s="41" t="s">
        <v>3114</v>
      </c>
    </row>
    <row r="99" spans="1:6">
      <c r="A99" s="41">
        <v>214</v>
      </c>
      <c r="B99" s="446" t="s">
        <v>1136</v>
      </c>
      <c r="C99" s="446" t="s">
        <v>3641</v>
      </c>
      <c r="D99" s="446" t="s">
        <v>4941</v>
      </c>
      <c r="F99" s="41" t="s">
        <v>3117</v>
      </c>
    </row>
    <row r="100" spans="1:6">
      <c r="A100" s="41">
        <v>207</v>
      </c>
      <c r="B100" s="446" t="s">
        <v>1136</v>
      </c>
      <c r="C100" s="446" t="s">
        <v>3626</v>
      </c>
      <c r="D100" s="446" t="s">
        <v>4941</v>
      </c>
      <c r="F100" s="41" t="s">
        <v>3120</v>
      </c>
    </row>
    <row r="101" spans="1:6">
      <c r="A101" s="41">
        <v>218</v>
      </c>
      <c r="B101" s="446" t="s">
        <v>1136</v>
      </c>
      <c r="C101" s="446" t="s">
        <v>3649</v>
      </c>
      <c r="D101" s="446" t="s">
        <v>4941</v>
      </c>
      <c r="F101" s="41" t="s">
        <v>3121</v>
      </c>
    </row>
    <row r="102" spans="1:6">
      <c r="A102" s="41">
        <v>212</v>
      </c>
      <c r="B102" s="446" t="s">
        <v>1136</v>
      </c>
      <c r="C102" s="446" t="s">
        <v>3637</v>
      </c>
      <c r="D102" s="446" t="s">
        <v>4941</v>
      </c>
      <c r="F102" s="41" t="s">
        <v>3124</v>
      </c>
    </row>
    <row r="103" spans="1:6">
      <c r="A103" s="41">
        <v>213</v>
      </c>
      <c r="B103" s="446" t="s">
        <v>1136</v>
      </c>
      <c r="C103" s="446" t="s">
        <v>3639</v>
      </c>
      <c r="D103" s="446" t="s">
        <v>4941</v>
      </c>
      <c r="F103" s="41" t="s">
        <v>3127</v>
      </c>
    </row>
    <row r="104" spans="1:6">
      <c r="A104" s="41">
        <v>211</v>
      </c>
      <c r="B104" s="446" t="s">
        <v>1136</v>
      </c>
      <c r="C104" s="446" t="s">
        <v>3635</v>
      </c>
      <c r="D104" s="446" t="s">
        <v>4941</v>
      </c>
      <c r="F104" s="41" t="s">
        <v>1389</v>
      </c>
    </row>
    <row r="105" spans="1:6">
      <c r="A105" s="41">
        <v>209</v>
      </c>
      <c r="B105" s="446" t="s">
        <v>1136</v>
      </c>
      <c r="C105" s="446" t="s">
        <v>3631</v>
      </c>
      <c r="D105" s="446" t="s">
        <v>4941</v>
      </c>
      <c r="F105" s="41" t="s">
        <v>3129</v>
      </c>
    </row>
    <row r="106" spans="1:6">
      <c r="A106" s="41">
        <v>210</v>
      </c>
      <c r="B106" s="446" t="s">
        <v>1136</v>
      </c>
      <c r="C106" s="446" t="s">
        <v>3633</v>
      </c>
      <c r="D106" s="446" t="s">
        <v>4941</v>
      </c>
      <c r="F106" s="41" t="s">
        <v>3130</v>
      </c>
    </row>
    <row r="107" spans="1:6">
      <c r="A107" s="41">
        <v>208</v>
      </c>
      <c r="B107" s="446" t="s">
        <v>1136</v>
      </c>
      <c r="C107" s="446" t="s">
        <v>3629</v>
      </c>
      <c r="D107" s="446" t="s">
        <v>4941</v>
      </c>
      <c r="F107" s="41" t="s">
        <v>3131</v>
      </c>
    </row>
    <row r="108" spans="1:6">
      <c r="A108" s="41">
        <v>217</v>
      </c>
      <c r="B108" s="446" t="s">
        <v>1136</v>
      </c>
      <c r="C108" s="446" t="s">
        <v>3647</v>
      </c>
      <c r="D108" s="446" t="s">
        <v>4941</v>
      </c>
      <c r="F108" s="41" t="s">
        <v>3134</v>
      </c>
    </row>
    <row r="109" spans="1:6">
      <c r="A109" s="41">
        <v>219</v>
      </c>
      <c r="B109" s="446" t="s">
        <v>1136</v>
      </c>
      <c r="C109" s="446" t="s">
        <v>3654</v>
      </c>
      <c r="D109" s="446" t="s">
        <v>4941</v>
      </c>
      <c r="F109" s="41" t="s">
        <v>3135</v>
      </c>
    </row>
    <row r="110" spans="1:6">
      <c r="A110" s="41">
        <v>220</v>
      </c>
      <c r="B110" s="446" t="s">
        <v>1136</v>
      </c>
      <c r="C110" s="446" t="s">
        <v>4942</v>
      </c>
      <c r="D110" s="446" t="s">
        <v>4941</v>
      </c>
      <c r="F110" s="41" t="s">
        <v>3137</v>
      </c>
    </row>
    <row r="111" spans="1:6">
      <c r="A111" s="41">
        <v>225</v>
      </c>
      <c r="B111" s="446" t="s">
        <v>1136</v>
      </c>
      <c r="C111" s="446" t="s">
        <v>4943</v>
      </c>
      <c r="D111" s="446" t="s">
        <v>4941</v>
      </c>
      <c r="F111" s="41" t="s">
        <v>3138</v>
      </c>
    </row>
    <row r="112" spans="1:6">
      <c r="A112" s="41">
        <v>224</v>
      </c>
      <c r="B112" s="446" t="s">
        <v>1136</v>
      </c>
      <c r="C112" s="446" t="s">
        <v>4944</v>
      </c>
      <c r="D112" s="446" t="s">
        <v>4941</v>
      </c>
      <c r="F112" s="41" t="s">
        <v>3139</v>
      </c>
    </row>
    <row r="113" spans="1:6">
      <c r="A113" s="41">
        <v>222</v>
      </c>
      <c r="B113" s="446" t="s">
        <v>1136</v>
      </c>
      <c r="C113" s="446" t="s">
        <v>3662</v>
      </c>
      <c r="D113" s="446" t="s">
        <v>4941</v>
      </c>
      <c r="F113" s="41" t="s">
        <v>1329</v>
      </c>
    </row>
    <row r="114" spans="1:6">
      <c r="A114" s="41">
        <v>223</v>
      </c>
      <c r="B114" s="446" t="s">
        <v>1136</v>
      </c>
      <c r="C114" s="446" t="s">
        <v>4945</v>
      </c>
      <c r="D114" s="446" t="s">
        <v>4941</v>
      </c>
      <c r="F114" s="41" t="s">
        <v>3141</v>
      </c>
    </row>
    <row r="115" spans="1:6">
      <c r="A115" s="41">
        <v>230</v>
      </c>
      <c r="B115" s="446" t="s">
        <v>1136</v>
      </c>
      <c r="C115" s="446" t="s">
        <v>4946</v>
      </c>
      <c r="D115" s="446" t="s">
        <v>4941</v>
      </c>
      <c r="F115" s="41" t="s">
        <v>3142</v>
      </c>
    </row>
    <row r="116" spans="1:6">
      <c r="A116" s="41">
        <v>221</v>
      </c>
      <c r="B116" s="446" t="s">
        <v>1136</v>
      </c>
      <c r="C116" s="446" t="s">
        <v>4947</v>
      </c>
      <c r="D116" s="446" t="s">
        <v>4941</v>
      </c>
      <c r="F116" s="41" t="s">
        <v>3143</v>
      </c>
    </row>
    <row r="117" spans="1:6">
      <c r="A117" s="41">
        <v>229</v>
      </c>
      <c r="B117" s="446" t="s">
        <v>1136</v>
      </c>
      <c r="C117" s="446" t="s">
        <v>4948</v>
      </c>
      <c r="D117" s="446" t="s">
        <v>4941</v>
      </c>
      <c r="F117" s="41" t="s">
        <v>3146</v>
      </c>
    </row>
    <row r="118" spans="1:6">
      <c r="A118" s="41">
        <v>228</v>
      </c>
      <c r="B118" s="446" t="s">
        <v>1136</v>
      </c>
      <c r="C118" s="446" t="s">
        <v>4949</v>
      </c>
      <c r="D118" s="446" t="s">
        <v>4941</v>
      </c>
      <c r="F118" s="41" t="s">
        <v>3147</v>
      </c>
    </row>
    <row r="119" spans="1:6">
      <c r="A119" s="41">
        <v>226</v>
      </c>
      <c r="B119" s="446" t="s">
        <v>1136</v>
      </c>
      <c r="C119" s="446" t="s">
        <v>3673</v>
      </c>
      <c r="D119" s="446" t="s">
        <v>4941</v>
      </c>
      <c r="F119" s="41" t="s">
        <v>3149</v>
      </c>
    </row>
    <row r="120" spans="1:6">
      <c r="A120" s="41">
        <v>227</v>
      </c>
      <c r="B120" s="446" t="s">
        <v>1136</v>
      </c>
      <c r="C120" s="446" t="s">
        <v>4950</v>
      </c>
      <c r="D120" s="446" t="s">
        <v>4941</v>
      </c>
      <c r="F120" s="41" t="s">
        <v>3151</v>
      </c>
    </row>
    <row r="121" spans="1:6">
      <c r="A121" s="41">
        <v>269</v>
      </c>
      <c r="B121" s="446" t="s">
        <v>1136</v>
      </c>
      <c r="C121" s="446" t="s">
        <v>4951</v>
      </c>
      <c r="D121" s="446" t="s">
        <v>4941</v>
      </c>
      <c r="F121" s="41" t="s">
        <v>3152</v>
      </c>
    </row>
    <row r="122" spans="1:6">
      <c r="A122" s="41">
        <v>236</v>
      </c>
      <c r="B122" s="446" t="s">
        <v>1136</v>
      </c>
      <c r="C122" s="446" t="s">
        <v>256</v>
      </c>
      <c r="D122" s="446" t="s">
        <v>4941</v>
      </c>
      <c r="F122" s="41" t="s">
        <v>3155</v>
      </c>
    </row>
    <row r="123" spans="1:6">
      <c r="A123" s="41">
        <v>235</v>
      </c>
      <c r="B123" s="446" t="s">
        <v>1136</v>
      </c>
      <c r="C123" s="446" t="s">
        <v>250</v>
      </c>
      <c r="D123" s="446" t="s">
        <v>4941</v>
      </c>
      <c r="F123" s="41" t="s">
        <v>3157</v>
      </c>
    </row>
    <row r="124" spans="1:6">
      <c r="A124" s="41">
        <v>7</v>
      </c>
      <c r="B124" s="446" t="s">
        <v>1136</v>
      </c>
      <c r="C124" s="446" t="s">
        <v>310</v>
      </c>
      <c r="D124" s="446" t="s">
        <v>4940</v>
      </c>
      <c r="F124" s="41" t="s">
        <v>3159</v>
      </c>
    </row>
    <row r="125" spans="1:6">
      <c r="A125" s="41">
        <v>275</v>
      </c>
      <c r="B125" s="446" t="s">
        <v>1136</v>
      </c>
      <c r="C125" s="446" t="s">
        <v>384</v>
      </c>
      <c r="D125" s="446" t="s">
        <v>4933</v>
      </c>
      <c r="F125" s="41" t="s">
        <v>1333</v>
      </c>
    </row>
    <row r="126" spans="1:6">
      <c r="A126" s="41">
        <v>278</v>
      </c>
      <c r="B126" s="446" t="s">
        <v>1136</v>
      </c>
      <c r="C126" s="446" t="s">
        <v>390</v>
      </c>
      <c r="D126" s="446" t="s">
        <v>4933</v>
      </c>
      <c r="F126" s="41" t="s">
        <v>635</v>
      </c>
    </row>
    <row r="127" spans="1:6">
      <c r="A127" s="41">
        <v>279</v>
      </c>
      <c r="B127" s="446" t="s">
        <v>1136</v>
      </c>
      <c r="C127" s="446" t="s">
        <v>392</v>
      </c>
      <c r="D127" s="446" t="s">
        <v>4933</v>
      </c>
      <c r="F127" s="41" t="s">
        <v>3161</v>
      </c>
    </row>
    <row r="128" spans="1:6">
      <c r="A128" s="41">
        <v>377</v>
      </c>
      <c r="B128" s="446" t="s">
        <v>1136</v>
      </c>
      <c r="C128" s="446" t="s">
        <v>612</v>
      </c>
      <c r="D128" s="446" t="s">
        <v>4933</v>
      </c>
      <c r="F128" s="41" t="s">
        <v>284</v>
      </c>
    </row>
    <row r="129" spans="1:6">
      <c r="A129" s="41">
        <v>353</v>
      </c>
      <c r="B129" s="446" t="s">
        <v>1136</v>
      </c>
      <c r="C129" s="446" t="s">
        <v>548</v>
      </c>
      <c r="D129" s="446" t="s">
        <v>4933</v>
      </c>
      <c r="F129" s="41" t="s">
        <v>286</v>
      </c>
    </row>
    <row r="130" spans="1:6">
      <c r="A130" s="41">
        <v>351</v>
      </c>
      <c r="B130" s="446" t="s">
        <v>1136</v>
      </c>
      <c r="C130" s="446" t="s">
        <v>545</v>
      </c>
      <c r="D130" s="446" t="s">
        <v>4933</v>
      </c>
      <c r="F130" s="41" t="s">
        <v>283</v>
      </c>
    </row>
    <row r="131" spans="1:6">
      <c r="A131" s="41">
        <v>352</v>
      </c>
      <c r="B131" s="446" t="s">
        <v>1136</v>
      </c>
      <c r="C131" s="446" t="s">
        <v>546</v>
      </c>
      <c r="D131" s="446" t="s">
        <v>4933</v>
      </c>
      <c r="F131" s="41" t="s">
        <v>285</v>
      </c>
    </row>
    <row r="132" spans="1:6">
      <c r="A132" s="41">
        <v>350</v>
      </c>
      <c r="B132" s="446" t="s">
        <v>1136</v>
      </c>
      <c r="C132" s="446" t="s">
        <v>544</v>
      </c>
      <c r="D132" s="446" t="s">
        <v>4933</v>
      </c>
      <c r="F132" s="41" t="s">
        <v>282</v>
      </c>
    </row>
    <row r="133" spans="1:6">
      <c r="A133" s="41">
        <v>343</v>
      </c>
      <c r="B133" s="446" t="s">
        <v>1136</v>
      </c>
      <c r="C133" s="446" t="s">
        <v>530</v>
      </c>
      <c r="D133" s="446" t="s">
        <v>4933</v>
      </c>
      <c r="F133" s="41" t="s">
        <v>3162</v>
      </c>
    </row>
    <row r="134" spans="1:6">
      <c r="A134" s="41">
        <v>378</v>
      </c>
      <c r="B134" s="446" t="s">
        <v>1136</v>
      </c>
      <c r="C134" s="446" t="s">
        <v>615</v>
      </c>
      <c r="D134" s="446" t="s">
        <v>4933</v>
      </c>
      <c r="F134" s="41" t="s">
        <v>3164</v>
      </c>
    </row>
    <row r="135" spans="1:6">
      <c r="A135" s="41">
        <v>384</v>
      </c>
      <c r="B135" s="446" t="s">
        <v>1136</v>
      </c>
      <c r="C135" s="446" t="s">
        <v>4952</v>
      </c>
      <c r="D135" s="446" t="s">
        <v>4933</v>
      </c>
      <c r="F135" s="41" t="s">
        <v>3166</v>
      </c>
    </row>
    <row r="136" spans="1:6">
      <c r="A136" s="41">
        <v>354</v>
      </c>
      <c r="B136" s="446" t="s">
        <v>1136</v>
      </c>
      <c r="C136" s="446" t="s">
        <v>550</v>
      </c>
      <c r="D136" s="446" t="s">
        <v>4933</v>
      </c>
      <c r="F136" s="41" t="s">
        <v>3167</v>
      </c>
    </row>
    <row r="137" spans="1:6">
      <c r="A137" s="41">
        <v>383</v>
      </c>
      <c r="B137" s="446" t="s">
        <v>1136</v>
      </c>
      <c r="C137" s="446" t="s">
        <v>630</v>
      </c>
      <c r="D137" s="446" t="s">
        <v>4933</v>
      </c>
      <c r="F137" s="41" t="s">
        <v>3170</v>
      </c>
    </row>
    <row r="138" spans="1:6">
      <c r="A138" s="41">
        <v>355</v>
      </c>
      <c r="B138" s="446" t="s">
        <v>1136</v>
      </c>
      <c r="C138" s="446" t="s">
        <v>552</v>
      </c>
      <c r="D138" s="446" t="s">
        <v>4933</v>
      </c>
      <c r="F138" s="41" t="s">
        <v>3171</v>
      </c>
    </row>
    <row r="139" spans="1:6">
      <c r="A139" s="41">
        <v>344</v>
      </c>
      <c r="B139" s="446" t="s">
        <v>1136</v>
      </c>
      <c r="C139" s="446" t="s">
        <v>532</v>
      </c>
      <c r="D139" s="446" t="s">
        <v>4933</v>
      </c>
      <c r="F139" s="41" t="s">
        <v>3173</v>
      </c>
    </row>
    <row r="140" spans="1:6">
      <c r="A140" s="41">
        <v>349</v>
      </c>
      <c r="B140" s="446" t="s">
        <v>1136</v>
      </c>
      <c r="C140" s="446" t="s">
        <v>542</v>
      </c>
      <c r="D140" s="446" t="s">
        <v>4933</v>
      </c>
      <c r="F140" s="41" t="s">
        <v>3175</v>
      </c>
    </row>
    <row r="141" spans="1:6">
      <c r="A141" s="41">
        <v>347</v>
      </c>
      <c r="B141" s="446" t="s">
        <v>1136</v>
      </c>
      <c r="C141" s="446" t="s">
        <v>538</v>
      </c>
      <c r="D141" s="446" t="s">
        <v>4933</v>
      </c>
      <c r="F141" s="41" t="s">
        <v>3176</v>
      </c>
    </row>
    <row r="142" spans="1:6">
      <c r="A142" s="41">
        <v>345</v>
      </c>
      <c r="B142" s="446" t="s">
        <v>1136</v>
      </c>
      <c r="C142" s="446" t="s">
        <v>534</v>
      </c>
      <c r="D142" s="446" t="s">
        <v>4933</v>
      </c>
      <c r="F142" s="41" t="s">
        <v>289</v>
      </c>
    </row>
    <row r="143" spans="1:6">
      <c r="A143" s="41">
        <v>346</v>
      </c>
      <c r="B143" s="446" t="s">
        <v>1136</v>
      </c>
      <c r="C143" s="446" t="s">
        <v>536</v>
      </c>
      <c r="D143" s="446" t="s">
        <v>4933</v>
      </c>
      <c r="F143" s="41" t="s">
        <v>3177</v>
      </c>
    </row>
    <row r="144" spans="1:6">
      <c r="A144" s="41">
        <v>356</v>
      </c>
      <c r="B144" s="446" t="s">
        <v>1136</v>
      </c>
      <c r="C144" s="446" t="s">
        <v>553</v>
      </c>
      <c r="D144" s="446" t="s">
        <v>4933</v>
      </c>
      <c r="F144" s="41" t="s">
        <v>288</v>
      </c>
    </row>
    <row r="145" spans="1:6">
      <c r="A145" s="41">
        <v>382</v>
      </c>
      <c r="B145" s="446" t="s">
        <v>1136</v>
      </c>
      <c r="C145" s="446" t="s">
        <v>627</v>
      </c>
      <c r="D145" s="446" t="s">
        <v>4933</v>
      </c>
      <c r="F145" s="41" t="s">
        <v>3178</v>
      </c>
    </row>
    <row r="146" spans="1:6">
      <c r="A146" s="41">
        <v>385</v>
      </c>
      <c r="B146" s="446" t="s">
        <v>1136</v>
      </c>
      <c r="C146" s="446" t="s">
        <v>4953</v>
      </c>
      <c r="D146" s="446" t="s">
        <v>4933</v>
      </c>
      <c r="F146" s="41" t="s">
        <v>287</v>
      </c>
    </row>
    <row r="147" spans="1:6">
      <c r="A147" s="41">
        <v>381</v>
      </c>
      <c r="B147" s="446" t="s">
        <v>1136</v>
      </c>
      <c r="C147" s="446" t="s">
        <v>624</v>
      </c>
      <c r="D147" s="446" t="s">
        <v>4933</v>
      </c>
      <c r="F147" s="41" t="s">
        <v>3179</v>
      </c>
    </row>
    <row r="148" spans="1:6">
      <c r="A148" s="41">
        <v>342</v>
      </c>
      <c r="B148" s="446" t="s">
        <v>1136</v>
      </c>
      <c r="C148" s="446" t="s">
        <v>528</v>
      </c>
      <c r="D148" s="446" t="s">
        <v>4933</v>
      </c>
      <c r="F148" s="41" t="s">
        <v>3181</v>
      </c>
    </row>
    <row r="149" spans="1:6">
      <c r="A149" s="41">
        <v>379</v>
      </c>
      <c r="B149" s="446" t="s">
        <v>1136</v>
      </c>
      <c r="C149" s="446" t="s">
        <v>618</v>
      </c>
      <c r="D149" s="446" t="s">
        <v>4933</v>
      </c>
      <c r="F149" s="41" t="s">
        <v>3183</v>
      </c>
    </row>
    <row r="150" spans="1:6">
      <c r="A150" s="41">
        <v>380</v>
      </c>
      <c r="B150" s="446" t="s">
        <v>1136</v>
      </c>
      <c r="C150" s="446" t="s">
        <v>621</v>
      </c>
      <c r="D150" s="446" t="s">
        <v>4933</v>
      </c>
      <c r="F150" s="41" t="s">
        <v>3185</v>
      </c>
    </row>
    <row r="151" spans="1:6">
      <c r="A151" s="41">
        <v>348</v>
      </c>
      <c r="B151" s="446" t="s">
        <v>1136</v>
      </c>
      <c r="C151" s="446" t="s">
        <v>540</v>
      </c>
      <c r="D151" s="446" t="s">
        <v>4933</v>
      </c>
      <c r="F151" s="41" t="s">
        <v>3187</v>
      </c>
    </row>
    <row r="152" spans="1:6">
      <c r="A152" s="41">
        <v>284</v>
      </c>
      <c r="B152" s="446" t="s">
        <v>1136</v>
      </c>
      <c r="C152" s="446" t="s">
        <v>403</v>
      </c>
      <c r="D152" s="446" t="s">
        <v>4933</v>
      </c>
      <c r="F152" s="41" t="s">
        <v>3189</v>
      </c>
    </row>
    <row r="153" spans="1:6">
      <c r="A153" s="41">
        <v>303</v>
      </c>
      <c r="B153" s="446" t="s">
        <v>1136</v>
      </c>
      <c r="C153" s="446" t="s">
        <v>443</v>
      </c>
      <c r="D153" s="446" t="s">
        <v>4933</v>
      </c>
      <c r="F153" s="41" t="s">
        <v>3190</v>
      </c>
    </row>
    <row r="154" spans="1:6">
      <c r="A154" s="41">
        <v>86</v>
      </c>
      <c r="B154" s="446" t="s">
        <v>1136</v>
      </c>
      <c r="C154" s="446" t="s">
        <v>1071</v>
      </c>
      <c r="D154" s="446" t="s">
        <v>4940</v>
      </c>
      <c r="F154" s="41" t="s">
        <v>3192</v>
      </c>
    </row>
    <row r="155" spans="1:6">
      <c r="A155" s="41">
        <v>90</v>
      </c>
      <c r="B155" s="446" t="s">
        <v>1136</v>
      </c>
      <c r="C155" s="446" t="s">
        <v>1079</v>
      </c>
      <c r="D155" s="446" t="s">
        <v>4940</v>
      </c>
      <c r="F155" s="41" t="s">
        <v>3194</v>
      </c>
    </row>
    <row r="156" spans="1:6">
      <c r="A156" s="41">
        <v>50</v>
      </c>
      <c r="B156" s="446" t="s">
        <v>1136</v>
      </c>
      <c r="C156" s="446" t="s">
        <v>1007</v>
      </c>
      <c r="D156" s="446" t="s">
        <v>4940</v>
      </c>
      <c r="F156" s="41" t="s">
        <v>3196</v>
      </c>
    </row>
    <row r="157" spans="1:6">
      <c r="A157" s="41">
        <v>52</v>
      </c>
      <c r="B157" s="446" t="s">
        <v>1136</v>
      </c>
      <c r="C157" s="446" t="s">
        <v>1011</v>
      </c>
      <c r="D157" s="446" t="s">
        <v>4940</v>
      </c>
      <c r="F157" s="41" t="s">
        <v>3198</v>
      </c>
    </row>
    <row r="158" spans="1:6">
      <c r="A158" s="41">
        <v>88</v>
      </c>
      <c r="B158" s="446" t="s">
        <v>1136</v>
      </c>
      <c r="C158" s="446" t="s">
        <v>1075</v>
      </c>
      <c r="D158" s="446" t="s">
        <v>4940</v>
      </c>
      <c r="F158" s="41" t="s">
        <v>3200</v>
      </c>
    </row>
    <row r="159" spans="1:6">
      <c r="A159" s="41">
        <v>95</v>
      </c>
      <c r="B159" s="446" t="s">
        <v>1136</v>
      </c>
      <c r="C159" s="446" t="s">
        <v>1100</v>
      </c>
      <c r="D159" s="446" t="s">
        <v>4940</v>
      </c>
      <c r="F159" s="41" t="s">
        <v>3201</v>
      </c>
    </row>
    <row r="160" spans="1:6">
      <c r="A160" s="41">
        <v>20</v>
      </c>
      <c r="B160" s="446" t="s">
        <v>1136</v>
      </c>
      <c r="C160" s="446" t="s">
        <v>947</v>
      </c>
      <c r="D160" s="446" t="s">
        <v>4940</v>
      </c>
      <c r="F160" s="41" t="s">
        <v>3203</v>
      </c>
    </row>
    <row r="161" spans="1:6">
      <c r="A161" s="41">
        <v>74</v>
      </c>
      <c r="B161" s="446" t="s">
        <v>1136</v>
      </c>
      <c r="C161" s="446" t="s">
        <v>1047</v>
      </c>
      <c r="D161" s="446" t="s">
        <v>4940</v>
      </c>
      <c r="F161" s="41" t="s">
        <v>3205</v>
      </c>
    </row>
    <row r="162" spans="1:6">
      <c r="A162" s="41">
        <v>33</v>
      </c>
      <c r="B162" s="446" t="s">
        <v>1136</v>
      </c>
      <c r="C162" s="446" t="s">
        <v>973</v>
      </c>
      <c r="D162" s="446" t="s">
        <v>4940</v>
      </c>
      <c r="F162" s="41" t="s">
        <v>3209</v>
      </c>
    </row>
    <row r="163" spans="1:6">
      <c r="A163" s="41">
        <v>60</v>
      </c>
      <c r="B163" s="446" t="s">
        <v>1136</v>
      </c>
      <c r="C163" s="446" t="s">
        <v>1106</v>
      </c>
      <c r="D163" s="446" t="s">
        <v>4940</v>
      </c>
      <c r="F163" s="41" t="s">
        <v>3211</v>
      </c>
    </row>
    <row r="164" spans="1:6">
      <c r="A164" s="41">
        <v>58</v>
      </c>
      <c r="B164" s="446" t="s">
        <v>1136</v>
      </c>
      <c r="C164" s="446" t="s">
        <v>1102</v>
      </c>
      <c r="D164" s="446" t="s">
        <v>4940</v>
      </c>
      <c r="F164" s="41" t="s">
        <v>3215</v>
      </c>
    </row>
    <row r="165" spans="1:6">
      <c r="A165" s="41">
        <v>24</v>
      </c>
      <c r="B165" s="446" t="s">
        <v>1136</v>
      </c>
      <c r="C165" s="446" t="s">
        <v>955</v>
      </c>
      <c r="D165" s="446" t="s">
        <v>4940</v>
      </c>
      <c r="F165" s="41" t="s">
        <v>3219</v>
      </c>
    </row>
    <row r="166" spans="1:6">
      <c r="A166" s="41">
        <v>44</v>
      </c>
      <c r="B166" s="446" t="s">
        <v>1136</v>
      </c>
      <c r="C166" s="446" t="s">
        <v>995</v>
      </c>
      <c r="D166" s="446" t="s">
        <v>4940</v>
      </c>
      <c r="F166" s="41" t="s">
        <v>3222</v>
      </c>
    </row>
    <row r="167" spans="1:6">
      <c r="A167" s="41">
        <v>16</v>
      </c>
      <c r="B167" s="446" t="s">
        <v>1136</v>
      </c>
      <c r="C167" s="446" t="s">
        <v>943</v>
      </c>
      <c r="D167" s="446" t="s">
        <v>4940</v>
      </c>
      <c r="F167" s="41" t="s">
        <v>4954</v>
      </c>
    </row>
    <row r="168" spans="1:6">
      <c r="A168" s="41">
        <v>14</v>
      </c>
      <c r="B168" s="446" t="s">
        <v>1136</v>
      </c>
      <c r="C168" s="446" t="s">
        <v>939</v>
      </c>
      <c r="D168" s="446" t="s">
        <v>4940</v>
      </c>
      <c r="F168" s="41" t="s">
        <v>3223</v>
      </c>
    </row>
    <row r="169" spans="1:6">
      <c r="A169" s="41">
        <v>3</v>
      </c>
      <c r="B169" s="446" t="s">
        <v>1136</v>
      </c>
      <c r="C169" s="446" t="s">
        <v>916</v>
      </c>
      <c r="D169" s="446" t="s">
        <v>4940</v>
      </c>
      <c r="F169" s="41" t="s">
        <v>3226</v>
      </c>
    </row>
    <row r="170" spans="1:6">
      <c r="A170" s="41">
        <v>12</v>
      </c>
      <c r="B170" s="446" t="s">
        <v>1136</v>
      </c>
      <c r="C170" s="446" t="s">
        <v>935</v>
      </c>
      <c r="D170" s="446" t="s">
        <v>4940</v>
      </c>
      <c r="F170" s="41" t="s">
        <v>3228</v>
      </c>
    </row>
    <row r="171" spans="1:6">
      <c r="A171" s="41">
        <v>48</v>
      </c>
      <c r="B171" s="446" t="s">
        <v>1136</v>
      </c>
      <c r="C171" s="446" t="s">
        <v>1003</v>
      </c>
      <c r="D171" s="446" t="s">
        <v>4940</v>
      </c>
      <c r="F171" s="41" t="s">
        <v>1386</v>
      </c>
    </row>
    <row r="172" spans="1:6">
      <c r="A172" s="41">
        <v>10</v>
      </c>
      <c r="B172" s="446" t="s">
        <v>1136</v>
      </c>
      <c r="C172" s="446" t="s">
        <v>931</v>
      </c>
      <c r="D172" s="446" t="s">
        <v>4940</v>
      </c>
      <c r="F172" s="41" t="s">
        <v>3233</v>
      </c>
    </row>
    <row r="173" spans="1:6">
      <c r="A173" s="41">
        <v>78</v>
      </c>
      <c r="B173" s="446" t="s">
        <v>1136</v>
      </c>
      <c r="C173" s="446" t="s">
        <v>1055</v>
      </c>
      <c r="D173" s="446" t="s">
        <v>4940</v>
      </c>
      <c r="F173" s="41" t="s">
        <v>3235</v>
      </c>
    </row>
    <row r="174" spans="1:6">
      <c r="A174" s="41">
        <v>82</v>
      </c>
      <c r="B174" s="446" t="s">
        <v>1136</v>
      </c>
      <c r="C174" s="446" t="s">
        <v>1063</v>
      </c>
      <c r="D174" s="446" t="s">
        <v>4940</v>
      </c>
      <c r="F174" s="41" t="s">
        <v>3237</v>
      </c>
    </row>
    <row r="175" spans="1:6">
      <c r="A175" s="41">
        <v>84</v>
      </c>
      <c r="B175" s="446" t="s">
        <v>1136</v>
      </c>
      <c r="C175" s="446" t="s">
        <v>1067</v>
      </c>
      <c r="D175" s="446" t="s">
        <v>4940</v>
      </c>
      <c r="F175" s="41" t="s">
        <v>3238</v>
      </c>
    </row>
    <row r="176" spans="1:6">
      <c r="A176" s="41">
        <v>80</v>
      </c>
      <c r="B176" s="446" t="s">
        <v>1136</v>
      </c>
      <c r="C176" s="446" t="s">
        <v>1059</v>
      </c>
      <c r="D176" s="446" t="s">
        <v>4940</v>
      </c>
      <c r="F176" s="41" t="s">
        <v>3240</v>
      </c>
    </row>
    <row r="177" spans="1:6">
      <c r="A177" s="41">
        <v>28</v>
      </c>
      <c r="B177" s="446" t="s">
        <v>1136</v>
      </c>
      <c r="C177" s="446" t="s">
        <v>963</v>
      </c>
      <c r="D177" s="446" t="s">
        <v>4940</v>
      </c>
      <c r="F177" s="41" t="s">
        <v>3243</v>
      </c>
    </row>
    <row r="178" spans="1:6">
      <c r="A178" s="41">
        <v>54</v>
      </c>
      <c r="B178" s="446" t="s">
        <v>1136</v>
      </c>
      <c r="C178" s="446" t="s">
        <v>1015</v>
      </c>
      <c r="D178" s="446" t="s">
        <v>4940</v>
      </c>
      <c r="F178" s="41" t="s">
        <v>3245</v>
      </c>
    </row>
    <row r="179" spans="1:6">
      <c r="A179" s="41">
        <v>56</v>
      </c>
      <c r="B179" s="446" t="s">
        <v>1136</v>
      </c>
      <c r="C179" s="446" t="s">
        <v>1019</v>
      </c>
      <c r="D179" s="446" t="s">
        <v>4940</v>
      </c>
      <c r="F179" s="41" t="s">
        <v>3247</v>
      </c>
    </row>
    <row r="180" spans="1:6">
      <c r="A180" s="41">
        <v>31</v>
      </c>
      <c r="B180" s="446" t="s">
        <v>1136</v>
      </c>
      <c r="C180" s="446" t="s">
        <v>969</v>
      </c>
      <c r="D180" s="446" t="s">
        <v>4940</v>
      </c>
      <c r="F180" s="41" t="s">
        <v>3250</v>
      </c>
    </row>
    <row r="181" spans="1:6">
      <c r="A181" s="41">
        <v>70</v>
      </c>
      <c r="B181" s="446" t="s">
        <v>1136</v>
      </c>
      <c r="C181" s="446" t="s">
        <v>1039</v>
      </c>
      <c r="D181" s="446" t="s">
        <v>4940</v>
      </c>
      <c r="F181" s="41" t="s">
        <v>3253</v>
      </c>
    </row>
    <row r="182" spans="1:6">
      <c r="A182" s="41">
        <v>72</v>
      </c>
      <c r="B182" s="446" t="s">
        <v>1136</v>
      </c>
      <c r="C182" s="446" t="s">
        <v>1043</v>
      </c>
      <c r="D182" s="446" t="s">
        <v>4940</v>
      </c>
      <c r="F182" s="41" t="s">
        <v>3256</v>
      </c>
    </row>
    <row r="183" spans="1:6">
      <c r="A183" s="41">
        <v>66</v>
      </c>
      <c r="B183" s="446" t="s">
        <v>1136</v>
      </c>
      <c r="C183" s="446" t="s">
        <v>1031</v>
      </c>
      <c r="D183" s="446" t="s">
        <v>4940</v>
      </c>
      <c r="F183" s="41" t="s">
        <v>3258</v>
      </c>
    </row>
    <row r="184" spans="1:6">
      <c r="A184" s="41">
        <v>68</v>
      </c>
      <c r="B184" s="446" t="s">
        <v>1136</v>
      </c>
      <c r="C184" s="446" t="s">
        <v>1035</v>
      </c>
      <c r="D184" s="446" t="s">
        <v>4940</v>
      </c>
      <c r="F184" s="41" t="s">
        <v>3261</v>
      </c>
    </row>
    <row r="185" spans="1:6">
      <c r="A185" s="41">
        <v>22</v>
      </c>
      <c r="B185" s="446" t="s">
        <v>1136</v>
      </c>
      <c r="C185" s="446" t="s">
        <v>951</v>
      </c>
      <c r="D185" s="446" t="s">
        <v>4940</v>
      </c>
      <c r="F185" s="41" t="s">
        <v>3263</v>
      </c>
    </row>
    <row r="186" spans="1:6">
      <c r="A186" s="41">
        <v>76</v>
      </c>
      <c r="B186" s="446" t="s">
        <v>1136</v>
      </c>
      <c r="C186" s="446" t="s">
        <v>1051</v>
      </c>
      <c r="D186" s="446" t="s">
        <v>4940</v>
      </c>
      <c r="F186" s="41" t="s">
        <v>3265</v>
      </c>
    </row>
    <row r="187" spans="1:6">
      <c r="A187" s="41">
        <v>35</v>
      </c>
      <c r="B187" s="446" t="s">
        <v>1136</v>
      </c>
      <c r="C187" s="446" t="s">
        <v>977</v>
      </c>
      <c r="D187" s="446" t="s">
        <v>4940</v>
      </c>
      <c r="F187" s="41" t="s">
        <v>3268</v>
      </c>
    </row>
    <row r="188" spans="1:6">
      <c r="A188" s="41">
        <v>64</v>
      </c>
      <c r="B188" s="446" t="s">
        <v>1136</v>
      </c>
      <c r="C188" s="446" t="s">
        <v>1027</v>
      </c>
      <c r="D188" s="446" t="s">
        <v>4940</v>
      </c>
      <c r="F188" s="41" t="s">
        <v>3270</v>
      </c>
    </row>
    <row r="189" spans="1:6">
      <c r="A189" s="41">
        <v>62</v>
      </c>
      <c r="B189" s="446" t="s">
        <v>1136</v>
      </c>
      <c r="C189" s="446" t="s">
        <v>1023</v>
      </c>
      <c r="D189" s="446" t="s">
        <v>4940</v>
      </c>
      <c r="F189" s="41" t="s">
        <v>3273</v>
      </c>
    </row>
    <row r="190" spans="1:6">
      <c r="A190" s="41">
        <v>26</v>
      </c>
      <c r="B190" s="446" t="s">
        <v>1136</v>
      </c>
      <c r="C190" s="446" t="s">
        <v>959</v>
      </c>
      <c r="D190" s="446" t="s">
        <v>4940</v>
      </c>
      <c r="F190" s="41" t="s">
        <v>3034</v>
      </c>
    </row>
    <row r="191" spans="1:6">
      <c r="A191" s="41">
        <v>46</v>
      </c>
      <c r="B191" s="446" t="s">
        <v>1136</v>
      </c>
      <c r="C191" s="446" t="s">
        <v>999</v>
      </c>
      <c r="D191" s="446" t="s">
        <v>4940</v>
      </c>
      <c r="F191" s="41" t="s">
        <v>3286</v>
      </c>
    </row>
    <row r="192" spans="1:6">
      <c r="A192" s="41">
        <v>93</v>
      </c>
      <c r="B192" s="446" t="s">
        <v>1136</v>
      </c>
      <c r="C192" s="446" t="s">
        <v>1085</v>
      </c>
      <c r="D192" s="446" t="s">
        <v>4940</v>
      </c>
      <c r="F192" s="41" t="s">
        <v>4955</v>
      </c>
    </row>
    <row r="193" spans="1:6">
      <c r="A193" s="41">
        <v>29</v>
      </c>
      <c r="B193" s="446" t="s">
        <v>1136</v>
      </c>
      <c r="C193" s="446" t="s">
        <v>965</v>
      </c>
      <c r="D193" s="446" t="s">
        <v>4940</v>
      </c>
      <c r="F193" s="41" t="s">
        <v>3291</v>
      </c>
    </row>
    <row r="194" spans="1:6">
      <c r="A194" s="41">
        <v>43</v>
      </c>
      <c r="B194" s="446" t="s">
        <v>1136</v>
      </c>
      <c r="C194" s="446" t="s">
        <v>993</v>
      </c>
      <c r="D194" s="446" t="s">
        <v>4940</v>
      </c>
      <c r="F194" s="41" t="s">
        <v>3294</v>
      </c>
    </row>
    <row r="195" spans="1:6">
      <c r="A195" s="41">
        <v>18</v>
      </c>
      <c r="B195" s="446" t="s">
        <v>1136</v>
      </c>
      <c r="C195" s="446" t="s">
        <v>1096</v>
      </c>
      <c r="D195" s="446" t="s">
        <v>4940</v>
      </c>
      <c r="F195" s="41" t="s">
        <v>1171</v>
      </c>
    </row>
    <row r="196" spans="1:6">
      <c r="A196" s="41">
        <v>5</v>
      </c>
      <c r="B196" s="446" t="s">
        <v>1136</v>
      </c>
      <c r="C196" s="446" t="s">
        <v>927</v>
      </c>
      <c r="D196" s="446" t="s">
        <v>4940</v>
      </c>
      <c r="F196" s="41" t="s">
        <v>3004</v>
      </c>
    </row>
    <row r="197" spans="1:6">
      <c r="A197" s="41">
        <v>41</v>
      </c>
      <c r="B197" s="446" t="s">
        <v>1136</v>
      </c>
      <c r="C197" s="446" t="s">
        <v>989</v>
      </c>
      <c r="D197" s="446" t="s">
        <v>4940</v>
      </c>
      <c r="F197" s="41" t="s">
        <v>3476</v>
      </c>
    </row>
    <row r="198" spans="1:6">
      <c r="A198" s="41">
        <v>37</v>
      </c>
      <c r="B198" s="446" t="s">
        <v>1136</v>
      </c>
      <c r="C198" s="446" t="s">
        <v>981</v>
      </c>
      <c r="D198" s="446" t="s">
        <v>4940</v>
      </c>
      <c r="F198" s="41" t="s">
        <v>4956</v>
      </c>
    </row>
    <row r="199" spans="1:6">
      <c r="A199" s="41">
        <v>39</v>
      </c>
      <c r="B199" s="446" t="s">
        <v>1136</v>
      </c>
      <c r="C199" s="446" t="s">
        <v>985</v>
      </c>
      <c r="D199" s="446" t="s">
        <v>4940</v>
      </c>
      <c r="F199" s="41" t="s">
        <v>4957</v>
      </c>
    </row>
    <row r="200" spans="1:6">
      <c r="A200" s="41">
        <v>87</v>
      </c>
      <c r="B200" s="446" t="s">
        <v>1136</v>
      </c>
      <c r="C200" s="446" t="s">
        <v>1073</v>
      </c>
      <c r="D200" s="446" t="s">
        <v>4940</v>
      </c>
      <c r="F200" s="41" t="s">
        <v>4958</v>
      </c>
    </row>
    <row r="201" spans="1:6">
      <c r="A201" s="41">
        <v>91</v>
      </c>
      <c r="B201" s="446" t="s">
        <v>1136</v>
      </c>
      <c r="C201" s="446" t="s">
        <v>1081</v>
      </c>
      <c r="D201" s="446" t="s">
        <v>4940</v>
      </c>
      <c r="F201" s="41" t="s">
        <v>4959</v>
      </c>
    </row>
    <row r="202" spans="1:6">
      <c r="A202" s="41">
        <v>51</v>
      </c>
      <c r="B202" s="446" t="s">
        <v>1136</v>
      </c>
      <c r="C202" s="446" t="s">
        <v>1009</v>
      </c>
      <c r="D202" s="446" t="s">
        <v>4940</v>
      </c>
      <c r="F202" s="41" t="s">
        <v>3481</v>
      </c>
    </row>
    <row r="203" spans="1:6">
      <c r="A203" s="41">
        <v>53</v>
      </c>
      <c r="B203" s="446" t="s">
        <v>1136</v>
      </c>
      <c r="C203" s="446" t="s">
        <v>1013</v>
      </c>
      <c r="D203" s="446" t="s">
        <v>4940</v>
      </c>
      <c r="F203" s="41" t="s">
        <v>3482</v>
      </c>
    </row>
    <row r="204" spans="1:6">
      <c r="A204" s="41">
        <v>89</v>
      </c>
      <c r="B204" s="446" t="s">
        <v>1136</v>
      </c>
      <c r="C204" s="446" t="s">
        <v>1077</v>
      </c>
      <c r="D204" s="446" t="s">
        <v>4940</v>
      </c>
      <c r="F204" s="41" t="s">
        <v>3483</v>
      </c>
    </row>
    <row r="205" spans="1:6">
      <c r="A205" s="41">
        <v>94</v>
      </c>
      <c r="B205" s="446" t="s">
        <v>1136</v>
      </c>
      <c r="C205" s="446" t="s">
        <v>1098</v>
      </c>
      <c r="D205" s="446" t="s">
        <v>4940</v>
      </c>
      <c r="F205" s="41" t="s">
        <v>3484</v>
      </c>
    </row>
    <row r="206" spans="1:6">
      <c r="A206" s="41">
        <v>19</v>
      </c>
      <c r="B206" s="446" t="s">
        <v>1136</v>
      </c>
      <c r="C206" s="446" t="s">
        <v>945</v>
      </c>
      <c r="D206" s="446" t="s">
        <v>4940</v>
      </c>
      <c r="F206" s="41" t="s">
        <v>207</v>
      </c>
    </row>
    <row r="207" spans="1:6">
      <c r="A207" s="41">
        <v>75</v>
      </c>
      <c r="B207" s="446" t="s">
        <v>1136</v>
      </c>
      <c r="C207" s="446" t="s">
        <v>1049</v>
      </c>
      <c r="D207" s="446" t="s">
        <v>4940</v>
      </c>
      <c r="F207" s="41" t="s">
        <v>3626</v>
      </c>
    </row>
    <row r="208" spans="1:6">
      <c r="A208" s="41">
        <v>32</v>
      </c>
      <c r="B208" s="446" t="s">
        <v>1136</v>
      </c>
      <c r="C208" s="446" t="s">
        <v>971</v>
      </c>
      <c r="D208" s="446" t="s">
        <v>4940</v>
      </c>
      <c r="F208" s="41" t="s">
        <v>3629</v>
      </c>
    </row>
    <row r="209" spans="1:6">
      <c r="A209" s="41">
        <v>61</v>
      </c>
      <c r="B209" s="446" t="s">
        <v>1136</v>
      </c>
      <c r="C209" s="446" t="s">
        <v>1108</v>
      </c>
      <c r="D209" s="446" t="s">
        <v>4940</v>
      </c>
      <c r="F209" s="41" t="s">
        <v>3631</v>
      </c>
    </row>
    <row r="210" spans="1:6">
      <c r="A210" s="41">
        <v>59</v>
      </c>
      <c r="B210" s="446" t="s">
        <v>1136</v>
      </c>
      <c r="C210" s="446" t="s">
        <v>1104</v>
      </c>
      <c r="D210" s="446" t="s">
        <v>4940</v>
      </c>
      <c r="F210" s="41" t="s">
        <v>3633</v>
      </c>
    </row>
    <row r="211" spans="1:6">
      <c r="A211" s="41">
        <v>23</v>
      </c>
      <c r="B211" s="446" t="s">
        <v>1136</v>
      </c>
      <c r="C211" s="446" t="s">
        <v>953</v>
      </c>
      <c r="D211" s="446" t="s">
        <v>4940</v>
      </c>
      <c r="F211" s="41" t="s">
        <v>3635</v>
      </c>
    </row>
    <row r="212" spans="1:6">
      <c r="A212" s="41">
        <v>45</v>
      </c>
      <c r="B212" s="446" t="s">
        <v>1136</v>
      </c>
      <c r="C212" s="446" t="s">
        <v>997</v>
      </c>
      <c r="D212" s="446" t="s">
        <v>4940</v>
      </c>
      <c r="F212" s="41" t="s">
        <v>3637</v>
      </c>
    </row>
    <row r="213" spans="1:6">
      <c r="A213" s="41">
        <v>15</v>
      </c>
      <c r="B213" s="446" t="s">
        <v>1136</v>
      </c>
      <c r="C213" s="446" t="s">
        <v>941</v>
      </c>
      <c r="D213" s="446" t="s">
        <v>4940</v>
      </c>
      <c r="F213" s="41" t="s">
        <v>3639</v>
      </c>
    </row>
    <row r="214" spans="1:6">
      <c r="A214" s="41">
        <v>13</v>
      </c>
      <c r="B214" s="446" t="s">
        <v>1136</v>
      </c>
      <c r="C214" s="446" t="s">
        <v>937</v>
      </c>
      <c r="D214" s="446" t="s">
        <v>4940</v>
      </c>
      <c r="F214" s="41" t="s">
        <v>3641</v>
      </c>
    </row>
    <row r="215" spans="1:6">
      <c r="A215" s="41">
        <v>4</v>
      </c>
      <c r="B215" s="446" t="s">
        <v>1136</v>
      </c>
      <c r="C215" s="446" t="s">
        <v>914</v>
      </c>
      <c r="D215" s="446" t="s">
        <v>4940</v>
      </c>
      <c r="F215" s="41" t="s">
        <v>3643</v>
      </c>
    </row>
    <row r="216" spans="1:6">
      <c r="A216" s="41">
        <v>11</v>
      </c>
      <c r="B216" s="446" t="s">
        <v>1136</v>
      </c>
      <c r="C216" s="446" t="s">
        <v>933</v>
      </c>
      <c r="D216" s="446" t="s">
        <v>4940</v>
      </c>
      <c r="F216" s="41" t="s">
        <v>3645</v>
      </c>
    </row>
    <row r="217" spans="1:6">
      <c r="A217" s="41">
        <v>49</v>
      </c>
      <c r="B217" s="446" t="s">
        <v>1136</v>
      </c>
      <c r="C217" s="446" t="s">
        <v>1005</v>
      </c>
      <c r="D217" s="446" t="s">
        <v>4940</v>
      </c>
      <c r="F217" s="41" t="s">
        <v>3647</v>
      </c>
    </row>
    <row r="218" spans="1:6">
      <c r="A218" s="41">
        <v>9</v>
      </c>
      <c r="B218" s="446" t="s">
        <v>1136</v>
      </c>
      <c r="C218" s="446" t="s">
        <v>929</v>
      </c>
      <c r="D218" s="446" t="s">
        <v>4940</v>
      </c>
      <c r="F218" s="41" t="s">
        <v>3649</v>
      </c>
    </row>
    <row r="219" spans="1:6">
      <c r="A219" s="41">
        <v>79</v>
      </c>
      <c r="B219" s="446" t="s">
        <v>1136</v>
      </c>
      <c r="C219" s="446" t="s">
        <v>1057</v>
      </c>
      <c r="D219" s="446" t="s">
        <v>4940</v>
      </c>
      <c r="F219" s="41" t="s">
        <v>3654</v>
      </c>
    </row>
    <row r="220" spans="1:6">
      <c r="A220" s="41">
        <v>83</v>
      </c>
      <c r="B220" s="446" t="s">
        <v>1136</v>
      </c>
      <c r="C220" s="446" t="s">
        <v>1065</v>
      </c>
      <c r="D220" s="446" t="s">
        <v>4940</v>
      </c>
      <c r="F220" s="41" t="s">
        <v>4942</v>
      </c>
    </row>
    <row r="221" spans="1:6">
      <c r="A221" s="41">
        <v>85</v>
      </c>
      <c r="B221" s="446" t="s">
        <v>1136</v>
      </c>
      <c r="C221" s="446" t="s">
        <v>1069</v>
      </c>
      <c r="D221" s="446" t="s">
        <v>4940</v>
      </c>
      <c r="F221" s="41" t="s">
        <v>4947</v>
      </c>
    </row>
    <row r="222" spans="1:6">
      <c r="A222" s="41">
        <v>81</v>
      </c>
      <c r="B222" s="446" t="s">
        <v>1136</v>
      </c>
      <c r="C222" s="446" t="s">
        <v>1061</v>
      </c>
      <c r="D222" s="446" t="s">
        <v>4940</v>
      </c>
      <c r="F222" s="41" t="s">
        <v>3662</v>
      </c>
    </row>
    <row r="223" spans="1:6">
      <c r="A223" s="41">
        <v>27</v>
      </c>
      <c r="B223" s="446" t="s">
        <v>1136</v>
      </c>
      <c r="C223" s="446" t="s">
        <v>961</v>
      </c>
      <c r="D223" s="446" t="s">
        <v>4940</v>
      </c>
      <c r="F223" s="41" t="s">
        <v>4945</v>
      </c>
    </row>
    <row r="224" spans="1:6">
      <c r="A224" s="41">
        <v>55</v>
      </c>
      <c r="B224" s="446" t="s">
        <v>1136</v>
      </c>
      <c r="C224" s="446" t="s">
        <v>1017</v>
      </c>
      <c r="D224" s="446" t="s">
        <v>4940</v>
      </c>
      <c r="F224" s="41" t="s">
        <v>4944</v>
      </c>
    </row>
    <row r="225" spans="1:6">
      <c r="A225" s="41">
        <v>57</v>
      </c>
      <c r="B225" s="446" t="s">
        <v>1136</v>
      </c>
      <c r="C225" s="446" t="s">
        <v>1021</v>
      </c>
      <c r="D225" s="446" t="s">
        <v>4940</v>
      </c>
      <c r="F225" s="41" t="s">
        <v>4943</v>
      </c>
    </row>
    <row r="226" spans="1:6">
      <c r="A226" s="41">
        <v>30</v>
      </c>
      <c r="B226" s="446" t="s">
        <v>1136</v>
      </c>
      <c r="C226" s="446" t="s">
        <v>967</v>
      </c>
      <c r="D226" s="446" t="s">
        <v>4940</v>
      </c>
      <c r="F226" s="41" t="s">
        <v>3673</v>
      </c>
    </row>
    <row r="227" spans="1:6">
      <c r="A227" s="41">
        <v>71</v>
      </c>
      <c r="B227" s="446" t="s">
        <v>1136</v>
      </c>
      <c r="C227" s="446" t="s">
        <v>1041</v>
      </c>
      <c r="D227" s="446" t="s">
        <v>4940</v>
      </c>
      <c r="F227" s="41" t="s">
        <v>4950</v>
      </c>
    </row>
    <row r="228" spans="1:6">
      <c r="A228" s="41">
        <v>73</v>
      </c>
      <c r="B228" s="446" t="s">
        <v>1136</v>
      </c>
      <c r="C228" s="446" t="s">
        <v>1045</v>
      </c>
      <c r="D228" s="446" t="s">
        <v>4940</v>
      </c>
      <c r="F228" s="41" t="s">
        <v>4949</v>
      </c>
    </row>
    <row r="229" spans="1:6">
      <c r="A229" s="41">
        <v>67</v>
      </c>
      <c r="B229" s="446" t="s">
        <v>1136</v>
      </c>
      <c r="C229" s="446" t="s">
        <v>1033</v>
      </c>
      <c r="D229" s="446" t="s">
        <v>4940</v>
      </c>
      <c r="F229" s="41" t="s">
        <v>4948</v>
      </c>
    </row>
    <row r="230" spans="1:6">
      <c r="A230" s="41">
        <v>69</v>
      </c>
      <c r="B230" s="446" t="s">
        <v>1136</v>
      </c>
      <c r="C230" s="446" t="s">
        <v>1037</v>
      </c>
      <c r="D230" s="446" t="s">
        <v>4940</v>
      </c>
      <c r="F230" s="41" t="s">
        <v>4946</v>
      </c>
    </row>
    <row r="231" spans="1:6">
      <c r="A231" s="41">
        <v>21</v>
      </c>
      <c r="B231" s="446" t="s">
        <v>1136</v>
      </c>
      <c r="C231" s="446" t="s">
        <v>949</v>
      </c>
      <c r="D231" s="446" t="s">
        <v>4940</v>
      </c>
      <c r="F231" s="41" t="s">
        <v>229</v>
      </c>
    </row>
    <row r="232" spans="1:6">
      <c r="A232" s="41">
        <v>77</v>
      </c>
      <c r="B232" s="446" t="s">
        <v>1136</v>
      </c>
      <c r="C232" s="446" t="s">
        <v>1053</v>
      </c>
      <c r="D232" s="446" t="s">
        <v>4940</v>
      </c>
      <c r="F232" s="41" t="s">
        <v>230</v>
      </c>
    </row>
    <row r="233" spans="1:6">
      <c r="A233" s="41">
        <v>34</v>
      </c>
      <c r="B233" s="446" t="s">
        <v>1136</v>
      </c>
      <c r="C233" s="446" t="s">
        <v>975</v>
      </c>
      <c r="D233" s="446" t="s">
        <v>4940</v>
      </c>
      <c r="F233" s="41" t="s">
        <v>231</v>
      </c>
    </row>
    <row r="234" spans="1:6">
      <c r="A234" s="41">
        <v>65</v>
      </c>
      <c r="B234" s="446" t="s">
        <v>1136</v>
      </c>
      <c r="C234" s="446" t="s">
        <v>1029</v>
      </c>
      <c r="D234" s="446" t="s">
        <v>4940</v>
      </c>
      <c r="F234" s="41" t="s">
        <v>232</v>
      </c>
    </row>
    <row r="235" spans="1:6">
      <c r="A235" s="41">
        <v>63</v>
      </c>
      <c r="B235" s="446" t="s">
        <v>1136</v>
      </c>
      <c r="C235" s="446" t="s">
        <v>1025</v>
      </c>
      <c r="D235" s="446" t="s">
        <v>4940</v>
      </c>
      <c r="F235" s="41" t="s">
        <v>250</v>
      </c>
    </row>
    <row r="236" spans="1:6">
      <c r="A236" s="41">
        <v>25</v>
      </c>
      <c r="B236" s="446" t="s">
        <v>1136</v>
      </c>
      <c r="C236" s="446" t="s">
        <v>957</v>
      </c>
      <c r="D236" s="446" t="s">
        <v>4940</v>
      </c>
      <c r="F236" s="41" t="s">
        <v>256</v>
      </c>
    </row>
    <row r="237" spans="1:6">
      <c r="A237" s="41">
        <v>47</v>
      </c>
      <c r="B237" s="446" t="s">
        <v>1136</v>
      </c>
      <c r="C237" s="446" t="s">
        <v>1001</v>
      </c>
      <c r="D237" s="446" t="s">
        <v>4940</v>
      </c>
      <c r="F237" s="41" t="s">
        <v>228</v>
      </c>
    </row>
    <row r="238" spans="1:6">
      <c r="A238" s="41">
        <v>92</v>
      </c>
      <c r="B238" s="446" t="s">
        <v>1136</v>
      </c>
      <c r="C238" s="446" t="s">
        <v>1083</v>
      </c>
      <c r="D238" s="446" t="s">
        <v>4940</v>
      </c>
      <c r="F238" s="41" t="s">
        <v>3700</v>
      </c>
    </row>
    <row r="239" spans="1:6">
      <c r="A239" s="41">
        <v>42</v>
      </c>
      <c r="B239" s="446" t="s">
        <v>1136</v>
      </c>
      <c r="C239" s="446" t="s">
        <v>991</v>
      </c>
      <c r="D239" s="446" t="s">
        <v>4940</v>
      </c>
      <c r="F239" s="41" t="s">
        <v>3703</v>
      </c>
    </row>
    <row r="240" spans="1:6">
      <c r="A240" s="41">
        <v>17</v>
      </c>
      <c r="B240" s="446" t="s">
        <v>1136</v>
      </c>
      <c r="C240" s="446" t="s">
        <v>1094</v>
      </c>
      <c r="D240" s="446" t="s">
        <v>4940</v>
      </c>
      <c r="F240" s="41" t="s">
        <v>3706</v>
      </c>
    </row>
    <row r="241" spans="1:6">
      <c r="A241" s="41">
        <v>6</v>
      </c>
      <c r="B241" s="446" t="s">
        <v>1136</v>
      </c>
      <c r="C241" s="446" t="s">
        <v>924</v>
      </c>
      <c r="D241" s="446" t="s">
        <v>4940</v>
      </c>
      <c r="F241" s="41" t="s">
        <v>3709</v>
      </c>
    </row>
    <row r="242" spans="1:6">
      <c r="A242" s="41">
        <v>40</v>
      </c>
      <c r="B242" s="446" t="s">
        <v>1136</v>
      </c>
      <c r="C242" s="446" t="s">
        <v>987</v>
      </c>
      <c r="D242" s="446" t="s">
        <v>4940</v>
      </c>
      <c r="F242" s="41" t="s">
        <v>3712</v>
      </c>
    </row>
    <row r="243" spans="1:6">
      <c r="A243" s="41">
        <v>36</v>
      </c>
      <c r="B243" s="446" t="s">
        <v>1136</v>
      </c>
      <c r="C243" s="446" t="s">
        <v>979</v>
      </c>
      <c r="D243" s="446" t="s">
        <v>4940</v>
      </c>
      <c r="F243" s="41" t="s">
        <v>3715</v>
      </c>
    </row>
    <row r="244" spans="1:6">
      <c r="A244" s="41">
        <v>38</v>
      </c>
      <c r="B244" s="446" t="s">
        <v>1136</v>
      </c>
      <c r="C244" s="446" t="s">
        <v>983</v>
      </c>
      <c r="D244" s="446" t="s">
        <v>4940</v>
      </c>
      <c r="F244" s="41" t="s">
        <v>3718</v>
      </c>
    </row>
    <row r="245" spans="1:6">
      <c r="A245" s="41">
        <v>197</v>
      </c>
      <c r="B245" s="446" t="s">
        <v>1136</v>
      </c>
      <c r="C245" s="446" t="s">
        <v>4956</v>
      </c>
      <c r="D245" s="446" t="s">
        <v>4940</v>
      </c>
      <c r="F245" s="41" t="s">
        <v>3721</v>
      </c>
    </row>
    <row r="246" spans="1:6">
      <c r="A246" s="41">
        <v>308</v>
      </c>
      <c r="B246" s="446" t="s">
        <v>1136</v>
      </c>
      <c r="C246" s="446" t="s">
        <v>637</v>
      </c>
      <c r="D246" s="446" t="s">
        <v>4933</v>
      </c>
      <c r="F246" s="41" t="s">
        <v>3724</v>
      </c>
    </row>
    <row r="247" spans="1:6">
      <c r="A247" s="41">
        <v>96</v>
      </c>
      <c r="B247" s="446" t="s">
        <v>1136</v>
      </c>
      <c r="C247" s="446" t="s">
        <v>290</v>
      </c>
      <c r="D247" s="446" t="s">
        <v>4940</v>
      </c>
      <c r="F247" s="41" t="s">
        <v>3727</v>
      </c>
    </row>
    <row r="248" spans="1:6">
      <c r="A248" s="41">
        <v>97</v>
      </c>
      <c r="B248" s="446" t="s">
        <v>1136</v>
      </c>
      <c r="C248" s="446" t="s">
        <v>3114</v>
      </c>
      <c r="D248" s="446" t="s">
        <v>4940</v>
      </c>
      <c r="F248" s="41" t="s">
        <v>3730</v>
      </c>
    </row>
    <row r="249" spans="1:6">
      <c r="A249" s="41">
        <v>98</v>
      </c>
      <c r="B249" s="446" t="s">
        <v>1136</v>
      </c>
      <c r="C249" s="446" t="s">
        <v>3117</v>
      </c>
      <c r="D249" s="446" t="s">
        <v>4940</v>
      </c>
      <c r="F249" s="41" t="s">
        <v>3733</v>
      </c>
    </row>
    <row r="250" spans="1:6">
      <c r="A250" s="41">
        <v>99</v>
      </c>
      <c r="B250" s="446" t="s">
        <v>1136</v>
      </c>
      <c r="C250" s="446" t="s">
        <v>3120</v>
      </c>
      <c r="D250" s="446" t="s">
        <v>4940</v>
      </c>
      <c r="F250" s="41" t="s">
        <v>3736</v>
      </c>
    </row>
    <row r="251" spans="1:6">
      <c r="A251" s="41">
        <v>100</v>
      </c>
      <c r="B251" s="446" t="s">
        <v>1136</v>
      </c>
      <c r="C251" s="446" t="s">
        <v>3121</v>
      </c>
      <c r="D251" s="446" t="s">
        <v>4940</v>
      </c>
      <c r="F251" s="41" t="s">
        <v>4960</v>
      </c>
    </row>
    <row r="252" spans="1:6">
      <c r="A252" s="41">
        <v>101</v>
      </c>
      <c r="B252" s="446" t="s">
        <v>1136</v>
      </c>
      <c r="C252" s="446" t="s">
        <v>3124</v>
      </c>
      <c r="D252" s="446" t="s">
        <v>4940</v>
      </c>
      <c r="F252" s="41" t="s">
        <v>4961</v>
      </c>
    </row>
    <row r="253" spans="1:6">
      <c r="A253" s="41">
        <v>193</v>
      </c>
      <c r="B253" s="446" t="s">
        <v>1136</v>
      </c>
      <c r="C253" s="446" t="s">
        <v>3294</v>
      </c>
      <c r="D253" s="446" t="s">
        <v>4940</v>
      </c>
      <c r="F253" s="41" t="s">
        <v>3744</v>
      </c>
    </row>
    <row r="254" spans="1:6">
      <c r="A254" s="41">
        <v>102</v>
      </c>
      <c r="B254" s="446" t="s">
        <v>1136</v>
      </c>
      <c r="C254" s="446" t="s">
        <v>3127</v>
      </c>
      <c r="D254" s="446" t="s">
        <v>4940</v>
      </c>
      <c r="F254" s="41" t="s">
        <v>4962</v>
      </c>
    </row>
    <row r="255" spans="1:6">
      <c r="A255" s="41">
        <v>103</v>
      </c>
      <c r="B255" s="446" t="s">
        <v>1136</v>
      </c>
      <c r="C255" s="446" t="s">
        <v>1389</v>
      </c>
      <c r="D255" s="446" t="s">
        <v>4940</v>
      </c>
      <c r="F255" s="41" t="s">
        <v>4963</v>
      </c>
    </row>
    <row r="256" spans="1:6">
      <c r="A256" s="41">
        <v>104</v>
      </c>
      <c r="B256" s="446" t="s">
        <v>1136</v>
      </c>
      <c r="C256" s="446" t="s">
        <v>3129</v>
      </c>
      <c r="D256" s="446" t="s">
        <v>4940</v>
      </c>
      <c r="F256" s="41" t="s">
        <v>4964</v>
      </c>
    </row>
    <row r="257" spans="1:6">
      <c r="A257" s="41">
        <v>105</v>
      </c>
      <c r="B257" s="446" t="s">
        <v>1136</v>
      </c>
      <c r="C257" s="446" t="s">
        <v>3130</v>
      </c>
      <c r="D257" s="446" t="s">
        <v>4940</v>
      </c>
      <c r="F257" s="41" t="s">
        <v>3754</v>
      </c>
    </row>
    <row r="258" spans="1:6">
      <c r="A258" s="41">
        <v>106</v>
      </c>
      <c r="B258" s="446" t="s">
        <v>1136</v>
      </c>
      <c r="C258" s="446" t="s">
        <v>3131</v>
      </c>
      <c r="D258" s="446" t="s">
        <v>4940</v>
      </c>
      <c r="F258" s="41" t="s">
        <v>4965</v>
      </c>
    </row>
    <row r="259" spans="1:6">
      <c r="A259" s="41">
        <v>107</v>
      </c>
      <c r="B259" s="446" t="s">
        <v>1136</v>
      </c>
      <c r="C259" s="446" t="s">
        <v>3134</v>
      </c>
      <c r="D259" s="446" t="s">
        <v>4940</v>
      </c>
      <c r="F259" s="41" t="s">
        <v>4966</v>
      </c>
    </row>
    <row r="260" spans="1:6">
      <c r="A260" s="41">
        <v>204</v>
      </c>
      <c r="B260" s="446" t="s">
        <v>1136</v>
      </c>
      <c r="C260" s="446" t="s">
        <v>3484</v>
      </c>
      <c r="D260" s="446" t="s">
        <v>4940</v>
      </c>
      <c r="F260" s="41" t="s">
        <v>4967</v>
      </c>
    </row>
    <row r="261" spans="1:6">
      <c r="A261" s="41">
        <v>108</v>
      </c>
      <c r="B261" s="446" t="s">
        <v>1136</v>
      </c>
      <c r="C261" s="446" t="s">
        <v>3135</v>
      </c>
      <c r="D261" s="446" t="s">
        <v>4940</v>
      </c>
      <c r="F261" s="41" t="s">
        <v>4968</v>
      </c>
    </row>
    <row r="262" spans="1:6">
      <c r="A262" s="41">
        <v>203</v>
      </c>
      <c r="B262" s="446" t="s">
        <v>1136</v>
      </c>
      <c r="C262" s="446" t="s">
        <v>3135</v>
      </c>
      <c r="D262" s="446" t="s">
        <v>4940</v>
      </c>
      <c r="F262" s="41" t="s">
        <v>245</v>
      </c>
    </row>
    <row r="263" spans="1:6">
      <c r="A263" s="41">
        <v>109</v>
      </c>
      <c r="B263" s="446" t="s">
        <v>1136</v>
      </c>
      <c r="C263" s="446" t="s">
        <v>3137</v>
      </c>
      <c r="D263" s="446" t="s">
        <v>4940</v>
      </c>
      <c r="F263" s="41" t="s">
        <v>246</v>
      </c>
    </row>
    <row r="264" spans="1:6">
      <c r="A264" s="41">
        <v>110</v>
      </c>
      <c r="B264" s="446" t="s">
        <v>1136</v>
      </c>
      <c r="C264" s="446" t="s">
        <v>3138</v>
      </c>
      <c r="D264" s="446" t="s">
        <v>4940</v>
      </c>
      <c r="F264" s="41" t="s">
        <v>247</v>
      </c>
    </row>
    <row r="265" spans="1:6">
      <c r="A265" s="41">
        <v>111</v>
      </c>
      <c r="B265" s="446" t="s">
        <v>1136</v>
      </c>
      <c r="C265" s="446" t="s">
        <v>3139</v>
      </c>
      <c r="D265" s="446" t="s">
        <v>4940</v>
      </c>
      <c r="F265" s="41" t="s">
        <v>248</v>
      </c>
    </row>
    <row r="266" spans="1:6">
      <c r="A266" s="41">
        <v>200</v>
      </c>
      <c r="B266" s="446" t="s">
        <v>1136</v>
      </c>
      <c r="C266" s="446" t="s">
        <v>4959</v>
      </c>
      <c r="D266" s="446" t="s">
        <v>4940</v>
      </c>
      <c r="F266" s="41" t="s">
        <v>253</v>
      </c>
    </row>
    <row r="267" spans="1:6">
      <c r="A267" s="41">
        <v>170</v>
      </c>
      <c r="B267" s="446" t="s">
        <v>1136</v>
      </c>
      <c r="C267" s="446" t="s">
        <v>1386</v>
      </c>
      <c r="D267" s="446" t="s">
        <v>4940</v>
      </c>
      <c r="F267" s="41" t="s">
        <v>258</v>
      </c>
    </row>
    <row r="268" spans="1:6">
      <c r="A268" s="41">
        <v>112</v>
      </c>
      <c r="B268" s="446" t="s">
        <v>1136</v>
      </c>
      <c r="C268" s="446" t="s">
        <v>1329</v>
      </c>
      <c r="D268" s="446" t="s">
        <v>4940</v>
      </c>
      <c r="F268" s="41" t="s">
        <v>244</v>
      </c>
    </row>
    <row r="269" spans="1:6">
      <c r="A269" s="41">
        <v>113</v>
      </c>
      <c r="B269" s="446" t="s">
        <v>1136</v>
      </c>
      <c r="C269" s="446" t="s">
        <v>3141</v>
      </c>
      <c r="D269" s="446" t="s">
        <v>4940</v>
      </c>
      <c r="F269" s="41" t="s">
        <v>4951</v>
      </c>
    </row>
    <row r="270" spans="1:6">
      <c r="A270" s="41">
        <v>114</v>
      </c>
      <c r="B270" s="446" t="s">
        <v>1136</v>
      </c>
      <c r="C270" s="446" t="s">
        <v>3142</v>
      </c>
      <c r="D270" s="446" t="s">
        <v>4940</v>
      </c>
      <c r="F270" s="41" t="s">
        <v>4969</v>
      </c>
    </row>
    <row r="271" spans="1:6">
      <c r="A271" s="41">
        <v>115</v>
      </c>
      <c r="B271" s="446" t="s">
        <v>1136</v>
      </c>
      <c r="C271" s="446" t="s">
        <v>3143</v>
      </c>
      <c r="D271" s="446" t="s">
        <v>4940</v>
      </c>
      <c r="F271" s="41" t="s">
        <v>305</v>
      </c>
    </row>
    <row r="272" spans="1:6">
      <c r="A272" s="41">
        <v>116</v>
      </c>
      <c r="B272" s="446" t="s">
        <v>1136</v>
      </c>
      <c r="C272" s="446" t="s">
        <v>3146</v>
      </c>
      <c r="D272" s="446" t="s">
        <v>4940</v>
      </c>
      <c r="F272" s="41" t="s">
        <v>372</v>
      </c>
    </row>
    <row r="273" spans="1:6">
      <c r="A273" s="41">
        <v>117</v>
      </c>
      <c r="B273" s="446" t="s">
        <v>1136</v>
      </c>
      <c r="C273" s="446" t="s">
        <v>3147</v>
      </c>
      <c r="D273" s="446" t="s">
        <v>4940</v>
      </c>
      <c r="F273" s="41" t="s">
        <v>378</v>
      </c>
    </row>
    <row r="274" spans="1:6">
      <c r="A274" s="41">
        <v>118</v>
      </c>
      <c r="B274" s="446" t="s">
        <v>1136</v>
      </c>
      <c r="C274" s="446" t="s">
        <v>3149</v>
      </c>
      <c r="D274" s="446" t="s">
        <v>4940</v>
      </c>
      <c r="F274" s="41" t="s">
        <v>382</v>
      </c>
    </row>
    <row r="275" spans="1:6">
      <c r="A275" s="41">
        <v>119</v>
      </c>
      <c r="B275" s="446" t="s">
        <v>1136</v>
      </c>
      <c r="C275" s="446" t="s">
        <v>3151</v>
      </c>
      <c r="D275" s="446" t="s">
        <v>4940</v>
      </c>
      <c r="F275" s="41" t="s">
        <v>384</v>
      </c>
    </row>
    <row r="276" spans="1:6">
      <c r="A276" s="41">
        <v>202</v>
      </c>
      <c r="B276" s="446" t="s">
        <v>1136</v>
      </c>
      <c r="C276" s="446" t="s">
        <v>3482</v>
      </c>
      <c r="D276" s="446" t="s">
        <v>4940</v>
      </c>
      <c r="F276" s="41" t="s">
        <v>386</v>
      </c>
    </row>
    <row r="277" spans="1:6">
      <c r="A277" s="41">
        <v>120</v>
      </c>
      <c r="B277" s="446" t="s">
        <v>1136</v>
      </c>
      <c r="C277" s="446" t="s">
        <v>3152</v>
      </c>
      <c r="D277" s="446" t="s">
        <v>4940</v>
      </c>
      <c r="F277" s="41" t="s">
        <v>388</v>
      </c>
    </row>
    <row r="278" spans="1:6">
      <c r="A278" s="41">
        <v>201</v>
      </c>
      <c r="B278" s="446" t="s">
        <v>1136</v>
      </c>
      <c r="C278" s="446" t="s">
        <v>3152</v>
      </c>
      <c r="D278" s="446" t="s">
        <v>4940</v>
      </c>
      <c r="F278" s="41" t="s">
        <v>390</v>
      </c>
    </row>
    <row r="279" spans="1:6">
      <c r="A279" s="41">
        <v>121</v>
      </c>
      <c r="B279" s="446" t="s">
        <v>1136</v>
      </c>
      <c r="C279" s="446" t="s">
        <v>3155</v>
      </c>
      <c r="D279" s="446" t="s">
        <v>4940</v>
      </c>
      <c r="F279" s="41" t="s">
        <v>392</v>
      </c>
    </row>
    <row r="280" spans="1:6">
      <c r="A280" s="41">
        <v>122</v>
      </c>
      <c r="B280" s="446" t="s">
        <v>1136</v>
      </c>
      <c r="C280" s="446" t="s">
        <v>3157</v>
      </c>
      <c r="D280" s="446" t="s">
        <v>4940</v>
      </c>
      <c r="F280" s="41" t="s">
        <v>394</v>
      </c>
    </row>
    <row r="281" spans="1:6">
      <c r="A281" s="41">
        <v>123</v>
      </c>
      <c r="B281" s="446" t="s">
        <v>1136</v>
      </c>
      <c r="C281" s="446" t="s">
        <v>3159</v>
      </c>
      <c r="D281" s="446" t="s">
        <v>4940</v>
      </c>
      <c r="F281" s="41" t="s">
        <v>396</v>
      </c>
    </row>
    <row r="282" spans="1:6">
      <c r="A282" s="41">
        <v>124</v>
      </c>
      <c r="B282" s="446" t="s">
        <v>1136</v>
      </c>
      <c r="C282" s="446" t="s">
        <v>1333</v>
      </c>
      <c r="D282" s="446" t="s">
        <v>4940</v>
      </c>
      <c r="F282" s="41" t="s">
        <v>398</v>
      </c>
    </row>
    <row r="283" spans="1:6">
      <c r="A283" s="41">
        <v>125</v>
      </c>
      <c r="B283" s="446" t="s">
        <v>1136</v>
      </c>
      <c r="C283" s="446" t="s">
        <v>635</v>
      </c>
      <c r="D283" s="446" t="s">
        <v>4940</v>
      </c>
      <c r="F283" s="41" t="s">
        <v>400</v>
      </c>
    </row>
    <row r="284" spans="1:6">
      <c r="A284" s="41">
        <v>126</v>
      </c>
      <c r="B284" s="446" t="s">
        <v>1136</v>
      </c>
      <c r="C284" s="446" t="s">
        <v>3161</v>
      </c>
      <c r="D284" s="446" t="s">
        <v>4940</v>
      </c>
      <c r="F284" s="41" t="s">
        <v>403</v>
      </c>
    </row>
    <row r="285" spans="1:6">
      <c r="A285" s="41">
        <v>127</v>
      </c>
      <c r="B285" s="446" t="s">
        <v>1136</v>
      </c>
      <c r="C285" s="446" t="s">
        <v>284</v>
      </c>
      <c r="D285" s="446" t="s">
        <v>4940</v>
      </c>
      <c r="F285" s="41" t="s">
        <v>405</v>
      </c>
    </row>
    <row r="286" spans="1:6">
      <c r="A286" s="41">
        <v>128</v>
      </c>
      <c r="B286" s="446" t="s">
        <v>1136</v>
      </c>
      <c r="C286" s="446" t="s">
        <v>286</v>
      </c>
      <c r="D286" s="446" t="s">
        <v>4940</v>
      </c>
      <c r="F286" s="41" t="s">
        <v>559</v>
      </c>
    </row>
    <row r="287" spans="1:6">
      <c r="A287" s="41">
        <v>129</v>
      </c>
      <c r="B287" s="446" t="s">
        <v>1136</v>
      </c>
      <c r="C287" s="446" t="s">
        <v>283</v>
      </c>
      <c r="D287" s="446" t="s">
        <v>4940</v>
      </c>
      <c r="F287" s="41" t="s">
        <v>409</v>
      </c>
    </row>
    <row r="288" spans="1:6">
      <c r="A288" s="41">
        <v>130</v>
      </c>
      <c r="B288" s="446" t="s">
        <v>1136</v>
      </c>
      <c r="C288" s="446" t="s">
        <v>285</v>
      </c>
      <c r="D288" s="446" t="s">
        <v>4940</v>
      </c>
      <c r="F288" s="41" t="s">
        <v>411</v>
      </c>
    </row>
    <row r="289" spans="1:6">
      <c r="A289" s="41">
        <v>131</v>
      </c>
      <c r="B289" s="446" t="s">
        <v>1136</v>
      </c>
      <c r="C289" s="446" t="s">
        <v>282</v>
      </c>
      <c r="D289" s="446" t="s">
        <v>4940</v>
      </c>
      <c r="F289" s="41" t="s">
        <v>170</v>
      </c>
    </row>
    <row r="290" spans="1:6">
      <c r="A290" s="41">
        <v>132</v>
      </c>
      <c r="B290" s="446" t="s">
        <v>1136</v>
      </c>
      <c r="C290" s="446" t="s">
        <v>3162</v>
      </c>
      <c r="D290" s="446" t="s">
        <v>4940</v>
      </c>
      <c r="F290" s="41" t="s">
        <v>413</v>
      </c>
    </row>
    <row r="291" spans="1:6">
      <c r="A291" s="41">
        <v>166</v>
      </c>
      <c r="B291" s="446" t="s">
        <v>1136</v>
      </c>
      <c r="C291" s="446" t="s">
        <v>4954</v>
      </c>
      <c r="D291" s="446" t="s">
        <v>4940</v>
      </c>
      <c r="F291" s="41" t="s">
        <v>415</v>
      </c>
    </row>
    <row r="292" spans="1:6">
      <c r="A292" s="41">
        <v>133</v>
      </c>
      <c r="B292" s="446" t="s">
        <v>1136</v>
      </c>
      <c r="C292" s="446" t="s">
        <v>3164</v>
      </c>
      <c r="D292" s="446" t="s">
        <v>4940</v>
      </c>
      <c r="F292" s="41" t="s">
        <v>418</v>
      </c>
    </row>
    <row r="293" spans="1:6">
      <c r="A293" s="41">
        <v>134</v>
      </c>
      <c r="B293" s="446" t="s">
        <v>1136</v>
      </c>
      <c r="C293" s="446" t="s">
        <v>3166</v>
      </c>
      <c r="D293" s="446" t="s">
        <v>4940</v>
      </c>
      <c r="F293" s="41" t="s">
        <v>421</v>
      </c>
    </row>
    <row r="294" spans="1:6">
      <c r="A294" s="41">
        <v>135</v>
      </c>
      <c r="B294" s="446" t="s">
        <v>1136</v>
      </c>
      <c r="C294" s="446" t="s">
        <v>3167</v>
      </c>
      <c r="D294" s="446" t="s">
        <v>4940</v>
      </c>
      <c r="F294" s="41" t="s">
        <v>422</v>
      </c>
    </row>
    <row r="295" spans="1:6">
      <c r="A295" s="41">
        <v>136</v>
      </c>
      <c r="B295" s="446" t="s">
        <v>1136</v>
      </c>
      <c r="C295" s="446" t="s">
        <v>3170</v>
      </c>
      <c r="D295" s="446" t="s">
        <v>4940</v>
      </c>
      <c r="F295" s="41" t="s">
        <v>425</v>
      </c>
    </row>
    <row r="296" spans="1:6">
      <c r="A296" s="41">
        <v>137</v>
      </c>
      <c r="B296" s="446" t="s">
        <v>1136</v>
      </c>
      <c r="C296" s="446" t="s">
        <v>3171</v>
      </c>
      <c r="D296" s="446" t="s">
        <v>4940</v>
      </c>
      <c r="F296" s="41" t="s">
        <v>428</v>
      </c>
    </row>
    <row r="297" spans="1:6">
      <c r="A297" s="41">
        <v>138</v>
      </c>
      <c r="B297" s="446" t="s">
        <v>1136</v>
      </c>
      <c r="C297" s="446" t="s">
        <v>3173</v>
      </c>
      <c r="D297" s="446" t="s">
        <v>4940</v>
      </c>
      <c r="F297" s="41" t="s">
        <v>430</v>
      </c>
    </row>
    <row r="298" spans="1:6">
      <c r="A298" s="41">
        <v>167</v>
      </c>
      <c r="B298" s="446" t="s">
        <v>1136</v>
      </c>
      <c r="C298" s="446" t="s">
        <v>3223</v>
      </c>
      <c r="D298" s="446" t="s">
        <v>4940</v>
      </c>
      <c r="F298" s="41" t="s">
        <v>431</v>
      </c>
    </row>
    <row r="299" spans="1:6">
      <c r="A299" s="41">
        <v>139</v>
      </c>
      <c r="B299" s="446" t="s">
        <v>1136</v>
      </c>
      <c r="C299" s="446" t="s">
        <v>3175</v>
      </c>
      <c r="D299" s="446" t="s">
        <v>4940</v>
      </c>
      <c r="F299" s="41" t="s">
        <v>433</v>
      </c>
    </row>
    <row r="300" spans="1:6">
      <c r="A300" s="41">
        <v>140</v>
      </c>
      <c r="B300" s="446" t="s">
        <v>1136</v>
      </c>
      <c r="C300" s="446" t="s">
        <v>3176</v>
      </c>
      <c r="D300" s="446" t="s">
        <v>4940</v>
      </c>
      <c r="F300" s="41" t="s">
        <v>434</v>
      </c>
    </row>
    <row r="301" spans="1:6">
      <c r="A301" s="41">
        <v>141</v>
      </c>
      <c r="B301" s="446" t="s">
        <v>1136</v>
      </c>
      <c r="C301" s="446" t="s">
        <v>289</v>
      </c>
      <c r="D301" s="446" t="s">
        <v>4940</v>
      </c>
      <c r="F301" s="41" t="s">
        <v>437</v>
      </c>
    </row>
    <row r="302" spans="1:6">
      <c r="A302" s="41">
        <v>142</v>
      </c>
      <c r="B302" s="446" t="s">
        <v>1136</v>
      </c>
      <c r="C302" s="446" t="s">
        <v>3177</v>
      </c>
      <c r="D302" s="446" t="s">
        <v>4940</v>
      </c>
      <c r="F302" s="41" t="s">
        <v>440</v>
      </c>
    </row>
    <row r="303" spans="1:6">
      <c r="A303" s="41">
        <v>143</v>
      </c>
      <c r="B303" s="446" t="s">
        <v>1136</v>
      </c>
      <c r="C303" s="446" t="s">
        <v>288</v>
      </c>
      <c r="D303" s="446" t="s">
        <v>4940</v>
      </c>
      <c r="F303" s="41" t="s">
        <v>443</v>
      </c>
    </row>
    <row r="304" spans="1:6">
      <c r="A304" s="41">
        <v>144</v>
      </c>
      <c r="B304" s="446" t="s">
        <v>1136</v>
      </c>
      <c r="C304" s="446" t="s">
        <v>3178</v>
      </c>
      <c r="D304" s="446" t="s">
        <v>4940</v>
      </c>
      <c r="F304" s="41" t="s">
        <v>444</v>
      </c>
    </row>
    <row r="305" spans="1:6">
      <c r="A305" s="41">
        <v>145</v>
      </c>
      <c r="B305" s="446" t="s">
        <v>1136</v>
      </c>
      <c r="C305" s="446" t="s">
        <v>287</v>
      </c>
      <c r="D305" s="446" t="s">
        <v>4940</v>
      </c>
      <c r="F305" s="41" t="s">
        <v>448</v>
      </c>
    </row>
    <row r="306" spans="1:6">
      <c r="A306" s="41">
        <v>146</v>
      </c>
      <c r="B306" s="446" t="s">
        <v>1136</v>
      </c>
      <c r="C306" s="446" t="s">
        <v>3179</v>
      </c>
      <c r="D306" s="446" t="s">
        <v>4940</v>
      </c>
      <c r="F306" s="41" t="s">
        <v>449</v>
      </c>
    </row>
    <row r="307" spans="1:6">
      <c r="A307" s="41">
        <v>147</v>
      </c>
      <c r="B307" s="446" t="s">
        <v>1136</v>
      </c>
      <c r="C307" s="446" t="s">
        <v>3181</v>
      </c>
      <c r="D307" s="446" t="s">
        <v>4940</v>
      </c>
      <c r="F307" s="41" t="s">
        <v>450</v>
      </c>
    </row>
    <row r="308" spans="1:6">
      <c r="A308" s="41">
        <v>148</v>
      </c>
      <c r="B308" s="446" t="s">
        <v>1136</v>
      </c>
      <c r="C308" s="446" t="s">
        <v>3183</v>
      </c>
      <c r="D308" s="446" t="s">
        <v>4940</v>
      </c>
      <c r="F308" s="41" t="s">
        <v>637</v>
      </c>
    </row>
    <row r="309" spans="1:6">
      <c r="A309" s="41">
        <v>149</v>
      </c>
      <c r="B309" s="446" t="s">
        <v>1136</v>
      </c>
      <c r="C309" s="446" t="s">
        <v>3185</v>
      </c>
      <c r="D309" s="446" t="s">
        <v>4940</v>
      </c>
      <c r="F309" s="41" t="s">
        <v>454</v>
      </c>
    </row>
    <row r="310" spans="1:6">
      <c r="A310" s="41">
        <v>150</v>
      </c>
      <c r="B310" s="446" t="s">
        <v>1136</v>
      </c>
      <c r="C310" s="446" t="s">
        <v>3187</v>
      </c>
      <c r="D310" s="446" t="s">
        <v>4940</v>
      </c>
      <c r="F310" s="41" t="s">
        <v>459</v>
      </c>
    </row>
    <row r="311" spans="1:6">
      <c r="A311" s="41">
        <v>151</v>
      </c>
      <c r="B311" s="446" t="s">
        <v>1136</v>
      </c>
      <c r="C311" s="446" t="s">
        <v>3189</v>
      </c>
      <c r="D311" s="446" t="s">
        <v>4940</v>
      </c>
      <c r="F311" s="41" t="s">
        <v>462</v>
      </c>
    </row>
    <row r="312" spans="1:6">
      <c r="A312" s="41">
        <v>152</v>
      </c>
      <c r="B312" s="446" t="s">
        <v>1136</v>
      </c>
      <c r="C312" s="446" t="s">
        <v>3190</v>
      </c>
      <c r="D312" s="446" t="s">
        <v>4940</v>
      </c>
      <c r="F312" s="41" t="s">
        <v>466</v>
      </c>
    </row>
    <row r="313" spans="1:6">
      <c r="A313" s="41">
        <v>199</v>
      </c>
      <c r="B313" s="446" t="s">
        <v>1136</v>
      </c>
      <c r="C313" s="446" t="s">
        <v>4958</v>
      </c>
      <c r="D313" s="446" t="s">
        <v>4940</v>
      </c>
      <c r="F313" s="41" t="s">
        <v>468</v>
      </c>
    </row>
    <row r="314" spans="1:6">
      <c r="A314" s="41">
        <v>153</v>
      </c>
      <c r="B314" s="446" t="s">
        <v>1136</v>
      </c>
      <c r="C314" s="446" t="s">
        <v>3192</v>
      </c>
      <c r="D314" s="446" t="s">
        <v>4940</v>
      </c>
      <c r="F314" s="41" t="s">
        <v>471</v>
      </c>
    </row>
    <row r="315" spans="1:6">
      <c r="A315" s="41">
        <v>154</v>
      </c>
      <c r="B315" s="446" t="s">
        <v>1136</v>
      </c>
      <c r="C315" s="446" t="s">
        <v>3194</v>
      </c>
      <c r="D315" s="446" t="s">
        <v>4940</v>
      </c>
      <c r="F315" s="41" t="s">
        <v>474</v>
      </c>
    </row>
    <row r="316" spans="1:6">
      <c r="A316" s="41">
        <v>155</v>
      </c>
      <c r="B316" s="446" t="s">
        <v>1136</v>
      </c>
      <c r="C316" s="446" t="s">
        <v>3196</v>
      </c>
      <c r="D316" s="446" t="s">
        <v>4940</v>
      </c>
      <c r="F316" s="41" t="s">
        <v>476</v>
      </c>
    </row>
    <row r="317" spans="1:6">
      <c r="A317" s="41">
        <v>156</v>
      </c>
      <c r="B317" s="446" t="s">
        <v>1136</v>
      </c>
      <c r="C317" s="446" t="s">
        <v>3198</v>
      </c>
      <c r="D317" s="446" t="s">
        <v>4940</v>
      </c>
      <c r="F317" s="41" t="s">
        <v>479</v>
      </c>
    </row>
    <row r="318" spans="1:6">
      <c r="A318" s="41">
        <v>157</v>
      </c>
      <c r="B318" s="446" t="s">
        <v>1136</v>
      </c>
      <c r="C318" s="446" t="s">
        <v>3200</v>
      </c>
      <c r="D318" s="446" t="s">
        <v>4940</v>
      </c>
      <c r="F318" s="41" t="s">
        <v>481</v>
      </c>
    </row>
    <row r="319" spans="1:6">
      <c r="A319" s="41">
        <v>158</v>
      </c>
      <c r="B319" s="446" t="s">
        <v>1136</v>
      </c>
      <c r="C319" s="446" t="s">
        <v>3201</v>
      </c>
      <c r="D319" s="446" t="s">
        <v>4940</v>
      </c>
      <c r="F319" s="41" t="s">
        <v>483</v>
      </c>
    </row>
    <row r="320" spans="1:6">
      <c r="A320" s="41">
        <v>159</v>
      </c>
      <c r="B320" s="446" t="s">
        <v>1136</v>
      </c>
      <c r="C320" s="446" t="s">
        <v>3203</v>
      </c>
      <c r="D320" s="446" t="s">
        <v>4940</v>
      </c>
      <c r="F320" s="41" t="s">
        <v>484</v>
      </c>
    </row>
    <row r="321" spans="1:6">
      <c r="A321" s="41">
        <v>307</v>
      </c>
      <c r="B321" s="446" t="s">
        <v>1136</v>
      </c>
      <c r="C321" s="446" t="s">
        <v>450</v>
      </c>
      <c r="D321" s="446" t="s">
        <v>4933</v>
      </c>
      <c r="F321" s="41" t="s">
        <v>487</v>
      </c>
    </row>
    <row r="322" spans="1:6">
      <c r="A322" s="41">
        <v>305</v>
      </c>
      <c r="B322" s="446" t="s">
        <v>1136</v>
      </c>
      <c r="C322" s="446" t="s">
        <v>448</v>
      </c>
      <c r="D322" s="446" t="s">
        <v>4933</v>
      </c>
      <c r="F322" s="41" t="s">
        <v>489</v>
      </c>
    </row>
    <row r="323" spans="1:6">
      <c r="A323" s="41">
        <v>163</v>
      </c>
      <c r="B323" s="446" t="s">
        <v>1136</v>
      </c>
      <c r="C323" s="446" t="s">
        <v>3215</v>
      </c>
      <c r="D323" s="446" t="s">
        <v>4940</v>
      </c>
      <c r="F323" s="41" t="s">
        <v>490</v>
      </c>
    </row>
    <row r="324" spans="1:6">
      <c r="A324" s="41">
        <v>169</v>
      </c>
      <c r="B324" s="446" t="s">
        <v>1136</v>
      </c>
      <c r="C324" s="446" t="s">
        <v>3228</v>
      </c>
      <c r="D324" s="446" t="s">
        <v>4940</v>
      </c>
      <c r="F324" s="41" t="s">
        <v>493</v>
      </c>
    </row>
    <row r="325" spans="1:6">
      <c r="A325" s="41">
        <v>189</v>
      </c>
      <c r="B325" s="446" t="s">
        <v>1136</v>
      </c>
      <c r="C325" s="446" t="s">
        <v>3034</v>
      </c>
      <c r="D325" s="446" t="s">
        <v>4940</v>
      </c>
      <c r="F325" s="41" t="s">
        <v>4937</v>
      </c>
    </row>
    <row r="326" spans="1:6">
      <c r="A326" s="41">
        <v>190</v>
      </c>
      <c r="B326" s="446" t="s">
        <v>1136</v>
      </c>
      <c r="C326" s="446" t="s">
        <v>3286</v>
      </c>
      <c r="D326" s="446" t="s">
        <v>4940</v>
      </c>
      <c r="F326" s="41" t="s">
        <v>501</v>
      </c>
    </row>
    <row r="327" spans="1:6">
      <c r="A327" s="41">
        <v>182</v>
      </c>
      <c r="B327" s="446" t="s">
        <v>1136</v>
      </c>
      <c r="C327" s="446" t="s">
        <v>3258</v>
      </c>
      <c r="D327" s="446" t="s">
        <v>4940</v>
      </c>
      <c r="F327" s="41" t="s">
        <v>504</v>
      </c>
    </row>
    <row r="328" spans="1:6">
      <c r="A328" s="41">
        <v>198</v>
      </c>
      <c r="B328" s="446" t="s">
        <v>1136</v>
      </c>
      <c r="C328" s="446" t="s">
        <v>4957</v>
      </c>
      <c r="D328" s="446" t="s">
        <v>4940</v>
      </c>
      <c r="F328" s="41" t="s">
        <v>506</v>
      </c>
    </row>
    <row r="329" spans="1:6">
      <c r="A329" s="41">
        <v>160</v>
      </c>
      <c r="B329" s="446" t="s">
        <v>1136</v>
      </c>
      <c r="C329" s="446" t="s">
        <v>3205</v>
      </c>
      <c r="D329" s="446" t="s">
        <v>4940</v>
      </c>
      <c r="F329" s="41" t="s">
        <v>508</v>
      </c>
    </row>
    <row r="330" spans="1:6">
      <c r="A330" s="41">
        <v>191</v>
      </c>
      <c r="B330" s="446" t="s">
        <v>1136</v>
      </c>
      <c r="C330" s="446" t="s">
        <v>4955</v>
      </c>
      <c r="D330" s="446" t="s">
        <v>4940</v>
      </c>
      <c r="F330" s="41" t="s">
        <v>510</v>
      </c>
    </row>
    <row r="331" spans="1:6">
      <c r="A331" s="41">
        <v>192</v>
      </c>
      <c r="B331" s="446" t="s">
        <v>1136</v>
      </c>
      <c r="C331" s="446" t="s">
        <v>3291</v>
      </c>
      <c r="D331" s="446" t="s">
        <v>4940</v>
      </c>
      <c r="F331" s="41" t="s">
        <v>512</v>
      </c>
    </row>
    <row r="332" spans="1:6">
      <c r="A332" s="41">
        <v>164</v>
      </c>
      <c r="B332" s="446" t="s">
        <v>1136</v>
      </c>
      <c r="C332" s="446" t="s">
        <v>3219</v>
      </c>
      <c r="D332" s="446" t="s">
        <v>4940</v>
      </c>
      <c r="F332" s="41" t="s">
        <v>514</v>
      </c>
    </row>
    <row r="333" spans="1:6">
      <c r="A333" s="41">
        <v>285</v>
      </c>
      <c r="B333" s="446" t="s">
        <v>1136</v>
      </c>
      <c r="C333" s="446" t="s">
        <v>405</v>
      </c>
      <c r="D333" s="446" t="s">
        <v>4933</v>
      </c>
      <c r="F333" s="41" t="s">
        <v>516</v>
      </c>
    </row>
    <row r="334" spans="1:6">
      <c r="A334" s="41">
        <v>265</v>
      </c>
      <c r="B334" s="446" t="s">
        <v>1136</v>
      </c>
      <c r="C334" s="446" t="s">
        <v>248</v>
      </c>
      <c r="D334" s="446" t="s">
        <v>4941</v>
      </c>
      <c r="F334" s="41" t="s">
        <v>518</v>
      </c>
    </row>
    <row r="335" spans="1:6">
      <c r="A335" s="41">
        <v>262</v>
      </c>
      <c r="B335" s="446" t="s">
        <v>1136</v>
      </c>
      <c r="C335" s="446" t="s">
        <v>350</v>
      </c>
      <c r="D335" s="446" t="s">
        <v>4941</v>
      </c>
      <c r="F335" s="41" t="s">
        <v>519</v>
      </c>
    </row>
    <row r="336" spans="1:6">
      <c r="A336" s="41">
        <v>268</v>
      </c>
      <c r="B336" s="446" t="s">
        <v>1136</v>
      </c>
      <c r="C336" s="446" t="s">
        <v>349</v>
      </c>
      <c r="D336" s="446" t="s">
        <v>4941</v>
      </c>
      <c r="F336" s="41" t="s">
        <v>520</v>
      </c>
    </row>
    <row r="337" spans="1:6">
      <c r="A337" s="41">
        <v>263</v>
      </c>
      <c r="B337" s="446" t="s">
        <v>1136</v>
      </c>
      <c r="C337" s="446" t="s">
        <v>246</v>
      </c>
      <c r="D337" s="446" t="s">
        <v>4941</v>
      </c>
      <c r="F337" s="41" t="s">
        <v>522</v>
      </c>
    </row>
    <row r="338" spans="1:6">
      <c r="A338" s="41">
        <v>264</v>
      </c>
      <c r="B338" s="446" t="s">
        <v>1136</v>
      </c>
      <c r="C338" s="446" t="s">
        <v>247</v>
      </c>
      <c r="D338" s="446" t="s">
        <v>4941</v>
      </c>
      <c r="F338" s="41" t="s">
        <v>523</v>
      </c>
    </row>
    <row r="339" spans="1:6">
      <c r="A339" s="41">
        <v>246</v>
      </c>
      <c r="B339" s="446" t="s">
        <v>1136</v>
      </c>
      <c r="C339" s="446" t="s">
        <v>3724</v>
      </c>
      <c r="D339" s="446" t="s">
        <v>4941</v>
      </c>
      <c r="F339" s="41" t="s">
        <v>524</v>
      </c>
    </row>
    <row r="340" spans="1:6">
      <c r="A340" s="41">
        <v>247</v>
      </c>
      <c r="B340" s="446" t="s">
        <v>1136</v>
      </c>
      <c r="C340" s="446" t="s">
        <v>3727</v>
      </c>
      <c r="D340" s="446" t="s">
        <v>4941</v>
      </c>
      <c r="F340" s="41" t="s">
        <v>525</v>
      </c>
    </row>
    <row r="341" spans="1:6">
      <c r="A341" s="41">
        <v>245</v>
      </c>
      <c r="B341" s="446" t="s">
        <v>1136</v>
      </c>
      <c r="C341" s="446" t="s">
        <v>3721</v>
      </c>
      <c r="D341" s="446" t="s">
        <v>4941</v>
      </c>
      <c r="F341" s="41" t="s">
        <v>526</v>
      </c>
    </row>
    <row r="342" spans="1:6">
      <c r="A342" s="41">
        <v>238</v>
      </c>
      <c r="B342" s="446" t="s">
        <v>1136</v>
      </c>
      <c r="C342" s="446" t="s">
        <v>3700</v>
      </c>
      <c r="D342" s="446" t="s">
        <v>4941</v>
      </c>
      <c r="F342" s="41" t="s">
        <v>528</v>
      </c>
    </row>
    <row r="343" spans="1:6">
      <c r="A343" s="41">
        <v>249</v>
      </c>
      <c r="B343" s="446" t="s">
        <v>1136</v>
      </c>
      <c r="C343" s="446" t="s">
        <v>3733</v>
      </c>
      <c r="D343" s="446" t="s">
        <v>4941</v>
      </c>
      <c r="F343" s="41" t="s">
        <v>530</v>
      </c>
    </row>
    <row r="344" spans="1:6">
      <c r="A344" s="41">
        <v>243</v>
      </c>
      <c r="B344" s="446" t="s">
        <v>1136</v>
      </c>
      <c r="C344" s="446" t="s">
        <v>3715</v>
      </c>
      <c r="D344" s="446" t="s">
        <v>4941</v>
      </c>
      <c r="F344" s="41" t="s">
        <v>532</v>
      </c>
    </row>
    <row r="345" spans="1:6">
      <c r="A345" s="41">
        <v>244</v>
      </c>
      <c r="B345" s="446" t="s">
        <v>1136</v>
      </c>
      <c r="C345" s="446" t="s">
        <v>3718</v>
      </c>
      <c r="D345" s="446" t="s">
        <v>4941</v>
      </c>
      <c r="F345" s="41" t="s">
        <v>534</v>
      </c>
    </row>
    <row r="346" spans="1:6">
      <c r="A346" s="41">
        <v>242</v>
      </c>
      <c r="B346" s="446" t="s">
        <v>1136</v>
      </c>
      <c r="C346" s="446" t="s">
        <v>3712</v>
      </c>
      <c r="D346" s="446" t="s">
        <v>4941</v>
      </c>
      <c r="F346" s="41" t="s">
        <v>536</v>
      </c>
    </row>
    <row r="347" spans="1:6">
      <c r="A347" s="41">
        <v>240</v>
      </c>
      <c r="B347" s="446" t="s">
        <v>1136</v>
      </c>
      <c r="C347" s="446" t="s">
        <v>3706</v>
      </c>
      <c r="D347" s="446" t="s">
        <v>4941</v>
      </c>
      <c r="F347" s="41" t="s">
        <v>538</v>
      </c>
    </row>
    <row r="348" spans="1:6">
      <c r="A348" s="41">
        <v>241</v>
      </c>
      <c r="B348" s="446" t="s">
        <v>1136</v>
      </c>
      <c r="C348" s="446" t="s">
        <v>3709</v>
      </c>
      <c r="D348" s="446" t="s">
        <v>4941</v>
      </c>
      <c r="F348" s="41" t="s">
        <v>540</v>
      </c>
    </row>
    <row r="349" spans="1:6">
      <c r="A349" s="41">
        <v>239</v>
      </c>
      <c r="B349" s="446" t="s">
        <v>1136</v>
      </c>
      <c r="C349" s="446" t="s">
        <v>3703</v>
      </c>
      <c r="D349" s="446" t="s">
        <v>4941</v>
      </c>
      <c r="F349" s="41" t="s">
        <v>542</v>
      </c>
    </row>
    <row r="350" spans="1:6">
      <c r="A350" s="41">
        <v>248</v>
      </c>
      <c r="B350" s="446" t="s">
        <v>1136</v>
      </c>
      <c r="C350" s="446" t="s">
        <v>3730</v>
      </c>
      <c r="D350" s="446" t="s">
        <v>4941</v>
      </c>
      <c r="F350" s="41" t="s">
        <v>544</v>
      </c>
    </row>
    <row r="351" spans="1:6">
      <c r="A351" s="41">
        <v>250</v>
      </c>
      <c r="B351" s="446" t="s">
        <v>1136</v>
      </c>
      <c r="C351" s="446" t="s">
        <v>3736</v>
      </c>
      <c r="D351" s="446" t="s">
        <v>4941</v>
      </c>
      <c r="F351" s="41" t="s">
        <v>545</v>
      </c>
    </row>
    <row r="352" spans="1:6">
      <c r="A352" s="41">
        <v>251</v>
      </c>
      <c r="B352" s="446" t="s">
        <v>1136</v>
      </c>
      <c r="C352" s="446" t="s">
        <v>4960</v>
      </c>
      <c r="D352" s="446" t="s">
        <v>4941</v>
      </c>
      <c r="F352" s="41" t="s">
        <v>546</v>
      </c>
    </row>
    <row r="353" spans="1:6">
      <c r="A353" s="41">
        <v>256</v>
      </c>
      <c r="B353" s="446" t="s">
        <v>1136</v>
      </c>
      <c r="C353" s="446" t="s">
        <v>4964</v>
      </c>
      <c r="D353" s="446" t="s">
        <v>4941</v>
      </c>
      <c r="F353" s="41" t="s">
        <v>548</v>
      </c>
    </row>
    <row r="354" spans="1:6">
      <c r="A354" s="41">
        <v>255</v>
      </c>
      <c r="B354" s="446" t="s">
        <v>1136</v>
      </c>
      <c r="C354" s="446" t="s">
        <v>4963</v>
      </c>
      <c r="D354" s="446" t="s">
        <v>4941</v>
      </c>
      <c r="F354" s="41" t="s">
        <v>550</v>
      </c>
    </row>
    <row r="355" spans="1:6">
      <c r="A355" s="41">
        <v>253</v>
      </c>
      <c r="B355" s="446" t="s">
        <v>1136</v>
      </c>
      <c r="C355" s="446" t="s">
        <v>3744</v>
      </c>
      <c r="D355" s="446" t="s">
        <v>4941</v>
      </c>
      <c r="F355" s="41" t="s">
        <v>552</v>
      </c>
    </row>
    <row r="356" spans="1:6">
      <c r="A356" s="41">
        <v>254</v>
      </c>
      <c r="B356" s="446" t="s">
        <v>1136</v>
      </c>
      <c r="C356" s="446" t="s">
        <v>4962</v>
      </c>
      <c r="D356" s="446" t="s">
        <v>4941</v>
      </c>
      <c r="F356" s="41" t="s">
        <v>553</v>
      </c>
    </row>
    <row r="357" spans="1:6">
      <c r="A357" s="41">
        <v>261</v>
      </c>
      <c r="B357" s="446" t="s">
        <v>1136</v>
      </c>
      <c r="C357" s="446" t="s">
        <v>4968</v>
      </c>
      <c r="D357" s="446" t="s">
        <v>4941</v>
      </c>
      <c r="F357" s="41" t="s">
        <v>563</v>
      </c>
    </row>
    <row r="358" spans="1:6">
      <c r="A358" s="41">
        <v>252</v>
      </c>
      <c r="B358" s="446" t="s">
        <v>1136</v>
      </c>
      <c r="C358" s="446" t="s">
        <v>4961</v>
      </c>
      <c r="D358" s="446" t="s">
        <v>4941</v>
      </c>
      <c r="F358" s="41" t="s">
        <v>4934</v>
      </c>
    </row>
    <row r="359" spans="1:6">
      <c r="A359" s="41">
        <v>260</v>
      </c>
      <c r="B359" s="446" t="s">
        <v>1136</v>
      </c>
      <c r="C359" s="446" t="s">
        <v>4967</v>
      </c>
      <c r="D359" s="446" t="s">
        <v>4941</v>
      </c>
      <c r="F359" s="41" t="s">
        <v>571</v>
      </c>
    </row>
    <row r="360" spans="1:6">
      <c r="A360" s="41">
        <v>259</v>
      </c>
      <c r="B360" s="446" t="s">
        <v>1136</v>
      </c>
      <c r="C360" s="446" t="s">
        <v>4966</v>
      </c>
      <c r="D360" s="446" t="s">
        <v>4941</v>
      </c>
      <c r="F360" s="41" t="s">
        <v>4938</v>
      </c>
    </row>
    <row r="361" spans="1:6">
      <c r="A361" s="41">
        <v>257</v>
      </c>
      <c r="B361" s="446" t="s">
        <v>1136</v>
      </c>
      <c r="C361" s="446" t="s">
        <v>3754</v>
      </c>
      <c r="D361" s="446" t="s">
        <v>4941</v>
      </c>
      <c r="F361" s="41" t="s">
        <v>575</v>
      </c>
    </row>
    <row r="362" spans="1:6">
      <c r="A362" s="41">
        <v>258</v>
      </c>
      <c r="B362" s="446" t="s">
        <v>1136</v>
      </c>
      <c r="C362" s="446" t="s">
        <v>4965</v>
      </c>
      <c r="D362" s="446" t="s">
        <v>4941</v>
      </c>
      <c r="F362" s="41" t="s">
        <v>4935</v>
      </c>
    </row>
    <row r="363" spans="1:6">
      <c r="A363" s="41">
        <v>270</v>
      </c>
      <c r="B363" s="446" t="s">
        <v>1136</v>
      </c>
      <c r="C363" s="446" t="s">
        <v>4969</v>
      </c>
      <c r="D363" s="446" t="s">
        <v>4941</v>
      </c>
      <c r="F363" s="41" t="s">
        <v>579</v>
      </c>
    </row>
    <row r="364" spans="1:6">
      <c r="A364" s="41">
        <v>267</v>
      </c>
      <c r="B364" s="446" t="s">
        <v>1136</v>
      </c>
      <c r="C364" s="446" t="s">
        <v>258</v>
      </c>
      <c r="D364" s="446" t="s">
        <v>4941</v>
      </c>
      <c r="F364" s="41" t="s">
        <v>582</v>
      </c>
    </row>
    <row r="365" spans="1:6">
      <c r="A365" s="41">
        <v>266</v>
      </c>
      <c r="B365" s="446" t="s">
        <v>1136</v>
      </c>
      <c r="C365" s="446" t="s">
        <v>253</v>
      </c>
      <c r="D365" s="446" t="s">
        <v>4941</v>
      </c>
      <c r="F365" s="41" t="s">
        <v>584</v>
      </c>
    </row>
    <row r="366" spans="1:6">
      <c r="A366" s="41">
        <v>162</v>
      </c>
      <c r="B366" s="446" t="s">
        <v>1136</v>
      </c>
      <c r="C366" s="446" t="s">
        <v>3211</v>
      </c>
      <c r="D366" s="446" t="s">
        <v>4940</v>
      </c>
      <c r="F366" s="41" t="s">
        <v>586</v>
      </c>
    </row>
    <row r="367" spans="1:6">
      <c r="A367" s="41">
        <v>161</v>
      </c>
      <c r="B367" s="446" t="s">
        <v>1136</v>
      </c>
      <c r="C367" s="446" t="s">
        <v>3209</v>
      </c>
      <c r="D367" s="446" t="s">
        <v>4940</v>
      </c>
      <c r="F367" s="41" t="s">
        <v>590</v>
      </c>
    </row>
    <row r="368" spans="1:6">
      <c r="A368" s="41">
        <v>273</v>
      </c>
      <c r="B368" s="446" t="s">
        <v>1136</v>
      </c>
      <c r="C368" s="446" t="s">
        <v>378</v>
      </c>
      <c r="D368" s="446" t="s">
        <v>4933</v>
      </c>
      <c r="F368" s="41" t="s">
        <v>594</v>
      </c>
    </row>
    <row r="369" spans="1:6">
      <c r="A369" s="41">
        <v>205</v>
      </c>
      <c r="B369" s="446" t="s">
        <v>1136</v>
      </c>
      <c r="C369" s="446" t="s">
        <v>90</v>
      </c>
      <c r="D369" s="446" t="s">
        <v>4941</v>
      </c>
      <c r="F369" s="41" t="s">
        <v>598</v>
      </c>
    </row>
    <row r="370" spans="1:6">
      <c r="A370" s="41">
        <v>272</v>
      </c>
      <c r="B370" s="446" t="s">
        <v>1136</v>
      </c>
      <c r="C370" s="446" t="s">
        <v>90</v>
      </c>
      <c r="D370" s="446" t="s">
        <v>4933</v>
      </c>
      <c r="F370" s="41" t="s">
        <v>4939</v>
      </c>
    </row>
    <row r="371" spans="1:6">
      <c r="A371" s="41">
        <v>1</v>
      </c>
      <c r="B371" s="446" t="s">
        <v>1136</v>
      </c>
      <c r="C371" s="446" t="s">
        <v>3099</v>
      </c>
      <c r="D371" s="446" t="s">
        <v>4940</v>
      </c>
      <c r="F371" s="41" t="s">
        <v>601</v>
      </c>
    </row>
    <row r="372" spans="1:6">
      <c r="A372" s="41">
        <v>2</v>
      </c>
      <c r="B372" s="446" t="s">
        <v>1136</v>
      </c>
      <c r="C372" s="446" t="s">
        <v>3102</v>
      </c>
      <c r="D372" s="446" t="s">
        <v>4940</v>
      </c>
      <c r="F372" s="41" t="s">
        <v>4936</v>
      </c>
    </row>
    <row r="373" spans="1:6">
      <c r="A373" s="41">
        <v>292</v>
      </c>
      <c r="B373" s="446" t="s">
        <v>1136</v>
      </c>
      <c r="C373" s="446" t="s">
        <v>418</v>
      </c>
      <c r="D373" s="446" t="s">
        <v>4933</v>
      </c>
      <c r="F373" s="41" t="s">
        <v>603</v>
      </c>
    </row>
    <row r="374" spans="1:6">
      <c r="A374" s="41">
        <v>271</v>
      </c>
      <c r="B374" s="446" t="s">
        <v>1136</v>
      </c>
      <c r="C374" s="446" t="s">
        <v>372</v>
      </c>
      <c r="D374" s="446" t="s">
        <v>4933</v>
      </c>
      <c r="F374" s="41" t="s">
        <v>604</v>
      </c>
    </row>
    <row r="375" spans="1:6">
      <c r="A375" s="41">
        <v>195</v>
      </c>
      <c r="B375" s="446" t="s">
        <v>1136</v>
      </c>
      <c r="C375" s="446" t="s">
        <v>3004</v>
      </c>
      <c r="D375" s="446" t="s">
        <v>4940</v>
      </c>
      <c r="F375" s="41" t="s">
        <v>607</v>
      </c>
    </row>
    <row r="376" spans="1:6">
      <c r="A376" s="41">
        <v>8</v>
      </c>
      <c r="B376" s="446" t="s">
        <v>1136</v>
      </c>
      <c r="C376" s="446" t="s">
        <v>312</v>
      </c>
      <c r="D376" s="446" t="s">
        <v>4940</v>
      </c>
      <c r="F376" s="41" t="s">
        <v>609</v>
      </c>
    </row>
    <row r="377" spans="1:6">
      <c r="A377" s="41">
        <v>290</v>
      </c>
      <c r="B377" s="446" t="s">
        <v>1136</v>
      </c>
      <c r="C377" s="446" t="s">
        <v>413</v>
      </c>
      <c r="D377" s="446" t="s">
        <v>4933</v>
      </c>
      <c r="F377" s="41" t="s">
        <v>612</v>
      </c>
    </row>
    <row r="378" spans="1:6">
      <c r="A378" s="41">
        <v>291</v>
      </c>
      <c r="B378" s="446" t="s">
        <v>1136</v>
      </c>
      <c r="C378" s="446" t="s">
        <v>415</v>
      </c>
      <c r="D378" s="446" t="s">
        <v>4933</v>
      </c>
      <c r="F378" s="41" t="s">
        <v>615</v>
      </c>
    </row>
    <row r="379" spans="1:6">
      <c r="A379" s="41">
        <v>274</v>
      </c>
      <c r="B379" s="446" t="s">
        <v>1136</v>
      </c>
      <c r="C379" s="446" t="s">
        <v>382</v>
      </c>
      <c r="D379" s="446" t="s">
        <v>4933</v>
      </c>
      <c r="F379" s="41" t="s">
        <v>618</v>
      </c>
    </row>
    <row r="380" spans="1:6">
      <c r="A380" s="41">
        <v>206</v>
      </c>
      <c r="B380" s="446" t="s">
        <v>1136</v>
      </c>
      <c r="C380" s="446" t="s">
        <v>207</v>
      </c>
      <c r="D380" s="446" t="s">
        <v>4941</v>
      </c>
      <c r="F380" s="41" t="s">
        <v>621</v>
      </c>
    </row>
    <row r="381" spans="1:6">
      <c r="A381" s="41">
        <v>196</v>
      </c>
      <c r="B381" s="446" t="s">
        <v>1136</v>
      </c>
      <c r="C381" s="446" t="s">
        <v>3476</v>
      </c>
      <c r="D381" s="446" t="s">
        <v>4940</v>
      </c>
      <c r="F381" s="41" t="s">
        <v>624</v>
      </c>
    </row>
    <row r="382" spans="1:6">
      <c r="A382" s="41">
        <v>165</v>
      </c>
      <c r="B382" s="446" t="s">
        <v>1136</v>
      </c>
      <c r="C382" s="446" t="s">
        <v>3222</v>
      </c>
      <c r="D382" s="446" t="s">
        <v>4940</v>
      </c>
      <c r="F382" s="41" t="s">
        <v>627</v>
      </c>
    </row>
    <row r="383" spans="1:6">
      <c r="A383" s="41">
        <v>168</v>
      </c>
      <c r="B383" s="446" t="s">
        <v>1136</v>
      </c>
      <c r="C383" s="446" t="s">
        <v>3226</v>
      </c>
      <c r="D383" s="446" t="s">
        <v>4940</v>
      </c>
      <c r="F383" s="41" t="s">
        <v>630</v>
      </c>
    </row>
    <row r="384" spans="1:6">
      <c r="A384" s="41">
        <v>306</v>
      </c>
      <c r="B384" s="446" t="s">
        <v>1136</v>
      </c>
      <c r="C384" s="446" t="s">
        <v>449</v>
      </c>
      <c r="D384" s="446" t="s">
        <v>4933</v>
      </c>
      <c r="F384" s="41" t="s">
        <v>4952</v>
      </c>
    </row>
    <row r="385" spans="1:6">
      <c r="A385" s="41">
        <v>289</v>
      </c>
      <c r="B385" s="446" t="s">
        <v>1136</v>
      </c>
      <c r="C385" s="446" t="s">
        <v>170</v>
      </c>
      <c r="D385" s="446" t="s">
        <v>4933</v>
      </c>
      <c r="F385" s="41" t="s">
        <v>4953</v>
      </c>
    </row>
    <row r="386" spans="1:6">
      <c r="A386" s="41">
        <v>302</v>
      </c>
      <c r="B386" s="446" t="s">
        <v>1136</v>
      </c>
      <c r="C386" s="446" t="s">
        <v>440</v>
      </c>
      <c r="D386" s="446" t="s">
        <v>4933</v>
      </c>
    </row>
  </sheetData>
  <sortState xmlns:xlrd2="http://schemas.microsoft.com/office/spreadsheetml/2017/richdata2" ref="A1:D386">
    <sortCondition ref="C2:C386"/>
  </sortState>
  <conditionalFormatting sqref="C1:C1048576">
    <cfRule type="duplicateValues" dxfId="14" priority="4"/>
    <cfRule type="duplicateValues" dxfId="13" priority="5"/>
  </conditionalFormatting>
  <conditionalFormatting sqref="C309">
    <cfRule type="duplicateValues" dxfId="12" priority="6"/>
  </conditionalFormatting>
  <conditionalFormatting sqref="F2:F385">
    <cfRule type="duplicateValues" dxfId="11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9CC6F-A9C9-4BC6-B4B4-121C13E04560}">
  <dimension ref="C4:K11"/>
  <sheetViews>
    <sheetView workbookViewId="0">
      <selection activeCell="G17" sqref="G17"/>
    </sheetView>
  </sheetViews>
  <sheetFormatPr defaultColWidth="18.1796875" defaultRowHeight="14.5"/>
  <cols>
    <col min="7" max="7" width="20.81640625" customWidth="1"/>
  </cols>
  <sheetData>
    <row r="4" spans="3:11">
      <c r="C4" s="463" t="s">
        <v>4970</v>
      </c>
      <c r="D4" s="464" t="s">
        <v>90</v>
      </c>
      <c r="E4" s="465" t="s">
        <v>4971</v>
      </c>
      <c r="F4" s="463"/>
      <c r="G4" s="466" t="s">
        <v>4972</v>
      </c>
      <c r="H4" s="467" t="s">
        <v>87</v>
      </c>
      <c r="I4" s="467" t="s">
        <v>1228</v>
      </c>
      <c r="J4" s="470"/>
      <c r="K4" s="470"/>
    </row>
    <row r="5" spans="3:11">
      <c r="C5" s="459"/>
      <c r="D5" s="461">
        <v>46113</v>
      </c>
      <c r="E5" s="451">
        <v>10000</v>
      </c>
      <c r="F5" s="459"/>
      <c r="G5" s="460"/>
      <c r="H5" s="468">
        <v>202604</v>
      </c>
      <c r="I5" s="468">
        <v>1205888</v>
      </c>
      <c r="J5" s="471"/>
      <c r="K5" s="471"/>
    </row>
    <row r="6" spans="3:11">
      <c r="C6" s="459"/>
      <c r="D6" s="461">
        <v>46082</v>
      </c>
      <c r="E6" s="451">
        <v>12000</v>
      </c>
      <c r="F6" s="459"/>
      <c r="G6" s="460"/>
      <c r="H6" s="468">
        <v>202603</v>
      </c>
      <c r="I6" s="468">
        <v>1206000</v>
      </c>
      <c r="J6" s="471"/>
      <c r="K6" s="471"/>
    </row>
    <row r="9" spans="3:11">
      <c r="E9" s="466" t="s">
        <v>4973</v>
      </c>
      <c r="F9" s="464" t="s">
        <v>90</v>
      </c>
      <c r="G9" s="464" t="s">
        <v>207</v>
      </c>
    </row>
    <row r="10" spans="3:11">
      <c r="E10" s="460"/>
      <c r="F10" s="461">
        <v>46113</v>
      </c>
      <c r="G10" s="468" t="s">
        <v>4974</v>
      </c>
    </row>
    <row r="11" spans="3:11">
      <c r="E11" s="469"/>
      <c r="F11" s="469"/>
      <c r="G11" s="46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C379-8F1C-440C-82C2-1E161C1DF0C6}">
  <dimension ref="A1:AI44"/>
  <sheetViews>
    <sheetView zoomScale="62" zoomScaleNormal="62" workbookViewId="0">
      <selection activeCell="B12" sqref="B12"/>
    </sheetView>
  </sheetViews>
  <sheetFormatPr defaultColWidth="8.81640625" defaultRowHeight="14.5"/>
  <cols>
    <col min="1" max="1" width="15.81640625" style="116" customWidth="1"/>
    <col min="2" max="2" width="23.81640625" style="116" customWidth="1"/>
    <col min="3" max="3" width="12.81640625" style="116" bestFit="1" customWidth="1"/>
    <col min="4" max="4" width="17.1796875" style="116" bestFit="1" customWidth="1"/>
    <col min="5" max="6" width="18.1796875" style="116" bestFit="1" customWidth="1"/>
    <col min="7" max="8" width="8.81640625" style="116"/>
    <col min="9" max="9" width="9.54296875" style="116" bestFit="1" customWidth="1"/>
    <col min="10" max="10" width="15.1796875" style="116" bestFit="1" customWidth="1"/>
    <col min="11" max="11" width="8.81640625" style="116"/>
    <col min="12" max="13" width="8.81640625" style="201"/>
    <col min="14" max="14" width="10.81640625" style="201" bestFit="1" customWidth="1"/>
    <col min="15" max="32" width="8.81640625" style="201"/>
    <col min="33" max="16384" width="8.81640625" style="116"/>
  </cols>
  <sheetData>
    <row r="1" spans="1:35">
      <c r="A1" s="562" t="s">
        <v>198</v>
      </c>
      <c r="B1" s="563"/>
      <c r="C1" s="201"/>
      <c r="D1" s="201"/>
      <c r="E1" s="201"/>
      <c r="F1" s="201"/>
      <c r="G1" s="201"/>
      <c r="H1" s="201"/>
      <c r="I1" s="201"/>
      <c r="J1" s="201"/>
      <c r="K1" s="201"/>
      <c r="AG1" s="201"/>
      <c r="AH1" s="201"/>
      <c r="AI1" s="201"/>
    </row>
    <row r="2" spans="1:35" ht="77">
      <c r="A2" s="118" t="s">
        <v>4975</v>
      </c>
      <c r="B2" s="105" t="s">
        <v>4976</v>
      </c>
      <c r="C2" s="201"/>
      <c r="D2" s="201"/>
      <c r="E2" s="201"/>
      <c r="F2" s="201"/>
      <c r="G2" s="201"/>
      <c r="H2" s="201"/>
      <c r="I2" s="201"/>
      <c r="J2" s="201"/>
      <c r="K2" s="201"/>
      <c r="AG2" s="201"/>
      <c r="AH2" s="201"/>
      <c r="AI2" s="201"/>
    </row>
    <row r="3" spans="1:35">
      <c r="A3" s="118" t="s">
        <v>4977</v>
      </c>
      <c r="B3" s="118" t="s">
        <v>4978</v>
      </c>
      <c r="C3" s="201"/>
      <c r="D3" s="201"/>
      <c r="E3" s="201"/>
      <c r="F3" s="201"/>
      <c r="G3" s="201"/>
      <c r="H3" s="201"/>
      <c r="I3" s="201"/>
      <c r="J3" s="201"/>
      <c r="K3" s="201"/>
      <c r="AG3" s="201"/>
      <c r="AH3" s="201"/>
      <c r="AI3" s="201"/>
    </row>
    <row r="4" spans="1:35">
      <c r="A4" s="118">
        <v>202305</v>
      </c>
      <c r="B4" s="118">
        <v>1220909</v>
      </c>
      <c r="C4" s="201"/>
      <c r="D4" s="201"/>
      <c r="E4" s="201"/>
      <c r="F4" s="201"/>
      <c r="G4" s="201"/>
      <c r="H4" s="201"/>
      <c r="I4" s="201"/>
      <c r="J4" s="201"/>
      <c r="K4" s="201"/>
      <c r="AG4" s="201"/>
      <c r="AH4" s="201"/>
      <c r="AI4" s="201"/>
    </row>
    <row r="5" spans="1:35">
      <c r="A5" s="118">
        <v>202306</v>
      </c>
      <c r="B5" s="118">
        <v>1239647</v>
      </c>
      <c r="C5" s="201"/>
      <c r="D5" s="201"/>
      <c r="E5" s="201"/>
      <c r="F5" s="201"/>
      <c r="G5" s="201"/>
      <c r="H5" s="201"/>
      <c r="I5" s="201"/>
      <c r="J5" s="201"/>
      <c r="K5" s="201"/>
      <c r="AG5" s="201"/>
      <c r="AH5" s="201"/>
      <c r="AI5" s="201"/>
    </row>
    <row r="6" spans="1:35">
      <c r="A6" s="201"/>
      <c r="B6" s="201"/>
      <c r="C6" s="201"/>
      <c r="D6" s="201"/>
      <c r="E6" s="201"/>
      <c r="F6" s="201"/>
      <c r="G6" s="201"/>
      <c r="H6" s="201"/>
      <c r="I6" s="201"/>
      <c r="J6" s="201"/>
      <c r="K6" s="201"/>
      <c r="AG6" s="201"/>
      <c r="AH6" s="201"/>
      <c r="AI6" s="201"/>
    </row>
    <row r="7" spans="1:35" ht="38.5">
      <c r="A7" s="225" t="s">
        <v>200</v>
      </c>
      <c r="B7" s="225" t="s">
        <v>4979</v>
      </c>
      <c r="C7" s="201"/>
      <c r="D7" s="201"/>
      <c r="E7" s="201"/>
      <c r="F7" s="201"/>
      <c r="G7" s="201"/>
      <c r="H7" s="201"/>
      <c r="I7" s="201"/>
      <c r="J7" s="201"/>
      <c r="K7" s="201"/>
      <c r="AG7" s="201"/>
      <c r="AH7" s="201"/>
      <c r="AI7" s="201"/>
    </row>
    <row r="8" spans="1:35">
      <c r="A8" s="118" t="s">
        <v>4977</v>
      </c>
      <c r="B8" s="118" t="s">
        <v>4980</v>
      </c>
      <c r="C8" s="201"/>
      <c r="D8" s="201"/>
      <c r="E8" s="201"/>
      <c r="F8" s="201"/>
      <c r="G8" s="201"/>
      <c r="H8" s="201"/>
      <c r="I8" s="201"/>
      <c r="J8" s="201"/>
      <c r="K8" s="201"/>
      <c r="AG8" s="201"/>
      <c r="AH8" s="201"/>
      <c r="AI8" s="201"/>
    </row>
    <row r="9" spans="1:35">
      <c r="A9" s="118">
        <v>202306</v>
      </c>
      <c r="B9" s="118">
        <f>B5-B4</f>
        <v>18738</v>
      </c>
      <c r="C9" s="201"/>
      <c r="D9" s="201"/>
      <c r="E9" s="201"/>
      <c r="F9" s="201"/>
      <c r="G9" s="201"/>
      <c r="H9" s="201"/>
      <c r="I9" s="201"/>
      <c r="J9" s="201"/>
      <c r="K9" s="201"/>
      <c r="AG9" s="201"/>
      <c r="AH9" s="201"/>
      <c r="AI9" s="201"/>
    </row>
    <row r="10" spans="1:3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AG10" s="201"/>
      <c r="AH10" s="201"/>
      <c r="AI10" s="201"/>
    </row>
    <row r="11" spans="1:35">
      <c r="A11" s="562" t="s">
        <v>206</v>
      </c>
      <c r="B11" s="563"/>
      <c r="C11" s="201"/>
      <c r="D11" s="201"/>
      <c r="E11" s="201"/>
      <c r="F11" s="201"/>
      <c r="G11" s="201"/>
      <c r="H11" s="201"/>
      <c r="I11" s="201"/>
      <c r="J11" s="201"/>
      <c r="K11" s="201"/>
      <c r="AG11" s="201"/>
      <c r="AH11" s="201"/>
      <c r="AI11" s="201"/>
    </row>
    <row r="12" spans="1:35" ht="76">
      <c r="A12" s="118"/>
      <c r="B12" s="118" t="s">
        <v>4981</v>
      </c>
      <c r="C12" s="201"/>
      <c r="D12" s="201"/>
      <c r="E12" s="201"/>
      <c r="F12" s="201"/>
      <c r="G12" s="201"/>
      <c r="H12" s="201"/>
      <c r="I12" s="201"/>
      <c r="J12" s="201"/>
      <c r="K12" s="201"/>
      <c r="AG12" s="201"/>
      <c r="AH12" s="201"/>
      <c r="AI12" s="201"/>
    </row>
    <row r="13" spans="1:35" ht="38.5">
      <c r="A13" s="118" t="s">
        <v>4977</v>
      </c>
      <c r="B13" s="118" t="s">
        <v>2240</v>
      </c>
      <c r="C13" s="118" t="s">
        <v>101</v>
      </c>
      <c r="D13" s="118" t="s">
        <v>4982</v>
      </c>
      <c r="E13" s="118" t="s">
        <v>4983</v>
      </c>
      <c r="F13" s="201"/>
      <c r="G13" s="201"/>
      <c r="H13" s="201"/>
      <c r="I13" s="201"/>
      <c r="J13" s="201"/>
      <c r="K13" s="201"/>
    </row>
    <row r="14" spans="1:35">
      <c r="A14" s="118">
        <v>202306</v>
      </c>
      <c r="B14" s="118" t="s">
        <v>4984</v>
      </c>
      <c r="C14" s="118" t="s">
        <v>4985</v>
      </c>
      <c r="D14" s="118">
        <v>4000</v>
      </c>
      <c r="E14" s="118">
        <v>10000</v>
      </c>
      <c r="F14" s="201"/>
      <c r="G14" s="201"/>
      <c r="H14" s="201"/>
      <c r="I14" s="201"/>
      <c r="J14" s="201"/>
      <c r="K14" s="201"/>
    </row>
    <row r="15" spans="1:35">
      <c r="A15" s="118">
        <v>202306</v>
      </c>
      <c r="B15" s="118" t="s">
        <v>4986</v>
      </c>
      <c r="C15" s="118" t="s">
        <v>4985</v>
      </c>
      <c r="D15" s="118">
        <v>6000</v>
      </c>
      <c r="E15" s="118">
        <v>15000</v>
      </c>
      <c r="F15" s="201"/>
      <c r="G15" s="201"/>
      <c r="H15" s="201"/>
      <c r="I15" s="201"/>
      <c r="J15" s="201"/>
      <c r="K15" s="201"/>
    </row>
    <row r="16" spans="1:35">
      <c r="A16" s="201"/>
      <c r="B16" s="201"/>
      <c r="C16" s="201"/>
      <c r="D16" s="201"/>
      <c r="E16" s="201"/>
      <c r="F16" s="201"/>
      <c r="G16" s="201"/>
      <c r="H16" s="201"/>
      <c r="I16" s="201"/>
      <c r="J16" s="201"/>
      <c r="K16" s="201"/>
    </row>
    <row r="17" spans="1:11">
      <c r="A17" s="561" t="s">
        <v>4987</v>
      </c>
      <c r="B17" s="561"/>
      <c r="F17" s="201"/>
      <c r="G17" s="201"/>
      <c r="H17" s="201"/>
      <c r="I17" s="201"/>
      <c r="J17" s="201"/>
      <c r="K17" s="201"/>
    </row>
    <row r="18" spans="1:11" ht="51">
      <c r="A18" s="118" t="s">
        <v>4977</v>
      </c>
      <c r="B18" s="118" t="s">
        <v>2240</v>
      </c>
      <c r="C18" s="118" t="s">
        <v>101</v>
      </c>
      <c r="D18" s="118" t="s">
        <v>4982</v>
      </c>
      <c r="E18" s="118" t="s">
        <v>4988</v>
      </c>
      <c r="F18" s="118" t="s">
        <v>4989</v>
      </c>
      <c r="G18" s="118" t="s">
        <v>4990</v>
      </c>
      <c r="H18" s="201"/>
      <c r="I18" s="201"/>
      <c r="J18" s="201"/>
      <c r="K18" s="201"/>
    </row>
    <row r="19" spans="1:11">
      <c r="A19" s="118">
        <v>202306</v>
      </c>
      <c r="B19" s="118" t="s">
        <v>4984</v>
      </c>
      <c r="C19" s="118" t="s">
        <v>4985</v>
      </c>
      <c r="D19" s="118">
        <v>4000</v>
      </c>
      <c r="E19" s="118">
        <v>10000</v>
      </c>
      <c r="F19" s="118">
        <f>SUM(E19:E20)</f>
        <v>25000</v>
      </c>
      <c r="G19" s="118">
        <f>E19/F19</f>
        <v>0.4</v>
      </c>
      <c r="H19" s="201"/>
      <c r="I19" s="201"/>
      <c r="J19" s="201"/>
      <c r="K19" s="201"/>
    </row>
    <row r="20" spans="1:11">
      <c r="A20" s="118">
        <v>202306</v>
      </c>
      <c r="B20" s="118" t="s">
        <v>4986</v>
      </c>
      <c r="C20" s="118" t="s">
        <v>4985</v>
      </c>
      <c r="D20" s="118">
        <v>6000</v>
      </c>
      <c r="E20" s="118">
        <v>15000</v>
      </c>
      <c r="F20" s="118">
        <f>SUM(E19:E20)</f>
        <v>25000</v>
      </c>
      <c r="G20" s="118">
        <f>E20/F20</f>
        <v>0.6</v>
      </c>
      <c r="H20" s="201"/>
      <c r="I20" s="201"/>
      <c r="J20" s="201"/>
      <c r="K20" s="201"/>
    </row>
    <row r="21" spans="1:11">
      <c r="C21" s="201"/>
      <c r="D21" s="201"/>
      <c r="E21" s="201"/>
      <c r="F21" s="201"/>
      <c r="G21" s="201"/>
      <c r="H21" s="201"/>
      <c r="I21" s="201"/>
      <c r="J21" s="201"/>
      <c r="K21" s="201"/>
    </row>
    <row r="22" spans="1:11">
      <c r="A22" s="562" t="s">
        <v>4991</v>
      </c>
      <c r="B22" s="563"/>
      <c r="C22" s="201"/>
      <c r="D22" s="201"/>
      <c r="E22" s="201"/>
      <c r="F22" s="201"/>
      <c r="G22" s="201"/>
      <c r="H22" s="201"/>
      <c r="I22" s="201"/>
      <c r="J22" s="201"/>
      <c r="K22" s="201"/>
    </row>
    <row r="23" spans="1:11" ht="42.65" customHeight="1">
      <c r="A23" s="546" t="s">
        <v>4992</v>
      </c>
      <c r="B23" s="546"/>
      <c r="C23" s="201"/>
      <c r="D23" s="201"/>
      <c r="E23" s="201"/>
      <c r="F23" s="201"/>
      <c r="G23" s="201"/>
      <c r="H23" s="201"/>
      <c r="I23" s="201"/>
      <c r="J23" s="201"/>
      <c r="K23" s="201"/>
    </row>
    <row r="24" spans="1:11" ht="51">
      <c r="A24" s="118" t="s">
        <v>4977</v>
      </c>
      <c r="B24" s="118" t="s">
        <v>2240</v>
      </c>
      <c r="C24" s="118" t="s">
        <v>101</v>
      </c>
      <c r="D24" s="118" t="s">
        <v>4982</v>
      </c>
      <c r="E24" s="118" t="s">
        <v>4988</v>
      </c>
      <c r="F24" s="118" t="s">
        <v>4989</v>
      </c>
      <c r="G24" s="118" t="s">
        <v>4990</v>
      </c>
      <c r="H24" s="118" t="s">
        <v>4980</v>
      </c>
      <c r="I24" s="201"/>
      <c r="J24" s="201"/>
      <c r="K24" s="201"/>
    </row>
    <row r="25" spans="1:11">
      <c r="A25" s="118">
        <v>202306</v>
      </c>
      <c r="B25" s="118" t="s">
        <v>4984</v>
      </c>
      <c r="C25" s="118" t="s">
        <v>4985</v>
      </c>
      <c r="D25" s="118">
        <v>4000</v>
      </c>
      <c r="E25" s="118">
        <v>10000</v>
      </c>
      <c r="F25" s="118">
        <f>SUM(E25:E26)</f>
        <v>25000</v>
      </c>
      <c r="G25" s="118">
        <f>E25/F25</f>
        <v>0.4</v>
      </c>
      <c r="H25" s="118">
        <f>B9</f>
        <v>18738</v>
      </c>
      <c r="I25" s="201"/>
      <c r="J25" s="201"/>
      <c r="K25" s="201"/>
    </row>
    <row r="26" spans="1:11">
      <c r="A26" s="118">
        <v>202306</v>
      </c>
      <c r="B26" s="118" t="s">
        <v>4986</v>
      </c>
      <c r="C26" s="118" t="s">
        <v>4985</v>
      </c>
      <c r="D26" s="118">
        <v>6000</v>
      </c>
      <c r="E26" s="118">
        <v>15000</v>
      </c>
      <c r="F26" s="118">
        <f>SUM(E25:E26)</f>
        <v>25000</v>
      </c>
      <c r="G26" s="118">
        <f>E26/F26</f>
        <v>0.6</v>
      </c>
      <c r="H26" s="118">
        <f>B9</f>
        <v>18738</v>
      </c>
      <c r="I26" s="201"/>
      <c r="J26" s="201"/>
      <c r="K26" s="201"/>
    </row>
    <row r="27" spans="1:11">
      <c r="A27" s="201"/>
      <c r="B27" s="201"/>
      <c r="C27" s="201"/>
      <c r="D27" s="201"/>
      <c r="E27" s="201"/>
      <c r="F27" s="201"/>
      <c r="G27" s="201"/>
      <c r="H27" s="201"/>
      <c r="I27" s="201"/>
      <c r="J27" s="201"/>
      <c r="K27" s="201"/>
    </row>
    <row r="28" spans="1:11">
      <c r="A28" s="561" t="s">
        <v>4993</v>
      </c>
      <c r="B28" s="561"/>
      <c r="C28" s="201"/>
      <c r="D28" s="201"/>
      <c r="E28" s="201"/>
      <c r="F28" s="201"/>
      <c r="G28" s="201"/>
      <c r="H28" s="201"/>
      <c r="I28" s="201"/>
      <c r="J28" s="201"/>
      <c r="K28" s="201"/>
    </row>
    <row r="29" spans="1:11" ht="63.5">
      <c r="A29" s="118" t="s">
        <v>4977</v>
      </c>
      <c r="B29" s="118" t="s">
        <v>2240</v>
      </c>
      <c r="C29" s="118" t="s">
        <v>101</v>
      </c>
      <c r="D29" s="118" t="s">
        <v>4982</v>
      </c>
      <c r="E29" s="118" t="s">
        <v>4988</v>
      </c>
      <c r="F29" s="118" t="s">
        <v>4994</v>
      </c>
      <c r="G29" s="118" t="s">
        <v>4995</v>
      </c>
      <c r="H29" s="118" t="s">
        <v>4980</v>
      </c>
      <c r="I29" s="118" t="s">
        <v>4996</v>
      </c>
      <c r="J29" s="201"/>
      <c r="K29" s="201"/>
    </row>
    <row r="30" spans="1:11">
      <c r="A30" s="118">
        <v>202306</v>
      </c>
      <c r="B30" s="118" t="s">
        <v>4984</v>
      </c>
      <c r="C30" s="118" t="s">
        <v>4985</v>
      </c>
      <c r="D30" s="118">
        <v>4000</v>
      </c>
      <c r="E30" s="118">
        <v>10000</v>
      </c>
      <c r="F30" s="118">
        <f>SUM(E30:E31)</f>
        <v>25000</v>
      </c>
      <c r="G30" s="118">
        <f>E30/F30</f>
        <v>0.4</v>
      </c>
      <c r="H30" s="118">
        <f>B9</f>
        <v>18738</v>
      </c>
      <c r="I30" s="118">
        <f>G30*H30</f>
        <v>7495.2000000000007</v>
      </c>
      <c r="J30" s="201"/>
      <c r="K30" s="201"/>
    </row>
    <row r="31" spans="1:11">
      <c r="A31" s="118">
        <v>202306</v>
      </c>
      <c r="B31" s="118" t="s">
        <v>4986</v>
      </c>
      <c r="C31" s="118" t="s">
        <v>4985</v>
      </c>
      <c r="D31" s="118">
        <v>6000</v>
      </c>
      <c r="E31" s="118">
        <v>15000</v>
      </c>
      <c r="F31" s="118">
        <f>SUM(E30:E31)</f>
        <v>25000</v>
      </c>
      <c r="G31" s="118">
        <f>E31/F31</f>
        <v>0.6</v>
      </c>
      <c r="H31" s="118">
        <f>B9</f>
        <v>18738</v>
      </c>
      <c r="I31" s="118">
        <f>G31*H31</f>
        <v>11242.8</v>
      </c>
      <c r="J31" s="201"/>
      <c r="K31" s="201"/>
    </row>
    <row r="32" spans="1:11">
      <c r="C32" s="201"/>
      <c r="D32" s="201"/>
      <c r="E32" s="201"/>
      <c r="F32" s="201"/>
      <c r="G32" s="201"/>
      <c r="H32" s="201"/>
      <c r="I32" s="201"/>
      <c r="J32" s="201"/>
      <c r="K32" s="201"/>
    </row>
    <row r="33" spans="1:11">
      <c r="A33" s="561" t="s">
        <v>4997</v>
      </c>
      <c r="B33" s="561"/>
      <c r="C33" s="201"/>
      <c r="D33" s="201"/>
      <c r="E33" s="201"/>
      <c r="F33" s="201"/>
      <c r="G33" s="201"/>
      <c r="H33" s="201"/>
      <c r="I33" s="201"/>
      <c r="J33" s="201"/>
      <c r="K33" s="201"/>
    </row>
    <row r="34" spans="1:11" ht="38.5">
      <c r="A34" s="118" t="s">
        <v>4977</v>
      </c>
      <c r="B34" s="118" t="s">
        <v>2240</v>
      </c>
      <c r="C34" s="118" t="s">
        <v>101</v>
      </c>
      <c r="D34" s="118" t="s">
        <v>4982</v>
      </c>
      <c r="E34" s="118" t="s">
        <v>4988</v>
      </c>
      <c r="F34" s="118" t="s">
        <v>4994</v>
      </c>
      <c r="G34" s="118" t="s">
        <v>4995</v>
      </c>
      <c r="H34" s="118" t="s">
        <v>4980</v>
      </c>
      <c r="I34" s="118" t="s">
        <v>4998</v>
      </c>
      <c r="J34" s="118" t="s">
        <v>4999</v>
      </c>
      <c r="K34" s="201"/>
    </row>
    <row r="35" spans="1:11">
      <c r="A35" s="118">
        <v>202306</v>
      </c>
      <c r="B35" s="118" t="s">
        <v>4984</v>
      </c>
      <c r="C35" s="118" t="s">
        <v>4985</v>
      </c>
      <c r="D35" s="118">
        <v>4000</v>
      </c>
      <c r="E35" s="118">
        <v>10000</v>
      </c>
      <c r="F35" s="118">
        <f>SUM(E35:E36)</f>
        <v>25000</v>
      </c>
      <c r="G35" s="118">
        <f>E35/F35</f>
        <v>0.4</v>
      </c>
      <c r="H35" s="118">
        <f>B9</f>
        <v>18738</v>
      </c>
      <c r="I35" s="118">
        <f>G35*H35</f>
        <v>7495.2000000000007</v>
      </c>
      <c r="J35" s="118">
        <f>I35/D35</f>
        <v>1.8738000000000001</v>
      </c>
      <c r="K35" s="201"/>
    </row>
    <row r="36" spans="1:11">
      <c r="A36" s="118">
        <v>202306</v>
      </c>
      <c r="B36" s="118" t="s">
        <v>4986</v>
      </c>
      <c r="C36" s="118" t="s">
        <v>4985</v>
      </c>
      <c r="D36" s="118">
        <v>6000</v>
      </c>
      <c r="E36" s="118">
        <v>15000</v>
      </c>
      <c r="F36" s="118">
        <f>SUM(E35:E36)</f>
        <v>25000</v>
      </c>
      <c r="G36" s="118">
        <f>E36/F36</f>
        <v>0.6</v>
      </c>
      <c r="H36" s="118">
        <f>B9</f>
        <v>18738</v>
      </c>
      <c r="I36" s="118">
        <f>G36*H36</f>
        <v>11242.8</v>
      </c>
      <c r="J36" s="118">
        <f>I36/D36</f>
        <v>1.8737999999999999</v>
      </c>
      <c r="K36" s="201"/>
    </row>
    <row r="37" spans="1:11">
      <c r="A37" s="201"/>
      <c r="B37" s="201"/>
      <c r="C37" s="201"/>
      <c r="D37" s="201"/>
      <c r="E37" s="201"/>
      <c r="F37" s="201"/>
      <c r="G37" s="201"/>
      <c r="H37" s="201"/>
      <c r="I37" s="201"/>
      <c r="J37" s="201"/>
      <c r="K37" s="201"/>
    </row>
    <row r="38" spans="1:11">
      <c r="A38" s="201"/>
      <c r="B38" s="201"/>
      <c r="C38" s="201"/>
      <c r="D38" s="201"/>
      <c r="E38" s="201"/>
      <c r="F38" s="201"/>
      <c r="G38" s="201"/>
      <c r="H38" s="201"/>
      <c r="I38" s="201"/>
      <c r="J38" s="201"/>
      <c r="K38" s="201"/>
    </row>
    <row r="39" spans="1:11">
      <c r="A39" s="201"/>
      <c r="B39" s="201"/>
      <c r="C39" s="201"/>
      <c r="D39" s="201"/>
      <c r="E39" s="201"/>
      <c r="F39" s="201"/>
      <c r="G39" s="201"/>
      <c r="H39" s="201"/>
      <c r="I39" s="201"/>
      <c r="J39" s="201"/>
      <c r="K39" s="201"/>
    </row>
    <row r="40" spans="1:11">
      <c r="A40" s="201"/>
      <c r="B40" s="201"/>
      <c r="C40" s="201"/>
      <c r="D40" s="201"/>
      <c r="E40" s="201"/>
      <c r="F40" s="201"/>
      <c r="G40" s="201"/>
      <c r="H40" s="201"/>
      <c r="I40" s="201"/>
      <c r="J40" s="201"/>
      <c r="K40" s="201"/>
    </row>
    <row r="41" spans="1:11">
      <c r="A41" s="201"/>
      <c r="B41" s="201"/>
      <c r="C41" s="201"/>
      <c r="D41" s="201"/>
      <c r="E41" s="201"/>
      <c r="F41" s="201"/>
      <c r="G41" s="201"/>
      <c r="H41" s="201"/>
      <c r="I41" s="201"/>
      <c r="J41" s="201"/>
      <c r="K41" s="201"/>
    </row>
    <row r="42" spans="1:11">
      <c r="A42" s="201"/>
      <c r="B42" s="201"/>
      <c r="C42" s="201"/>
      <c r="D42" s="201"/>
      <c r="E42" s="201"/>
      <c r="F42" s="201"/>
      <c r="G42" s="201"/>
      <c r="H42" s="201"/>
      <c r="I42" s="201"/>
      <c r="J42" s="201"/>
      <c r="K42" s="201"/>
    </row>
    <row r="43" spans="1:11">
      <c r="A43" s="201"/>
      <c r="B43" s="201"/>
      <c r="C43" s="201"/>
      <c r="D43" s="201"/>
      <c r="E43" s="201"/>
      <c r="F43" s="201"/>
      <c r="G43" s="201"/>
      <c r="H43" s="201"/>
      <c r="I43" s="201"/>
      <c r="J43" s="201"/>
      <c r="K43" s="201"/>
    </row>
    <row r="44" spans="1:11">
      <c r="K44" s="201"/>
    </row>
  </sheetData>
  <mergeCells count="7">
    <mergeCell ref="A33:B33"/>
    <mergeCell ref="A23:B23"/>
    <mergeCell ref="A1:B1"/>
    <mergeCell ref="A17:B17"/>
    <mergeCell ref="A11:B11"/>
    <mergeCell ref="A22:B22"/>
    <mergeCell ref="A28:B2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7D8FC-1AB8-40E9-9DFB-0553F4CACA55}">
  <dimension ref="A1:C19"/>
  <sheetViews>
    <sheetView workbookViewId="0">
      <selection activeCell="A4" sqref="A4:XFD4"/>
    </sheetView>
  </sheetViews>
  <sheetFormatPr defaultRowHeight="14.5"/>
  <cols>
    <col min="2" max="2" width="16.453125" bestFit="1" customWidth="1"/>
    <col min="3" max="3" width="15.54296875" bestFit="1" customWidth="1"/>
  </cols>
  <sheetData>
    <row r="1" spans="1:3">
      <c r="A1" s="337" t="s">
        <v>1887</v>
      </c>
      <c r="B1" s="337" t="s">
        <v>1890</v>
      </c>
      <c r="C1" s="337" t="s">
        <v>5000</v>
      </c>
    </row>
    <row r="2" spans="1:3">
      <c r="A2" s="308">
        <v>1</v>
      </c>
      <c r="B2" s="308" t="s">
        <v>880</v>
      </c>
      <c r="C2" s="308" t="s">
        <v>880</v>
      </c>
    </row>
    <row r="3" spans="1:3">
      <c r="A3" s="308">
        <v>2</v>
      </c>
      <c r="B3" s="308" t="s">
        <v>5001</v>
      </c>
      <c r="C3" s="308" t="s">
        <v>880</v>
      </c>
    </row>
    <row r="4" spans="1:3">
      <c r="A4" s="308">
        <v>3</v>
      </c>
      <c r="B4" s="308" t="s">
        <v>5002</v>
      </c>
      <c r="C4" s="308" t="s">
        <v>880</v>
      </c>
    </row>
    <row r="5" spans="1:3">
      <c r="A5" s="308">
        <v>4</v>
      </c>
      <c r="B5" s="308" t="s">
        <v>5003</v>
      </c>
      <c r="C5" s="308" t="s">
        <v>880</v>
      </c>
    </row>
    <row r="6" spans="1:3">
      <c r="A6" s="308">
        <v>5</v>
      </c>
      <c r="B6" s="308" t="s">
        <v>878</v>
      </c>
      <c r="C6" s="308" t="s">
        <v>880</v>
      </c>
    </row>
    <row r="7" spans="1:3">
      <c r="A7" s="308">
        <v>6</v>
      </c>
      <c r="B7" s="308" t="s">
        <v>884</v>
      </c>
      <c r="C7" s="308" t="s">
        <v>880</v>
      </c>
    </row>
    <row r="8" spans="1:3">
      <c r="A8" s="308">
        <v>7</v>
      </c>
      <c r="B8" s="308" t="s">
        <v>882</v>
      </c>
      <c r="C8" s="308" t="s">
        <v>880</v>
      </c>
    </row>
    <row r="9" spans="1:3">
      <c r="A9" s="308">
        <v>8</v>
      </c>
      <c r="B9" s="308" t="s">
        <v>5004</v>
      </c>
      <c r="C9" s="308" t="s">
        <v>880</v>
      </c>
    </row>
    <row r="10" spans="1:3">
      <c r="A10" s="308">
        <v>9</v>
      </c>
      <c r="B10" s="308" t="s">
        <v>5002</v>
      </c>
      <c r="C10" s="308" t="s">
        <v>5005</v>
      </c>
    </row>
    <row r="11" spans="1:3">
      <c r="A11" s="308">
        <v>10</v>
      </c>
      <c r="B11" s="308" t="s">
        <v>5003</v>
      </c>
      <c r="C11" s="308" t="s">
        <v>5005</v>
      </c>
    </row>
    <row r="12" spans="1:3">
      <c r="A12" s="308">
        <v>11</v>
      </c>
      <c r="B12" s="308" t="s">
        <v>878</v>
      </c>
      <c r="C12" s="308" t="s">
        <v>5005</v>
      </c>
    </row>
    <row r="13" spans="1:3">
      <c r="A13" s="308">
        <v>12</v>
      </c>
      <c r="B13" s="308" t="s">
        <v>884</v>
      </c>
      <c r="C13" s="308" t="s">
        <v>5005</v>
      </c>
    </row>
    <row r="14" spans="1:3">
      <c r="A14" s="308">
        <v>13</v>
      </c>
      <c r="B14" s="308" t="s">
        <v>882</v>
      </c>
      <c r="C14" s="308" t="s">
        <v>5005</v>
      </c>
    </row>
    <row r="15" spans="1:3">
      <c r="A15" s="308">
        <v>14</v>
      </c>
      <c r="B15" s="308" t="s">
        <v>5004</v>
      </c>
      <c r="C15" s="308" t="s">
        <v>5005</v>
      </c>
    </row>
    <row r="16" spans="1:3">
      <c r="A16" s="308">
        <v>15</v>
      </c>
      <c r="B16" s="308" t="s">
        <v>878</v>
      </c>
      <c r="C16" s="308" t="s">
        <v>5006</v>
      </c>
    </row>
    <row r="17" spans="1:3">
      <c r="A17" s="308">
        <v>16</v>
      </c>
      <c r="B17" s="308" t="s">
        <v>884</v>
      </c>
      <c r="C17" s="308" t="s">
        <v>5006</v>
      </c>
    </row>
    <row r="18" spans="1:3">
      <c r="A18" s="308">
        <v>17</v>
      </c>
      <c r="B18" s="308" t="s">
        <v>882</v>
      </c>
      <c r="C18" s="308" t="s">
        <v>5006</v>
      </c>
    </row>
    <row r="19" spans="1:3">
      <c r="A19" s="308">
        <v>18</v>
      </c>
      <c r="B19" s="308" t="s">
        <v>5004</v>
      </c>
      <c r="C19" s="308" t="s">
        <v>5006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F0BF3-65BA-4B40-B7A9-E12B2E4BC248}">
  <dimension ref="A3:I17"/>
  <sheetViews>
    <sheetView topLeftCell="D1" zoomScale="70" zoomScaleNormal="70" workbookViewId="0">
      <selection activeCell="B9" sqref="B9"/>
    </sheetView>
  </sheetViews>
  <sheetFormatPr defaultRowHeight="14.5"/>
  <cols>
    <col min="1" max="1" width="18.54296875" bestFit="1" customWidth="1"/>
    <col min="2" max="2" width="26.81640625" bestFit="1" customWidth="1"/>
    <col min="3" max="3" width="50.453125" bestFit="1" customWidth="1"/>
    <col min="4" max="4" width="108.81640625" bestFit="1" customWidth="1"/>
    <col min="5" max="5" width="52.453125" bestFit="1" customWidth="1"/>
    <col min="6" max="6" width="27.81640625" bestFit="1" customWidth="1"/>
    <col min="7" max="7" width="29.1796875" customWidth="1"/>
    <col min="8" max="8" width="8.81640625" bestFit="1" customWidth="1"/>
    <col min="9" max="9" width="20.81640625" bestFit="1" customWidth="1"/>
  </cols>
  <sheetData>
    <row r="3" spans="1:9">
      <c r="A3" s="73" t="s">
        <v>5007</v>
      </c>
      <c r="B3" s="447" t="s">
        <v>362</v>
      </c>
      <c r="C3" s="447" t="s">
        <v>363</v>
      </c>
      <c r="D3" s="448" t="s">
        <v>364</v>
      </c>
      <c r="E3" s="74" t="s">
        <v>369</v>
      </c>
      <c r="F3" s="74" t="s">
        <v>5008</v>
      </c>
      <c r="G3" s="447" t="s">
        <v>366</v>
      </c>
      <c r="H3" s="447" t="s">
        <v>367</v>
      </c>
      <c r="I3" s="447" t="s">
        <v>368</v>
      </c>
    </row>
    <row r="5" spans="1:9" ht="72.5">
      <c r="A5" t="s">
        <v>5009</v>
      </c>
      <c r="B5" t="s">
        <v>371</v>
      </c>
      <c r="C5" s="45" t="s">
        <v>5010</v>
      </c>
      <c r="D5" s="45" t="s">
        <v>5011</v>
      </c>
      <c r="E5" s="45" t="s">
        <v>5012</v>
      </c>
      <c r="F5" s="45" t="s">
        <v>5013</v>
      </c>
      <c r="G5" s="45" t="s">
        <v>5014</v>
      </c>
    </row>
    <row r="7" spans="1:9">
      <c r="A7" s="75"/>
      <c r="B7" s="75"/>
      <c r="C7" s="75"/>
      <c r="D7" s="75"/>
      <c r="E7" s="75"/>
      <c r="F7" s="75"/>
      <c r="G7" s="75"/>
      <c r="H7" s="75"/>
      <c r="I7" s="75"/>
    </row>
    <row r="8" spans="1:9" ht="72.5">
      <c r="A8" t="s">
        <v>5015</v>
      </c>
      <c r="B8" t="s">
        <v>371</v>
      </c>
      <c r="C8" t="s">
        <v>3813</v>
      </c>
      <c r="D8" s="76" t="s">
        <v>5016</v>
      </c>
      <c r="E8" s="45" t="s">
        <v>5017</v>
      </c>
      <c r="F8" t="s">
        <v>5018</v>
      </c>
      <c r="G8" t="s">
        <v>5019</v>
      </c>
    </row>
    <row r="10" spans="1:9" ht="72.5">
      <c r="B10" t="s">
        <v>371</v>
      </c>
      <c r="C10" t="s">
        <v>3811</v>
      </c>
      <c r="D10" s="76" t="s">
        <v>5020</v>
      </c>
      <c r="E10" s="45" t="s">
        <v>5021</v>
      </c>
      <c r="F10" t="s">
        <v>5022</v>
      </c>
      <c r="G10" t="s">
        <v>5023</v>
      </c>
    </row>
    <row r="12" spans="1:9">
      <c r="A12" s="75"/>
      <c r="B12" s="75"/>
      <c r="C12" s="75"/>
      <c r="D12" s="75"/>
      <c r="E12" s="75"/>
      <c r="F12" s="75"/>
      <c r="G12" s="75"/>
      <c r="H12" s="75"/>
      <c r="I12" s="75"/>
    </row>
    <row r="13" spans="1:9" ht="217.5">
      <c r="A13" t="s">
        <v>5024</v>
      </c>
      <c r="B13" s="45" t="s">
        <v>5025</v>
      </c>
      <c r="C13" s="45" t="s">
        <v>5026</v>
      </c>
      <c r="D13" s="45" t="s">
        <v>5027</v>
      </c>
      <c r="E13" s="45" t="s">
        <v>5028</v>
      </c>
      <c r="F13" s="45" t="s">
        <v>5029</v>
      </c>
      <c r="G13" s="45" t="s">
        <v>5030</v>
      </c>
    </row>
    <row r="14" spans="1:9">
      <c r="B14" s="45"/>
      <c r="C14" s="45"/>
      <c r="D14" s="45"/>
      <c r="E14" s="45"/>
      <c r="F14" s="45"/>
      <c r="G14" s="45"/>
    </row>
    <row r="15" spans="1:9">
      <c r="A15" s="75"/>
      <c r="B15" s="75"/>
      <c r="C15" s="75"/>
      <c r="D15" s="75"/>
      <c r="E15" s="75"/>
      <c r="F15" s="75"/>
      <c r="G15" s="75"/>
      <c r="H15" s="75"/>
      <c r="I15" s="75"/>
    </row>
    <row r="16" spans="1:9" ht="217.5">
      <c r="A16" t="s">
        <v>5031</v>
      </c>
      <c r="B16" s="45" t="s">
        <v>5032</v>
      </c>
      <c r="C16" s="45" t="s">
        <v>5026</v>
      </c>
      <c r="D16" s="45" t="s">
        <v>5033</v>
      </c>
      <c r="E16" s="45" t="s">
        <v>5034</v>
      </c>
      <c r="F16" s="45" t="s">
        <v>5035</v>
      </c>
      <c r="G16" s="45" t="s">
        <v>5036</v>
      </c>
    </row>
    <row r="17" spans="1:9">
      <c r="A17" s="75"/>
      <c r="B17" s="75"/>
      <c r="C17" s="75"/>
      <c r="D17" s="75"/>
      <c r="E17" s="75"/>
      <c r="F17" s="75"/>
      <c r="G17" s="75"/>
      <c r="H17" s="75"/>
      <c r="I17" s="7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18EC2-5C82-401D-B5F4-1EBE209C8715}">
  <dimension ref="A1:I79"/>
  <sheetViews>
    <sheetView zoomScale="70" zoomScaleNormal="70" workbookViewId="0">
      <selection activeCell="B13" sqref="B13:E13"/>
    </sheetView>
  </sheetViews>
  <sheetFormatPr defaultRowHeight="14.5"/>
  <cols>
    <col min="1" max="1" width="22.453125" customWidth="1"/>
    <col min="2" max="2" width="28" customWidth="1"/>
    <col min="3" max="3" width="22.81640625" customWidth="1"/>
    <col min="4" max="4" width="44.54296875" customWidth="1"/>
    <col min="5" max="5" width="25.453125" customWidth="1"/>
    <col min="6" max="6" width="26.453125" bestFit="1" customWidth="1"/>
    <col min="7" max="7" width="27.453125" bestFit="1" customWidth="1"/>
    <col min="8" max="8" width="18.81640625" bestFit="1" customWidth="1"/>
    <col min="9" max="9" width="27.453125" bestFit="1" customWidth="1"/>
  </cols>
  <sheetData>
    <row r="1" spans="1:9">
      <c r="A1" s="24" t="s">
        <v>198</v>
      </c>
    </row>
    <row r="2" spans="1:9" ht="14.5" customHeight="1">
      <c r="A2" s="69" t="s">
        <v>4975</v>
      </c>
      <c r="B2" s="564" t="s">
        <v>5037</v>
      </c>
      <c r="C2" s="564"/>
      <c r="D2" s="564"/>
      <c r="E2" s="564"/>
      <c r="F2" s="564"/>
      <c r="G2" s="564"/>
      <c r="H2" s="564"/>
      <c r="I2" s="564"/>
    </row>
    <row r="3" spans="1:9">
      <c r="A3" s="70" t="s">
        <v>4977</v>
      </c>
      <c r="B3" s="70" t="s">
        <v>4488</v>
      </c>
    </row>
    <row r="4" spans="1:9">
      <c r="A4" s="71">
        <v>202305</v>
      </c>
      <c r="B4" s="71">
        <v>950113.43</v>
      </c>
    </row>
    <row r="5" spans="1:9">
      <c r="A5" s="71">
        <v>202306</v>
      </c>
      <c r="B5" s="71">
        <v>966115.01</v>
      </c>
    </row>
    <row r="7" spans="1:9">
      <c r="A7" s="24" t="s">
        <v>200</v>
      </c>
      <c r="B7" t="s">
        <v>5038</v>
      </c>
    </row>
    <row r="8" spans="1:9">
      <c r="A8" s="70" t="s">
        <v>4977</v>
      </c>
      <c r="B8" s="70" t="s">
        <v>5039</v>
      </c>
    </row>
    <row r="9" spans="1:9">
      <c r="A9" s="71">
        <v>202306</v>
      </c>
      <c r="B9" s="71">
        <f>B5-B4</f>
        <v>16001.579999999958</v>
      </c>
    </row>
    <row r="11" spans="1:9" ht="77.5" customHeight="1">
      <c r="A11" s="24" t="s">
        <v>206</v>
      </c>
      <c r="B11" s="69"/>
      <c r="C11" s="567" t="s">
        <v>5040</v>
      </c>
      <c r="D11" s="567"/>
      <c r="E11" s="567"/>
    </row>
    <row r="12" spans="1:9">
      <c r="A12" s="72"/>
      <c r="B12" s="69"/>
      <c r="C12" s="568"/>
      <c r="D12" s="568"/>
      <c r="E12" s="568"/>
    </row>
    <row r="13" spans="1:9">
      <c r="A13" t="s">
        <v>4975</v>
      </c>
      <c r="B13" s="565" t="s">
        <v>5041</v>
      </c>
      <c r="C13" s="565"/>
      <c r="D13" s="565"/>
      <c r="E13" s="565"/>
    </row>
    <row r="14" spans="1:9" ht="30.65" customHeight="1">
      <c r="A14" s="69" t="s">
        <v>5042</v>
      </c>
      <c r="B14" s="568" t="s">
        <v>5043</v>
      </c>
      <c r="C14" s="568"/>
      <c r="D14" s="568"/>
      <c r="E14" s="108"/>
    </row>
    <row r="15" spans="1:9">
      <c r="A15" s="69"/>
      <c r="B15" s="109"/>
      <c r="C15" s="109"/>
      <c r="D15" s="109"/>
      <c r="E15" s="108"/>
    </row>
    <row r="16" spans="1:9">
      <c r="A16" s="70" t="s">
        <v>4977</v>
      </c>
      <c r="B16" s="70" t="s">
        <v>2240</v>
      </c>
      <c r="C16" s="70" t="s">
        <v>5044</v>
      </c>
      <c r="D16" s="70" t="s">
        <v>101</v>
      </c>
      <c r="E16" s="70" t="s">
        <v>4982</v>
      </c>
    </row>
    <row r="17" spans="1:6">
      <c r="A17" s="71">
        <v>202306</v>
      </c>
      <c r="B17" s="71" t="s">
        <v>4984</v>
      </c>
      <c r="C17" s="71" t="s">
        <v>5045</v>
      </c>
      <c r="D17" s="71" t="s">
        <v>5046</v>
      </c>
      <c r="E17" s="71">
        <v>4000</v>
      </c>
    </row>
    <row r="18" spans="1:6">
      <c r="A18" s="71">
        <v>202306</v>
      </c>
      <c r="B18" s="71" t="s">
        <v>4984</v>
      </c>
      <c r="C18" s="71" t="s">
        <v>5047</v>
      </c>
      <c r="D18" s="71" t="s">
        <v>5046</v>
      </c>
      <c r="E18" s="71">
        <v>2000</v>
      </c>
    </row>
    <row r="19" spans="1:6">
      <c r="A19" s="71">
        <v>202306</v>
      </c>
      <c r="B19" s="71" t="s">
        <v>4986</v>
      </c>
      <c r="C19" s="71" t="s">
        <v>4986</v>
      </c>
      <c r="D19" s="71" t="s">
        <v>5046</v>
      </c>
      <c r="E19" s="71">
        <v>6000</v>
      </c>
    </row>
    <row r="20" spans="1:6">
      <c r="A20" s="71">
        <v>202306</v>
      </c>
      <c r="B20" s="71" t="s">
        <v>5048</v>
      </c>
      <c r="C20" s="71" t="s">
        <v>5049</v>
      </c>
      <c r="D20" s="71" t="s">
        <v>5046</v>
      </c>
      <c r="E20" s="71">
        <v>6000</v>
      </c>
    </row>
    <row r="21" spans="1:6">
      <c r="A21" s="71">
        <v>202306</v>
      </c>
      <c r="B21" s="71" t="s">
        <v>5048</v>
      </c>
      <c r="C21" s="71" t="s">
        <v>5050</v>
      </c>
      <c r="D21" s="71" t="s">
        <v>5046</v>
      </c>
      <c r="E21" s="71">
        <v>2000</v>
      </c>
    </row>
    <row r="22" spans="1:6">
      <c r="A22" s="71">
        <v>202306</v>
      </c>
      <c r="B22" s="71" t="s">
        <v>5051</v>
      </c>
      <c r="C22" s="71" t="s">
        <v>5051</v>
      </c>
      <c r="D22" s="71" t="s">
        <v>5046</v>
      </c>
      <c r="E22" s="71">
        <v>500000</v>
      </c>
    </row>
    <row r="25" spans="1:6">
      <c r="A25" s="24" t="s">
        <v>5052</v>
      </c>
    </row>
    <row r="26" spans="1:6">
      <c r="B26" s="566" t="s">
        <v>5053</v>
      </c>
      <c r="C26" s="566"/>
      <c r="D26" s="566"/>
      <c r="E26" s="566"/>
    </row>
    <row r="27" spans="1:6">
      <c r="A27" s="70" t="s">
        <v>4977</v>
      </c>
      <c r="B27" s="70" t="s">
        <v>2240</v>
      </c>
      <c r="C27" s="70" t="s">
        <v>5044</v>
      </c>
      <c r="D27" s="70" t="s">
        <v>101</v>
      </c>
      <c r="E27" s="70" t="s">
        <v>4982</v>
      </c>
      <c r="F27" s="70" t="s">
        <v>5039</v>
      </c>
    </row>
    <row r="28" spans="1:6">
      <c r="A28" s="71">
        <v>202306</v>
      </c>
      <c r="B28" s="71" t="s">
        <v>4984</v>
      </c>
      <c r="C28" s="71" t="s">
        <v>5045</v>
      </c>
      <c r="D28" s="71" t="s">
        <v>5046</v>
      </c>
      <c r="E28" s="71">
        <v>4000</v>
      </c>
      <c r="F28" s="71">
        <v>16001.579999999958</v>
      </c>
    </row>
    <row r="29" spans="1:6">
      <c r="A29" s="71">
        <v>202306</v>
      </c>
      <c r="B29" s="71" t="s">
        <v>4984</v>
      </c>
      <c r="C29" s="71" t="s">
        <v>5047</v>
      </c>
      <c r="D29" s="71" t="s">
        <v>5046</v>
      </c>
      <c r="E29" s="71">
        <v>2000</v>
      </c>
      <c r="F29" s="71">
        <v>16001.579999999958</v>
      </c>
    </row>
    <row r="30" spans="1:6">
      <c r="A30" s="71">
        <v>202306</v>
      </c>
      <c r="B30" s="71" t="s">
        <v>4986</v>
      </c>
      <c r="C30" s="71" t="s">
        <v>4986</v>
      </c>
      <c r="D30" s="71" t="s">
        <v>5046</v>
      </c>
      <c r="E30" s="71">
        <v>6000</v>
      </c>
      <c r="F30" s="71">
        <v>16001.579999999958</v>
      </c>
    </row>
    <row r="31" spans="1:6">
      <c r="A31" s="71">
        <v>202306</v>
      </c>
      <c r="B31" s="71" t="s">
        <v>5048</v>
      </c>
      <c r="C31" s="71" t="s">
        <v>5049</v>
      </c>
      <c r="D31" s="71" t="s">
        <v>5046</v>
      </c>
      <c r="E31" s="71">
        <v>6000</v>
      </c>
      <c r="F31" s="71">
        <v>16001.579999999958</v>
      </c>
    </row>
    <row r="32" spans="1:6">
      <c r="A32" s="71">
        <v>202306</v>
      </c>
      <c r="B32" s="71" t="s">
        <v>5048</v>
      </c>
      <c r="C32" s="71" t="s">
        <v>5050</v>
      </c>
      <c r="D32" s="71" t="s">
        <v>5046</v>
      </c>
      <c r="E32" s="71">
        <v>2000</v>
      </c>
      <c r="F32" s="71">
        <v>16001.579999999958</v>
      </c>
    </row>
    <row r="33" spans="1:8">
      <c r="A33" s="71">
        <v>202306</v>
      </c>
      <c r="B33" s="71" t="s">
        <v>5051</v>
      </c>
      <c r="C33" s="71" t="s">
        <v>5051</v>
      </c>
      <c r="D33" s="71" t="s">
        <v>5046</v>
      </c>
      <c r="E33" s="71">
        <v>500000</v>
      </c>
      <c r="F33" s="71">
        <v>16001.579999999958</v>
      </c>
    </row>
    <row r="36" spans="1:8">
      <c r="A36" s="24" t="s">
        <v>5054</v>
      </c>
    </row>
    <row r="37" spans="1:8">
      <c r="A37" t="s">
        <v>5055</v>
      </c>
    </row>
    <row r="38" spans="1:8">
      <c r="A38" s="70" t="s">
        <v>4977</v>
      </c>
      <c r="B38" s="70" t="s">
        <v>2240</v>
      </c>
      <c r="C38" s="70" t="s">
        <v>5044</v>
      </c>
      <c r="D38" s="70" t="s">
        <v>4982</v>
      </c>
      <c r="E38" s="70" t="s">
        <v>5039</v>
      </c>
      <c r="F38" s="70" t="s">
        <v>5056</v>
      </c>
      <c r="G38" s="110" t="s">
        <v>5057</v>
      </c>
    </row>
    <row r="39" spans="1:8">
      <c r="A39" s="71">
        <v>202306</v>
      </c>
      <c r="B39" s="71" t="s">
        <v>4984</v>
      </c>
      <c r="C39" s="107" t="s">
        <v>5045</v>
      </c>
      <c r="D39" s="71">
        <v>4000</v>
      </c>
      <c r="E39" s="71">
        <v>16001.579999999958</v>
      </c>
      <c r="F39" s="71">
        <f>E39*(G39/100)</f>
        <v>4800.4739999999874</v>
      </c>
      <c r="G39" s="110">
        <v>30</v>
      </c>
      <c r="H39">
        <f>F39/D39</f>
        <v>1.2001184999999968</v>
      </c>
    </row>
    <row r="40" spans="1:8">
      <c r="A40" s="71">
        <v>202306</v>
      </c>
      <c r="B40" s="71" t="s">
        <v>4984</v>
      </c>
      <c r="C40" s="107" t="s">
        <v>5047</v>
      </c>
      <c r="D40" s="71">
        <v>2000</v>
      </c>
      <c r="E40" s="71">
        <v>16001.579999999958</v>
      </c>
      <c r="F40" s="71">
        <f t="shared" ref="F40:F44" si="0">E40*(G40/100)</f>
        <v>4800.4739999999874</v>
      </c>
      <c r="G40" s="110">
        <v>30</v>
      </c>
    </row>
    <row r="41" spans="1:8">
      <c r="A41" s="71">
        <v>202306</v>
      </c>
      <c r="B41" s="71" t="s">
        <v>4986</v>
      </c>
      <c r="C41" s="71" t="s">
        <v>4986</v>
      </c>
      <c r="D41" s="71">
        <v>6000</v>
      </c>
      <c r="E41" s="71">
        <v>16001.579999999958</v>
      </c>
      <c r="F41" s="71">
        <f t="shared" si="0"/>
        <v>0</v>
      </c>
      <c r="G41" s="110">
        <v>0</v>
      </c>
    </row>
    <row r="42" spans="1:8">
      <c r="A42" s="71">
        <v>202306</v>
      </c>
      <c r="B42" s="71" t="s">
        <v>5048</v>
      </c>
      <c r="C42" s="71" t="s">
        <v>5049</v>
      </c>
      <c r="D42" s="71">
        <v>6000</v>
      </c>
      <c r="E42" s="71">
        <v>16001.579999999958</v>
      </c>
      <c r="F42" s="71">
        <f t="shared" si="0"/>
        <v>0</v>
      </c>
      <c r="G42" s="107">
        <v>0</v>
      </c>
    </row>
    <row r="43" spans="1:8">
      <c r="A43" s="71">
        <v>202306</v>
      </c>
      <c r="B43" s="71" t="s">
        <v>5048</v>
      </c>
      <c r="C43" s="71" t="s">
        <v>5050</v>
      </c>
      <c r="D43" s="71">
        <v>2000</v>
      </c>
      <c r="E43" s="71">
        <v>16001.579999999958</v>
      </c>
      <c r="F43" s="71">
        <f t="shared" si="0"/>
        <v>0</v>
      </c>
      <c r="G43" s="107">
        <v>0</v>
      </c>
    </row>
    <row r="44" spans="1:8">
      <c r="A44" s="71">
        <v>202306</v>
      </c>
      <c r="B44" s="71" t="s">
        <v>5051</v>
      </c>
      <c r="C44" s="107" t="s">
        <v>5051</v>
      </c>
      <c r="D44" s="71">
        <v>500000</v>
      </c>
      <c r="E44" s="71">
        <v>16001.579999999958</v>
      </c>
      <c r="F44" s="71">
        <f t="shared" si="0"/>
        <v>6400.6319999999832</v>
      </c>
      <c r="G44" s="107">
        <v>40</v>
      </c>
    </row>
    <row r="47" spans="1:8">
      <c r="A47" s="24" t="s">
        <v>5058</v>
      </c>
    </row>
    <row r="48" spans="1:8">
      <c r="A48" t="s">
        <v>5059</v>
      </c>
    </row>
    <row r="49" spans="1:9">
      <c r="A49" s="70" t="s">
        <v>4977</v>
      </c>
      <c r="B49" s="70" t="s">
        <v>2240</v>
      </c>
      <c r="C49" s="70" t="s">
        <v>5044</v>
      </c>
      <c r="D49" s="70" t="s">
        <v>101</v>
      </c>
      <c r="E49" s="70" t="s">
        <v>4982</v>
      </c>
      <c r="F49" s="70" t="s">
        <v>5039</v>
      </c>
      <c r="G49" s="70" t="s">
        <v>5056</v>
      </c>
      <c r="H49" s="70" t="s">
        <v>5060</v>
      </c>
      <c r="I49" s="70" t="s">
        <v>5057</v>
      </c>
    </row>
    <row r="50" spans="1:9">
      <c r="A50" s="71">
        <v>202306</v>
      </c>
      <c r="B50" s="71" t="s">
        <v>4984</v>
      </c>
      <c r="C50" s="71" t="s">
        <v>5045</v>
      </c>
      <c r="D50" s="71" t="s">
        <v>5046</v>
      </c>
      <c r="E50" s="107">
        <v>4000</v>
      </c>
      <c r="F50" s="71">
        <v>16001.579999999958</v>
      </c>
      <c r="G50" s="107">
        <f t="shared" ref="G50:G55" si="1">F50*(I50/100)</f>
        <v>4800.4739999999874</v>
      </c>
      <c r="H50" s="71">
        <f>G50/E50</f>
        <v>1.2001184999999968</v>
      </c>
      <c r="I50" s="70">
        <v>30</v>
      </c>
    </row>
    <row r="51" spans="1:9">
      <c r="A51" s="71">
        <v>202306</v>
      </c>
      <c r="B51" s="71" t="s">
        <v>4984</v>
      </c>
      <c r="C51" s="71" t="s">
        <v>5047</v>
      </c>
      <c r="D51" s="71" t="s">
        <v>5046</v>
      </c>
      <c r="E51" s="71">
        <v>2000</v>
      </c>
      <c r="F51" s="71">
        <v>16001.579999999958</v>
      </c>
      <c r="G51" s="71">
        <f t="shared" si="1"/>
        <v>4800.4739999999874</v>
      </c>
      <c r="H51" s="71">
        <f t="shared" ref="H51:H55" si="2">G51/E51</f>
        <v>2.4002369999999935</v>
      </c>
      <c r="I51" s="70">
        <v>30</v>
      </c>
    </row>
    <row r="52" spans="1:9">
      <c r="A52" s="71">
        <v>202306</v>
      </c>
      <c r="B52" s="71" t="s">
        <v>4986</v>
      </c>
      <c r="C52" s="71" t="s">
        <v>4986</v>
      </c>
      <c r="D52" s="71" t="s">
        <v>5046</v>
      </c>
      <c r="E52" s="71">
        <v>6000</v>
      </c>
      <c r="F52" s="71">
        <v>16001.579999999958</v>
      </c>
      <c r="G52" s="71">
        <f t="shared" si="1"/>
        <v>0</v>
      </c>
      <c r="H52" s="71">
        <f t="shared" si="2"/>
        <v>0</v>
      </c>
      <c r="I52" s="70">
        <v>0</v>
      </c>
    </row>
    <row r="53" spans="1:9">
      <c r="A53" s="71">
        <v>202306</v>
      </c>
      <c r="B53" s="71" t="s">
        <v>5048</v>
      </c>
      <c r="C53" s="71" t="s">
        <v>5049</v>
      </c>
      <c r="D53" s="71" t="s">
        <v>5046</v>
      </c>
      <c r="E53" s="71">
        <v>6000</v>
      </c>
      <c r="F53" s="71">
        <v>16001.579999999958</v>
      </c>
      <c r="G53" s="71">
        <f t="shared" si="1"/>
        <v>0</v>
      </c>
      <c r="H53" s="71">
        <f t="shared" si="2"/>
        <v>0</v>
      </c>
      <c r="I53" s="71">
        <v>0</v>
      </c>
    </row>
    <row r="54" spans="1:9">
      <c r="A54" s="71">
        <v>202306</v>
      </c>
      <c r="B54" s="71" t="s">
        <v>5048</v>
      </c>
      <c r="C54" s="71" t="s">
        <v>5050</v>
      </c>
      <c r="D54" s="71" t="s">
        <v>5046</v>
      </c>
      <c r="E54" s="71">
        <v>2000</v>
      </c>
      <c r="F54" s="71">
        <v>16001.579999999958</v>
      </c>
      <c r="G54" s="71">
        <f t="shared" si="1"/>
        <v>0</v>
      </c>
      <c r="H54" s="71">
        <f t="shared" si="2"/>
        <v>0</v>
      </c>
      <c r="I54" s="71">
        <v>0</v>
      </c>
    </row>
    <row r="55" spans="1:9">
      <c r="A55" s="71">
        <v>202306</v>
      </c>
      <c r="B55" s="71" t="s">
        <v>5051</v>
      </c>
      <c r="C55" s="71" t="s">
        <v>5051</v>
      </c>
      <c r="D55" s="71" t="s">
        <v>5046</v>
      </c>
      <c r="E55" s="71">
        <v>500000</v>
      </c>
      <c r="F55" s="71">
        <v>16001.579999999958</v>
      </c>
      <c r="G55" s="71">
        <f t="shared" si="1"/>
        <v>6400.6319999999832</v>
      </c>
      <c r="H55" s="71">
        <f t="shared" si="2"/>
        <v>1.2801263999999967E-2</v>
      </c>
      <c r="I55" s="71">
        <v>40</v>
      </c>
    </row>
    <row r="59" spans="1:9">
      <c r="A59" s="24" t="s">
        <v>5061</v>
      </c>
    </row>
    <row r="60" spans="1:9">
      <c r="A60" t="s">
        <v>5062</v>
      </c>
    </row>
    <row r="61" spans="1:9">
      <c r="A61" t="s">
        <v>5063</v>
      </c>
    </row>
    <row r="62" spans="1:9">
      <c r="A62" s="70" t="s">
        <v>4977</v>
      </c>
      <c r="B62" s="70" t="s">
        <v>1415</v>
      </c>
      <c r="C62" s="70" t="s">
        <v>5064</v>
      </c>
      <c r="D62" s="70" t="s">
        <v>101</v>
      </c>
      <c r="E62" s="70" t="s">
        <v>5065</v>
      </c>
      <c r="F62" s="70" t="s">
        <v>4010</v>
      </c>
    </row>
    <row r="63" spans="1:9">
      <c r="A63" s="71">
        <v>202306</v>
      </c>
      <c r="B63" s="71">
        <v>1</v>
      </c>
      <c r="C63" s="71" t="s">
        <v>4984</v>
      </c>
      <c r="D63" s="71" t="s">
        <v>5046</v>
      </c>
      <c r="E63" s="71" t="s">
        <v>5045</v>
      </c>
      <c r="F63" s="71">
        <f>H50</f>
        <v>1.2001184999999968</v>
      </c>
    </row>
    <row r="64" spans="1:9">
      <c r="A64" s="71">
        <v>202306</v>
      </c>
      <c r="B64" s="71">
        <v>2</v>
      </c>
      <c r="C64" s="71" t="s">
        <v>4984</v>
      </c>
      <c r="D64" s="71" t="s">
        <v>5046</v>
      </c>
      <c r="E64" s="71" t="s">
        <v>5045</v>
      </c>
      <c r="F64" s="71">
        <f>H50</f>
        <v>1.2001184999999968</v>
      </c>
    </row>
    <row r="65" spans="1:6">
      <c r="A65" s="71">
        <v>202306</v>
      </c>
      <c r="B65" s="71">
        <v>3</v>
      </c>
      <c r="C65" s="71" t="s">
        <v>4984</v>
      </c>
      <c r="D65" s="71" t="s">
        <v>5046</v>
      </c>
      <c r="E65" s="71" t="s">
        <v>5045</v>
      </c>
      <c r="F65" s="71">
        <f>H50</f>
        <v>1.2001184999999968</v>
      </c>
    </row>
    <row r="66" spans="1:6">
      <c r="A66" s="71">
        <v>202306</v>
      </c>
      <c r="B66" s="71">
        <v>4</v>
      </c>
      <c r="C66" s="71" t="s">
        <v>4984</v>
      </c>
      <c r="D66" s="71" t="s">
        <v>5066</v>
      </c>
      <c r="E66" s="71" t="s">
        <v>5045</v>
      </c>
      <c r="F66" s="71">
        <v>0</v>
      </c>
    </row>
    <row r="70" spans="1:6">
      <c r="A70" s="24" t="s">
        <v>5067</v>
      </c>
    </row>
    <row r="71" spans="1:6">
      <c r="A71" t="s">
        <v>5068</v>
      </c>
    </row>
    <row r="73" spans="1:6">
      <c r="A73" s="70" t="s">
        <v>4977</v>
      </c>
      <c r="B73" s="70" t="s">
        <v>2240</v>
      </c>
      <c r="C73" s="70" t="s">
        <v>5044</v>
      </c>
      <c r="D73" s="70" t="s">
        <v>5056</v>
      </c>
    </row>
    <row r="74" spans="1:6">
      <c r="A74" s="71">
        <v>202306</v>
      </c>
      <c r="B74" s="71" t="s">
        <v>4984</v>
      </c>
      <c r="C74" s="71" t="s">
        <v>5045</v>
      </c>
      <c r="D74" s="71">
        <f>G50</f>
        <v>4800.4739999999874</v>
      </c>
    </row>
    <row r="75" spans="1:6">
      <c r="A75" s="71">
        <v>202306</v>
      </c>
      <c r="B75" s="71" t="s">
        <v>4984</v>
      </c>
      <c r="C75" s="71" t="s">
        <v>5047</v>
      </c>
      <c r="D75" s="71">
        <f>G51</f>
        <v>4800.4739999999874</v>
      </c>
    </row>
    <row r="76" spans="1:6">
      <c r="A76" s="71">
        <v>202306</v>
      </c>
      <c r="B76" s="71" t="s">
        <v>4986</v>
      </c>
      <c r="C76" s="71" t="s">
        <v>4986</v>
      </c>
      <c r="D76" s="71">
        <f>G52</f>
        <v>0</v>
      </c>
    </row>
    <row r="77" spans="1:6">
      <c r="A77" s="71">
        <v>202306</v>
      </c>
      <c r="B77" s="71" t="s">
        <v>5048</v>
      </c>
      <c r="C77" s="71" t="s">
        <v>5049</v>
      </c>
      <c r="D77" s="71">
        <v>0</v>
      </c>
    </row>
    <row r="78" spans="1:6">
      <c r="A78" s="71">
        <v>202306</v>
      </c>
      <c r="B78" s="71" t="s">
        <v>5048</v>
      </c>
      <c r="C78" s="71" t="s">
        <v>5050</v>
      </c>
      <c r="D78" s="71">
        <f>G54</f>
        <v>0</v>
      </c>
    </row>
    <row r="79" spans="1:6">
      <c r="A79" s="71">
        <v>202306</v>
      </c>
      <c r="B79" s="71" t="s">
        <v>5051</v>
      </c>
      <c r="C79" s="71" t="s">
        <v>5051</v>
      </c>
      <c r="D79" s="71">
        <f>G55</f>
        <v>6400.6319999999832</v>
      </c>
    </row>
  </sheetData>
  <mergeCells count="6">
    <mergeCell ref="B2:I2"/>
    <mergeCell ref="B13:E13"/>
    <mergeCell ref="B26:E26"/>
    <mergeCell ref="C11:E11"/>
    <mergeCell ref="C12:E12"/>
    <mergeCell ref="B14:D1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832BA-8A44-49FA-857F-75191A09CC86}">
  <dimension ref="A1:C27"/>
  <sheetViews>
    <sheetView topLeftCell="C1" workbookViewId="0">
      <selection activeCell="D6" sqref="D6"/>
    </sheetView>
  </sheetViews>
  <sheetFormatPr defaultColWidth="55.453125" defaultRowHeight="14.5"/>
  <cols>
    <col min="1" max="1" width="34.54296875" bestFit="1" customWidth="1"/>
    <col min="2" max="2" width="34.1796875" bestFit="1" customWidth="1"/>
  </cols>
  <sheetData>
    <row r="1" spans="1:3" ht="15" thickBot="1">
      <c r="A1" s="52" t="s">
        <v>5069</v>
      </c>
      <c r="B1" s="53" t="s">
        <v>103</v>
      </c>
    </row>
    <row r="2" spans="1:3" ht="15" thickBot="1">
      <c r="A2" s="54" t="s">
        <v>5070</v>
      </c>
      <c r="B2" s="55" t="s">
        <v>5071</v>
      </c>
    </row>
    <row r="3" spans="1:3" ht="15" thickBot="1">
      <c r="A3" s="54" t="s">
        <v>5072</v>
      </c>
      <c r="B3" s="55" t="s">
        <v>5073</v>
      </c>
    </row>
    <row r="4" spans="1:3" ht="15" thickBot="1">
      <c r="A4" s="54" t="s">
        <v>5074</v>
      </c>
      <c r="B4" s="55" t="s">
        <v>5073</v>
      </c>
    </row>
    <row r="5" spans="1:3" ht="15" thickBot="1">
      <c r="A5" s="54" t="s">
        <v>5075</v>
      </c>
      <c r="B5" s="55" t="s">
        <v>5073</v>
      </c>
    </row>
    <row r="6" spans="1:3" ht="15" thickBot="1">
      <c r="A6" s="54" t="s">
        <v>5076</v>
      </c>
      <c r="B6" s="55" t="s">
        <v>5073</v>
      </c>
    </row>
    <row r="7" spans="1:3" ht="15" thickBot="1">
      <c r="A7" s="54" t="s">
        <v>5077</v>
      </c>
      <c r="B7" s="55" t="s">
        <v>5073</v>
      </c>
    </row>
    <row r="8" spans="1:3" ht="15" thickBot="1">
      <c r="A8" s="54" t="s">
        <v>5066</v>
      </c>
      <c r="B8" s="55" t="s">
        <v>5078</v>
      </c>
    </row>
    <row r="9" spans="1:3" ht="15" thickBot="1">
      <c r="A9" s="54" t="s">
        <v>5079</v>
      </c>
      <c r="B9" s="55" t="s">
        <v>5080</v>
      </c>
    </row>
    <row r="10" spans="1:3" ht="15" thickBot="1">
      <c r="A10" s="54" t="s">
        <v>5046</v>
      </c>
      <c r="B10" s="55" t="s">
        <v>5081</v>
      </c>
    </row>
    <row r="11" spans="1:3" ht="15" thickBot="1">
      <c r="A11" s="54" t="s">
        <v>5082</v>
      </c>
      <c r="B11" s="55" t="s">
        <v>4985</v>
      </c>
      <c r="C11" s="64" t="s">
        <v>5083</v>
      </c>
    </row>
    <row r="12" spans="1:3" ht="15" thickBot="1">
      <c r="A12" s="54" t="s">
        <v>5084</v>
      </c>
      <c r="B12" s="55" t="s">
        <v>4985</v>
      </c>
    </row>
    <row r="13" spans="1:3" ht="15" thickBot="1">
      <c r="A13" s="54" t="s">
        <v>5085</v>
      </c>
      <c r="B13" s="55" t="s">
        <v>4985</v>
      </c>
    </row>
    <row r="14" spans="1:3" ht="15" thickBot="1">
      <c r="A14" s="54" t="s">
        <v>5086</v>
      </c>
      <c r="B14" s="55" t="s">
        <v>4985</v>
      </c>
    </row>
    <row r="15" spans="1:3" ht="15" thickBot="1">
      <c r="A15" s="54" t="s">
        <v>5087</v>
      </c>
      <c r="B15" s="55" t="s">
        <v>4985</v>
      </c>
    </row>
    <row r="16" spans="1:3" ht="15" thickBot="1">
      <c r="A16" s="54" t="s">
        <v>5088</v>
      </c>
      <c r="B16" s="55" t="s">
        <v>4985</v>
      </c>
    </row>
    <row r="17" spans="1:2" ht="15" thickBot="1">
      <c r="A17" s="54" t="s">
        <v>4985</v>
      </c>
      <c r="B17" s="55" t="s">
        <v>4985</v>
      </c>
    </row>
    <row r="18" spans="1:2" ht="15" thickBot="1">
      <c r="A18" s="54" t="s">
        <v>5089</v>
      </c>
      <c r="B18" s="55" t="s">
        <v>4985</v>
      </c>
    </row>
    <row r="19" spans="1:2" ht="15" thickBot="1">
      <c r="A19" s="54" t="s">
        <v>5090</v>
      </c>
      <c r="B19" s="55" t="s">
        <v>5091</v>
      </c>
    </row>
    <row r="20" spans="1:2" ht="15" thickBot="1">
      <c r="A20" s="54" t="s">
        <v>5092</v>
      </c>
      <c r="B20" s="55" t="s">
        <v>5091</v>
      </c>
    </row>
    <row r="21" spans="1:2" ht="15" thickBot="1">
      <c r="A21" s="54" t="s">
        <v>5093</v>
      </c>
      <c r="B21" s="55" t="s">
        <v>5091</v>
      </c>
    </row>
    <row r="22" spans="1:2" ht="15" thickBot="1">
      <c r="A22" s="54" t="s">
        <v>5094</v>
      </c>
      <c r="B22" s="55" t="s">
        <v>5091</v>
      </c>
    </row>
    <row r="23" spans="1:2" ht="15" thickBot="1">
      <c r="A23" s="54" t="s">
        <v>5095</v>
      </c>
      <c r="B23" s="55" t="s">
        <v>5091</v>
      </c>
    </row>
    <row r="24" spans="1:2" ht="15" thickBot="1">
      <c r="A24" s="54" t="s">
        <v>5096</v>
      </c>
      <c r="B24" s="55" t="s">
        <v>5097</v>
      </c>
    </row>
    <row r="25" spans="1:2" ht="15" thickBot="1">
      <c r="A25" s="54" t="s">
        <v>5098</v>
      </c>
      <c r="B25" s="55" t="s">
        <v>5099</v>
      </c>
    </row>
    <row r="26" spans="1:2" ht="15" thickBot="1">
      <c r="A26" s="54" t="s">
        <v>5100</v>
      </c>
      <c r="B26" s="55" t="s">
        <v>5099</v>
      </c>
    </row>
    <row r="27" spans="1:2" ht="15" thickBot="1">
      <c r="A27" s="54" t="s">
        <v>5101</v>
      </c>
      <c r="B27" s="55" t="s">
        <v>5099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EEE54-7471-4297-97A3-C8813E408C20}">
  <dimension ref="B2:L41"/>
  <sheetViews>
    <sheetView topLeftCell="C1" zoomScale="70" zoomScaleNormal="70" workbookViewId="0">
      <selection activeCell="G16" sqref="G16"/>
    </sheetView>
  </sheetViews>
  <sheetFormatPr defaultColWidth="8.81640625" defaultRowHeight="12.5"/>
  <cols>
    <col min="1" max="1" width="4.54296875" style="159" customWidth="1"/>
    <col min="2" max="2" width="23.54296875" style="159" customWidth="1"/>
    <col min="3" max="3" width="34.1796875" style="159" customWidth="1"/>
    <col min="4" max="4" width="26.81640625" style="159" customWidth="1"/>
    <col min="5" max="5" width="31.54296875" style="159" customWidth="1"/>
    <col min="6" max="6" width="18.54296875" style="159" customWidth="1"/>
    <col min="7" max="7" width="25.1796875" style="159" bestFit="1" customWidth="1"/>
    <col min="8" max="8" width="31.54296875" style="159" bestFit="1" customWidth="1"/>
    <col min="9" max="9" width="25.453125" style="159" bestFit="1" customWidth="1"/>
    <col min="10" max="10" width="15.54296875" style="159" bestFit="1" customWidth="1"/>
    <col min="11" max="16384" width="8.81640625" style="159"/>
  </cols>
  <sheetData>
    <row r="2" spans="2:12">
      <c r="C2" s="540" t="s">
        <v>5102</v>
      </c>
      <c r="D2" s="540"/>
      <c r="E2" s="540"/>
      <c r="F2" s="540"/>
      <c r="G2" s="540"/>
      <c r="H2" s="540"/>
      <c r="I2" s="540"/>
      <c r="J2" s="540"/>
      <c r="K2" s="540"/>
      <c r="L2" s="540"/>
    </row>
    <row r="3" spans="2:12" ht="72.650000000000006" customHeight="1">
      <c r="C3" s="540"/>
      <c r="D3" s="540"/>
      <c r="E3" s="540"/>
      <c r="F3" s="540"/>
      <c r="G3" s="540"/>
      <c r="H3" s="540"/>
      <c r="I3" s="540"/>
      <c r="J3" s="540"/>
      <c r="K3" s="540"/>
      <c r="L3" s="540"/>
    </row>
    <row r="4" spans="2:12">
      <c r="C4" s="159" t="s">
        <v>675</v>
      </c>
    </row>
    <row r="5" spans="2:12">
      <c r="C5" s="540" t="s">
        <v>5103</v>
      </c>
      <c r="D5" s="540"/>
      <c r="E5" s="540"/>
      <c r="F5" s="540"/>
      <c r="G5" s="540"/>
      <c r="H5" s="540"/>
      <c r="I5" s="540"/>
      <c r="J5" s="540"/>
      <c r="K5" s="540"/>
      <c r="L5" s="540"/>
    </row>
    <row r="6" spans="2:12" ht="13">
      <c r="B6" s="143" t="s">
        <v>5104</v>
      </c>
    </row>
    <row r="7" spans="2:12" ht="13">
      <c r="C7" s="240" t="s">
        <v>375</v>
      </c>
      <c r="G7" s="143" t="s">
        <v>5105</v>
      </c>
      <c r="H7" s="240" t="s">
        <v>5106</v>
      </c>
    </row>
    <row r="8" spans="2:12">
      <c r="J8" s="159" t="s">
        <v>5107</v>
      </c>
    </row>
    <row r="9" spans="2:12" ht="13">
      <c r="C9" s="241" t="s">
        <v>376</v>
      </c>
      <c r="D9" s="241" t="s">
        <v>95</v>
      </c>
      <c r="E9" s="241" t="s">
        <v>101</v>
      </c>
      <c r="F9" s="241" t="s">
        <v>380</v>
      </c>
      <c r="H9" s="241" t="s">
        <v>376</v>
      </c>
      <c r="I9" s="241" t="s">
        <v>103</v>
      </c>
      <c r="J9" s="241" t="s">
        <v>1228</v>
      </c>
    </row>
    <row r="10" spans="2:12">
      <c r="C10" s="122">
        <v>202402</v>
      </c>
      <c r="D10" s="242" t="s">
        <v>5108</v>
      </c>
      <c r="E10" s="242" t="s">
        <v>5046</v>
      </c>
      <c r="F10" s="242" t="s">
        <v>5109</v>
      </c>
      <c r="H10" s="243">
        <v>202401</v>
      </c>
      <c r="I10" s="243" t="s">
        <v>5081</v>
      </c>
      <c r="J10" s="243">
        <v>-50</v>
      </c>
    </row>
    <row r="11" spans="2:12">
      <c r="C11" s="122">
        <v>202402</v>
      </c>
      <c r="D11" s="242" t="s">
        <v>5110</v>
      </c>
      <c r="E11" s="242" t="s">
        <v>5046</v>
      </c>
      <c r="F11" s="242" t="s">
        <v>5109</v>
      </c>
      <c r="H11" s="122">
        <v>202401</v>
      </c>
      <c r="I11" s="122" t="s">
        <v>5091</v>
      </c>
      <c r="J11" s="122">
        <v>-10</v>
      </c>
    </row>
    <row r="12" spans="2:12">
      <c r="C12" s="122">
        <v>202402</v>
      </c>
      <c r="D12" s="242" t="s">
        <v>5111</v>
      </c>
      <c r="E12" s="242" t="s">
        <v>5046</v>
      </c>
      <c r="F12" s="242" t="s">
        <v>5109</v>
      </c>
      <c r="H12" s="122">
        <v>202402</v>
      </c>
      <c r="I12" s="122" t="s">
        <v>5081</v>
      </c>
      <c r="J12" s="122">
        <v>-65</v>
      </c>
    </row>
    <row r="13" spans="2:12">
      <c r="C13" s="122">
        <v>202402</v>
      </c>
      <c r="D13" s="242" t="s">
        <v>5112</v>
      </c>
      <c r="E13" s="242" t="s">
        <v>5093</v>
      </c>
      <c r="F13" s="242" t="s">
        <v>5109</v>
      </c>
      <c r="H13" s="122">
        <v>202402</v>
      </c>
      <c r="I13" s="122" t="s">
        <v>5091</v>
      </c>
      <c r="J13" s="122">
        <v>-15</v>
      </c>
    </row>
    <row r="14" spans="2:12">
      <c r="C14" s="122">
        <v>202403</v>
      </c>
      <c r="D14" s="122" t="s">
        <v>5113</v>
      </c>
      <c r="E14" s="122" t="s">
        <v>5093</v>
      </c>
      <c r="F14" s="122" t="s">
        <v>5109</v>
      </c>
    </row>
    <row r="15" spans="2:12">
      <c r="C15" s="122">
        <v>202403</v>
      </c>
      <c r="D15" s="122" t="s">
        <v>5114</v>
      </c>
      <c r="E15" s="122" t="s">
        <v>5093</v>
      </c>
      <c r="F15" s="122" t="s">
        <v>5109</v>
      </c>
    </row>
    <row r="16" spans="2:12">
      <c r="C16" s="122">
        <v>202403</v>
      </c>
      <c r="D16" s="129" t="s">
        <v>5115</v>
      </c>
      <c r="E16" s="129" t="s">
        <v>5046</v>
      </c>
      <c r="F16" s="122" t="s">
        <v>5109</v>
      </c>
    </row>
    <row r="17" spans="3:9">
      <c r="C17" s="122">
        <v>202403</v>
      </c>
      <c r="D17" s="129" t="s">
        <v>5116</v>
      </c>
      <c r="E17" s="129" t="s">
        <v>5046</v>
      </c>
      <c r="F17" s="122" t="s">
        <v>5109</v>
      </c>
    </row>
    <row r="18" spans="3:9">
      <c r="C18" s="122">
        <v>202403</v>
      </c>
      <c r="D18" s="129" t="s">
        <v>5108</v>
      </c>
      <c r="E18" s="129" t="s">
        <v>5046</v>
      </c>
      <c r="F18" s="122" t="s">
        <v>5109</v>
      </c>
    </row>
    <row r="19" spans="3:9">
      <c r="C19" s="122">
        <v>202403</v>
      </c>
      <c r="D19" s="129" t="s">
        <v>5110</v>
      </c>
      <c r="E19" s="129" t="s">
        <v>5046</v>
      </c>
      <c r="F19" s="122" t="s">
        <v>5109</v>
      </c>
    </row>
    <row r="24" spans="3:9">
      <c r="E24" s="569" t="s">
        <v>5117</v>
      </c>
      <c r="F24" s="569"/>
      <c r="G24" s="569"/>
      <c r="H24" s="569"/>
    </row>
    <row r="25" spans="3:9">
      <c r="E25" s="569"/>
      <c r="F25" s="569"/>
      <c r="G25" s="569"/>
      <c r="H25" s="569"/>
    </row>
    <row r="26" spans="3:9">
      <c r="E26" s="569"/>
      <c r="F26" s="569"/>
      <c r="G26" s="569"/>
      <c r="H26" s="569"/>
    </row>
    <row r="29" spans="3:9" ht="13">
      <c r="E29" s="240" t="s">
        <v>371</v>
      </c>
    </row>
    <row r="31" spans="3:9" ht="13">
      <c r="E31" s="244" t="s">
        <v>3030</v>
      </c>
      <c r="F31" s="244" t="s">
        <v>95</v>
      </c>
      <c r="G31" s="244" t="s">
        <v>3813</v>
      </c>
      <c r="H31" s="244" t="s">
        <v>4055</v>
      </c>
      <c r="I31" s="244" t="s">
        <v>4052</v>
      </c>
    </row>
    <row r="32" spans="3:9">
      <c r="E32" s="150">
        <v>202402</v>
      </c>
      <c r="F32" s="245" t="s">
        <v>5108</v>
      </c>
      <c r="G32" s="245" t="s">
        <v>5046</v>
      </c>
      <c r="H32" s="246">
        <f>J10/3</f>
        <v>-16.666666666666668</v>
      </c>
      <c r="I32" s="245">
        <v>0</v>
      </c>
    </row>
    <row r="33" spans="5:9">
      <c r="E33" s="150">
        <v>202402</v>
      </c>
      <c r="F33" s="245" t="s">
        <v>5110</v>
      </c>
      <c r="G33" s="245" t="s">
        <v>5046</v>
      </c>
      <c r="H33" s="246">
        <f>J10/3</f>
        <v>-16.666666666666668</v>
      </c>
      <c r="I33" s="245">
        <v>0</v>
      </c>
    </row>
    <row r="34" spans="5:9">
      <c r="E34" s="150">
        <v>202402</v>
      </c>
      <c r="F34" s="245" t="s">
        <v>5111</v>
      </c>
      <c r="G34" s="245" t="s">
        <v>5046</v>
      </c>
      <c r="H34" s="246">
        <f>J10/3</f>
        <v>-16.666666666666668</v>
      </c>
      <c r="I34" s="245">
        <v>0</v>
      </c>
    </row>
    <row r="35" spans="5:9">
      <c r="E35" s="150">
        <v>202402</v>
      </c>
      <c r="F35" s="245" t="s">
        <v>5112</v>
      </c>
      <c r="G35" s="245" t="s">
        <v>5093</v>
      </c>
      <c r="H35" s="245">
        <f>J11/1</f>
        <v>-10</v>
      </c>
      <c r="I35" s="245">
        <v>0</v>
      </c>
    </row>
    <row r="36" spans="5:9">
      <c r="E36" s="150">
        <v>202403</v>
      </c>
      <c r="F36" s="150" t="s">
        <v>5113</v>
      </c>
      <c r="G36" s="150" t="s">
        <v>5093</v>
      </c>
      <c r="H36" s="150">
        <f>J13/2</f>
        <v>-7.5</v>
      </c>
      <c r="I36" s="150">
        <v>0</v>
      </c>
    </row>
    <row r="37" spans="5:9">
      <c r="E37" s="150">
        <v>202403</v>
      </c>
      <c r="F37" s="150" t="s">
        <v>5114</v>
      </c>
      <c r="G37" s="150" t="s">
        <v>5093</v>
      </c>
      <c r="H37" s="150">
        <f>J13/2</f>
        <v>-7.5</v>
      </c>
      <c r="I37" s="150">
        <v>0</v>
      </c>
    </row>
    <row r="38" spans="5:9">
      <c r="E38" s="150">
        <v>202403</v>
      </c>
      <c r="F38" s="150" t="s">
        <v>5115</v>
      </c>
      <c r="G38" s="150" t="s">
        <v>5046</v>
      </c>
      <c r="H38" s="150">
        <f>J12/4</f>
        <v>-16.25</v>
      </c>
      <c r="I38" s="150">
        <v>0</v>
      </c>
    </row>
    <row r="39" spans="5:9">
      <c r="E39" s="150">
        <v>202403</v>
      </c>
      <c r="F39" s="150" t="s">
        <v>5116</v>
      </c>
      <c r="G39" s="150" t="s">
        <v>5046</v>
      </c>
      <c r="H39" s="150">
        <f>J12/4</f>
        <v>-16.25</v>
      </c>
      <c r="I39" s="150">
        <v>0</v>
      </c>
    </row>
    <row r="40" spans="5:9">
      <c r="E40" s="150">
        <v>202403</v>
      </c>
      <c r="F40" s="150" t="s">
        <v>5108</v>
      </c>
      <c r="G40" s="150" t="s">
        <v>5046</v>
      </c>
      <c r="H40" s="150">
        <f>J12/4</f>
        <v>-16.25</v>
      </c>
      <c r="I40" s="247">
        <f>H32</f>
        <v>-16.666666666666668</v>
      </c>
    </row>
    <row r="41" spans="5:9">
      <c r="E41" s="150">
        <v>202403</v>
      </c>
      <c r="F41" s="150" t="s">
        <v>5110</v>
      </c>
      <c r="G41" s="150" t="s">
        <v>5046</v>
      </c>
      <c r="H41" s="150">
        <f>J12/4</f>
        <v>-16.25</v>
      </c>
      <c r="I41" s="247">
        <f>H33</f>
        <v>-16.666666666666668</v>
      </c>
    </row>
  </sheetData>
  <mergeCells count="3">
    <mergeCell ref="C2:L3"/>
    <mergeCell ref="C5:L5"/>
    <mergeCell ref="E24:H26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5E82-9B87-451F-8A9D-127CE57C1EB6}">
  <dimension ref="A3:J16"/>
  <sheetViews>
    <sheetView zoomScale="50" zoomScaleNormal="50" workbookViewId="0">
      <selection activeCell="F9" sqref="F9"/>
    </sheetView>
  </sheetViews>
  <sheetFormatPr defaultColWidth="8.81640625" defaultRowHeight="12.5"/>
  <cols>
    <col min="1" max="1" width="15.54296875" style="159" bestFit="1" customWidth="1"/>
    <col min="2" max="2" width="24.1796875" style="159" customWidth="1"/>
    <col min="3" max="3" width="35.81640625" style="159" bestFit="1" customWidth="1"/>
    <col min="4" max="4" width="76.1796875" style="159" bestFit="1" customWidth="1"/>
    <col min="5" max="5" width="33.1796875" style="159" customWidth="1"/>
    <col min="6" max="6" width="27" style="159" bestFit="1" customWidth="1"/>
    <col min="7" max="7" width="23.54296875" style="159" customWidth="1"/>
    <col min="8" max="8" width="8.81640625" style="159" bestFit="1" customWidth="1"/>
    <col min="9" max="9" width="28.81640625" style="159" bestFit="1" customWidth="1"/>
    <col min="10" max="10" width="48.54296875" style="159" customWidth="1"/>
    <col min="11" max="16384" width="8.81640625" style="159"/>
  </cols>
  <sheetData>
    <row r="3" spans="1:10" ht="13">
      <c r="A3" s="236" t="s">
        <v>5007</v>
      </c>
      <c r="B3" s="235" t="s">
        <v>362</v>
      </c>
      <c r="C3" s="235" t="s">
        <v>363</v>
      </c>
      <c r="D3" s="237" t="s">
        <v>364</v>
      </c>
      <c r="E3" s="235" t="s">
        <v>369</v>
      </c>
      <c r="F3" s="235" t="s">
        <v>5008</v>
      </c>
      <c r="G3" s="235" t="s">
        <v>366</v>
      </c>
      <c r="H3" s="235" t="s">
        <v>367</v>
      </c>
      <c r="I3" s="235" t="s">
        <v>368</v>
      </c>
      <c r="J3" s="238" t="s">
        <v>5118</v>
      </c>
    </row>
    <row r="5" spans="1:10" ht="125">
      <c r="A5" s="159" t="s">
        <v>5009</v>
      </c>
      <c r="B5" s="159" t="s">
        <v>371</v>
      </c>
      <c r="C5" s="132" t="s">
        <v>5119</v>
      </c>
      <c r="D5" s="132" t="s">
        <v>5120</v>
      </c>
      <c r="E5" s="132" t="s">
        <v>5121</v>
      </c>
      <c r="F5" s="132" t="s">
        <v>5122</v>
      </c>
      <c r="G5" s="132" t="s">
        <v>5123</v>
      </c>
      <c r="J5" s="132" t="s">
        <v>5124</v>
      </c>
    </row>
    <row r="6" spans="1:10">
      <c r="A6" s="239"/>
      <c r="B6" s="239"/>
      <c r="C6" s="239"/>
      <c r="D6" s="239"/>
      <c r="E6" s="239"/>
      <c r="F6" s="239"/>
      <c r="G6" s="239"/>
      <c r="H6" s="239"/>
      <c r="I6" s="239"/>
    </row>
    <row r="7" spans="1:10" ht="87.5">
      <c r="A7" s="159" t="s">
        <v>5125</v>
      </c>
      <c r="B7" s="159" t="s">
        <v>371</v>
      </c>
      <c r="C7" s="159" t="s">
        <v>3813</v>
      </c>
      <c r="D7" s="132" t="s">
        <v>5126</v>
      </c>
      <c r="E7" s="132" t="s">
        <v>5017</v>
      </c>
      <c r="F7" s="159" t="s">
        <v>5127</v>
      </c>
      <c r="G7" s="159" t="s">
        <v>5019</v>
      </c>
      <c r="J7" s="132" t="s">
        <v>5124</v>
      </c>
    </row>
    <row r="9" spans="1:10" ht="87.5">
      <c r="B9" s="159" t="s">
        <v>371</v>
      </c>
      <c r="C9" s="159" t="s">
        <v>3811</v>
      </c>
      <c r="D9" s="132" t="s">
        <v>5128</v>
      </c>
      <c r="E9" s="132" t="s">
        <v>5021</v>
      </c>
      <c r="F9" s="159" t="s">
        <v>5129</v>
      </c>
      <c r="G9" s="159" t="s">
        <v>5023</v>
      </c>
      <c r="J9" s="132" t="s">
        <v>5124</v>
      </c>
    </row>
    <row r="11" spans="1:10">
      <c r="A11" s="239"/>
      <c r="B11" s="239"/>
      <c r="C11" s="239"/>
      <c r="D11" s="239"/>
      <c r="E11" s="239"/>
      <c r="F11" s="239"/>
      <c r="G11" s="239"/>
      <c r="H11" s="239"/>
      <c r="I11" s="239"/>
    </row>
    <row r="12" spans="1:10" ht="212.5">
      <c r="A12" s="159" t="s">
        <v>5024</v>
      </c>
      <c r="B12" s="132" t="s">
        <v>5130</v>
      </c>
      <c r="C12" s="132" t="s">
        <v>5131</v>
      </c>
      <c r="D12" s="132" t="s">
        <v>5132</v>
      </c>
      <c r="E12" s="132" t="s">
        <v>5133</v>
      </c>
      <c r="F12" s="132" t="s">
        <v>5134</v>
      </c>
      <c r="G12" s="132" t="s">
        <v>5135</v>
      </c>
    </row>
    <row r="13" spans="1:10">
      <c r="B13" s="132"/>
      <c r="C13" s="132"/>
      <c r="E13" s="132"/>
      <c r="F13" s="132"/>
      <c r="G13" s="132"/>
    </row>
    <row r="14" spans="1:10">
      <c r="A14" s="239"/>
      <c r="B14" s="239"/>
      <c r="C14" s="239"/>
      <c r="D14" s="239"/>
      <c r="E14" s="239"/>
      <c r="F14" s="239"/>
      <c r="G14" s="239"/>
      <c r="H14" s="239"/>
      <c r="I14" s="239"/>
    </row>
    <row r="15" spans="1:10" ht="212.5">
      <c r="A15" s="159" t="s">
        <v>5031</v>
      </c>
      <c r="B15" s="132" t="s">
        <v>5032</v>
      </c>
      <c r="C15" s="132" t="s">
        <v>5131</v>
      </c>
      <c r="D15" s="132" t="s">
        <v>5136</v>
      </c>
      <c r="E15" s="132" t="s">
        <v>5137</v>
      </c>
      <c r="F15" s="132" t="s">
        <v>5138</v>
      </c>
      <c r="G15" s="132" t="s">
        <v>5139</v>
      </c>
    </row>
    <row r="16" spans="1:10">
      <c r="A16" s="239"/>
      <c r="B16" s="239"/>
      <c r="C16" s="239"/>
      <c r="D16" s="239"/>
      <c r="E16" s="239"/>
      <c r="F16" s="239"/>
      <c r="G16" s="239"/>
      <c r="H16" s="239"/>
      <c r="I16" s="239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4F96E-705F-44DC-BA55-36663E495E76}">
  <dimension ref="A1:K65"/>
  <sheetViews>
    <sheetView topLeftCell="A34" zoomScale="70" zoomScaleNormal="70" workbookViewId="0">
      <selection activeCell="E18" sqref="E18"/>
    </sheetView>
  </sheetViews>
  <sheetFormatPr defaultColWidth="8.81640625" defaultRowHeight="12.5"/>
  <cols>
    <col min="1" max="1" width="20.54296875" style="227" customWidth="1"/>
    <col min="2" max="2" width="36.54296875" style="227" customWidth="1"/>
    <col min="3" max="3" width="12.81640625" style="227" bestFit="1" customWidth="1"/>
    <col min="4" max="4" width="29.54296875" style="227" bestFit="1" customWidth="1"/>
    <col min="5" max="5" width="19.453125" style="227" bestFit="1" customWidth="1"/>
    <col min="6" max="6" width="36.1796875" style="227" bestFit="1" customWidth="1"/>
    <col min="7" max="7" width="19.54296875" style="227" bestFit="1" customWidth="1"/>
    <col min="8" max="8" width="18.81640625" style="227" bestFit="1" customWidth="1"/>
    <col min="9" max="16384" width="8.81640625" style="227"/>
  </cols>
  <sheetData>
    <row r="1" spans="1:11" ht="13">
      <c r="A1" s="226" t="s">
        <v>198</v>
      </c>
    </row>
    <row r="2" spans="1:11">
      <c r="A2" s="227" t="s">
        <v>5140</v>
      </c>
      <c r="B2" s="228"/>
    </row>
    <row r="3" spans="1:11" ht="13">
      <c r="A3" s="229" t="s">
        <v>4977</v>
      </c>
      <c r="B3" s="229" t="s">
        <v>5141</v>
      </c>
      <c r="C3" s="226" t="s">
        <v>5142</v>
      </c>
    </row>
    <row r="4" spans="1:11">
      <c r="A4" s="230">
        <v>202305</v>
      </c>
      <c r="B4" s="230">
        <v>950113.43</v>
      </c>
    </row>
    <row r="5" spans="1:11">
      <c r="A5" s="230">
        <v>202306</v>
      </c>
      <c r="B5" s="230">
        <v>966115.01</v>
      </c>
    </row>
    <row r="7" spans="1:11" ht="13">
      <c r="A7" s="226" t="s">
        <v>200</v>
      </c>
      <c r="B7" s="227" t="s">
        <v>5038</v>
      </c>
    </row>
    <row r="8" spans="1:11" ht="13">
      <c r="A8" s="229" t="s">
        <v>4977</v>
      </c>
      <c r="B8" s="229" t="s">
        <v>5143</v>
      </c>
      <c r="F8" s="227" t="s">
        <v>5144</v>
      </c>
    </row>
    <row r="9" spans="1:11">
      <c r="A9" s="230">
        <v>202306</v>
      </c>
      <c r="B9" s="230">
        <f>B5-B4</f>
        <v>16001.579999999958</v>
      </c>
    </row>
    <row r="11" spans="1:11" ht="25.5">
      <c r="A11" s="226" t="s">
        <v>5145</v>
      </c>
      <c r="B11" s="228" t="s">
        <v>5124</v>
      </c>
    </row>
    <row r="12" spans="1:11">
      <c r="A12" s="231"/>
    </row>
    <row r="13" spans="1:11">
      <c r="A13" s="232" t="s">
        <v>4975</v>
      </c>
      <c r="B13" s="570" t="s">
        <v>5146</v>
      </c>
      <c r="C13" s="570"/>
      <c r="D13" s="570"/>
      <c r="E13" s="570"/>
      <c r="F13" s="570"/>
      <c r="G13" s="570"/>
      <c r="H13" s="570"/>
      <c r="I13" s="570"/>
      <c r="J13" s="570"/>
      <c r="K13" s="570"/>
    </row>
    <row r="14" spans="1:11">
      <c r="A14" s="232" t="s">
        <v>5042</v>
      </c>
      <c r="B14" s="571" t="s">
        <v>5147</v>
      </c>
      <c r="C14" s="571"/>
      <c r="D14" s="571"/>
      <c r="E14" s="571"/>
    </row>
    <row r="15" spans="1:11" ht="13">
      <c r="A15" s="229" t="s">
        <v>4977</v>
      </c>
      <c r="B15" s="229" t="s">
        <v>2240</v>
      </c>
      <c r="C15" s="229" t="s">
        <v>5044</v>
      </c>
      <c r="D15" s="229" t="s">
        <v>101</v>
      </c>
      <c r="E15" s="229" t="s">
        <v>4982</v>
      </c>
    </row>
    <row r="16" spans="1:11">
      <c r="A16" s="230">
        <v>202306</v>
      </c>
      <c r="B16" s="230" t="s">
        <v>4984</v>
      </c>
      <c r="C16" s="230" t="s">
        <v>5045</v>
      </c>
      <c r="D16" s="230" t="s">
        <v>5091</v>
      </c>
      <c r="E16" s="230">
        <v>4000</v>
      </c>
      <c r="F16" s="227" t="s">
        <v>5148</v>
      </c>
    </row>
    <row r="17" spans="1:7">
      <c r="A17" s="230">
        <v>202306</v>
      </c>
      <c r="B17" s="230" t="s">
        <v>4984</v>
      </c>
      <c r="C17" s="230" t="s">
        <v>5047</v>
      </c>
      <c r="D17" s="230" t="s">
        <v>5091</v>
      </c>
      <c r="E17" s="230">
        <v>2000</v>
      </c>
    </row>
    <row r="18" spans="1:7">
      <c r="A18" s="230">
        <v>202306</v>
      </c>
      <c r="B18" s="230" t="s">
        <v>4986</v>
      </c>
      <c r="C18" s="230" t="s">
        <v>4986</v>
      </c>
      <c r="D18" s="230" t="s">
        <v>5091</v>
      </c>
      <c r="E18" s="230">
        <v>6000</v>
      </c>
    </row>
    <row r="19" spans="1:7">
      <c r="A19" s="230">
        <v>202306</v>
      </c>
      <c r="B19" s="230" t="s">
        <v>5048</v>
      </c>
      <c r="C19" s="230" t="s">
        <v>5049</v>
      </c>
      <c r="D19" s="230" t="s">
        <v>5091</v>
      </c>
      <c r="E19" s="230">
        <v>6000</v>
      </c>
    </row>
    <row r="20" spans="1:7">
      <c r="A20" s="230">
        <v>202306</v>
      </c>
      <c r="B20" s="230" t="s">
        <v>5048</v>
      </c>
      <c r="C20" s="230" t="s">
        <v>5050</v>
      </c>
      <c r="D20" s="230" t="s">
        <v>5091</v>
      </c>
      <c r="E20" s="230">
        <v>2000</v>
      </c>
    </row>
    <row r="21" spans="1:7">
      <c r="A21" s="230">
        <v>202306</v>
      </c>
      <c r="B21" s="230" t="s">
        <v>5051</v>
      </c>
      <c r="C21" s="230" t="s">
        <v>5051</v>
      </c>
      <c r="D21" s="230" t="s">
        <v>5091</v>
      </c>
      <c r="E21" s="230">
        <v>500000</v>
      </c>
    </row>
    <row r="24" spans="1:7" ht="13">
      <c r="A24" s="226" t="s">
        <v>5052</v>
      </c>
    </row>
    <row r="25" spans="1:7" ht="75">
      <c r="A25" s="233" t="s">
        <v>5053</v>
      </c>
    </row>
    <row r="26" spans="1:7" ht="13">
      <c r="A26" s="229" t="s">
        <v>4977</v>
      </c>
      <c r="B26" s="229" t="s">
        <v>2240</v>
      </c>
      <c r="C26" s="229" t="s">
        <v>5044</v>
      </c>
      <c r="D26" s="229" t="s">
        <v>101</v>
      </c>
      <c r="E26" s="229" t="s">
        <v>4982</v>
      </c>
      <c r="F26" s="229" t="s">
        <v>5143</v>
      </c>
    </row>
    <row r="27" spans="1:7">
      <c r="A27" s="230">
        <v>202306</v>
      </c>
      <c r="B27" s="230" t="s">
        <v>4984</v>
      </c>
      <c r="C27" s="230" t="s">
        <v>5045</v>
      </c>
      <c r="D27" s="230" t="s">
        <v>5091</v>
      </c>
      <c r="E27" s="230">
        <v>4000</v>
      </c>
      <c r="F27" s="230">
        <v>16001.579999999958</v>
      </c>
      <c r="G27" s="227" t="s">
        <v>5149</v>
      </c>
    </row>
    <row r="28" spans="1:7">
      <c r="A28" s="230">
        <v>202306</v>
      </c>
      <c r="B28" s="230" t="s">
        <v>4984</v>
      </c>
      <c r="C28" s="230" t="s">
        <v>5047</v>
      </c>
      <c r="D28" s="230" t="s">
        <v>5091</v>
      </c>
      <c r="E28" s="230">
        <v>2000</v>
      </c>
      <c r="F28" s="230">
        <v>16001.579999999958</v>
      </c>
    </row>
    <row r="29" spans="1:7">
      <c r="A29" s="230">
        <v>202306</v>
      </c>
      <c r="B29" s="230" t="s">
        <v>4986</v>
      </c>
      <c r="C29" s="230" t="s">
        <v>4986</v>
      </c>
      <c r="D29" s="230" t="s">
        <v>5091</v>
      </c>
      <c r="E29" s="230">
        <v>6000</v>
      </c>
      <c r="F29" s="230">
        <v>16001.579999999958</v>
      </c>
    </row>
    <row r="30" spans="1:7">
      <c r="A30" s="230">
        <v>202306</v>
      </c>
      <c r="B30" s="230" t="s">
        <v>5048</v>
      </c>
      <c r="C30" s="230" t="s">
        <v>5049</v>
      </c>
      <c r="D30" s="230" t="s">
        <v>5091</v>
      </c>
      <c r="E30" s="230">
        <v>6000</v>
      </c>
      <c r="F30" s="230">
        <v>16001.579999999958</v>
      </c>
    </row>
    <row r="31" spans="1:7">
      <c r="A31" s="230">
        <v>202306</v>
      </c>
      <c r="B31" s="230" t="s">
        <v>5048</v>
      </c>
      <c r="C31" s="230" t="s">
        <v>5050</v>
      </c>
      <c r="D31" s="230" t="s">
        <v>5091</v>
      </c>
      <c r="E31" s="230">
        <v>2000</v>
      </c>
      <c r="F31" s="230">
        <v>16001.579999999958</v>
      </c>
    </row>
    <row r="32" spans="1:7">
      <c r="A32" s="230">
        <v>202306</v>
      </c>
      <c r="B32" s="230" t="s">
        <v>5051</v>
      </c>
      <c r="C32" s="230" t="s">
        <v>5051</v>
      </c>
      <c r="D32" s="230" t="s">
        <v>5091</v>
      </c>
      <c r="E32" s="230">
        <v>500000</v>
      </c>
      <c r="F32" s="230">
        <v>16001.579999999958</v>
      </c>
    </row>
    <row r="35" spans="1:8" ht="13">
      <c r="A35" s="226" t="s">
        <v>5150</v>
      </c>
    </row>
    <row r="36" spans="1:8" ht="13">
      <c r="A36" s="572" t="s">
        <v>5151</v>
      </c>
      <c r="B36" s="572"/>
      <c r="C36" s="572"/>
      <c r="D36" s="572"/>
      <c r="E36" s="572"/>
    </row>
    <row r="37" spans="1:8" ht="13">
      <c r="A37" s="229" t="s">
        <v>4977</v>
      </c>
      <c r="B37" s="229" t="s">
        <v>2240</v>
      </c>
      <c r="C37" s="229" t="s">
        <v>5044</v>
      </c>
      <c r="D37" s="229" t="s">
        <v>101</v>
      </c>
      <c r="E37" s="229" t="s">
        <v>4982</v>
      </c>
      <c r="F37" s="229" t="s">
        <v>5143</v>
      </c>
      <c r="G37" s="229" t="s">
        <v>5152</v>
      </c>
      <c r="H37" s="229" t="s">
        <v>5057</v>
      </c>
    </row>
    <row r="38" spans="1:8">
      <c r="A38" s="230">
        <v>202306</v>
      </c>
      <c r="B38" s="230" t="s">
        <v>4984</v>
      </c>
      <c r="C38" s="234" t="s">
        <v>5045</v>
      </c>
      <c r="D38" s="230" t="s">
        <v>5091</v>
      </c>
      <c r="E38" s="230">
        <v>4000</v>
      </c>
      <c r="F38" s="230">
        <v>16001.579999999958</v>
      </c>
      <c r="G38" s="230">
        <f>F38*0.8</f>
        <v>12801.263999999966</v>
      </c>
      <c r="H38" s="234">
        <v>80</v>
      </c>
    </row>
    <row r="39" spans="1:8">
      <c r="A39" s="230">
        <v>202306</v>
      </c>
      <c r="B39" s="230" t="s">
        <v>4984</v>
      </c>
      <c r="C39" s="234" t="s">
        <v>5047</v>
      </c>
      <c r="D39" s="230" t="s">
        <v>5091</v>
      </c>
      <c r="E39" s="230">
        <v>2000</v>
      </c>
      <c r="F39" s="230">
        <v>16001.579999999958</v>
      </c>
      <c r="G39" s="230">
        <f>F39*0.15</f>
        <v>2400.2369999999937</v>
      </c>
      <c r="H39" s="234">
        <v>15</v>
      </c>
    </row>
    <row r="40" spans="1:8">
      <c r="A40" s="230">
        <v>202306</v>
      </c>
      <c r="B40" s="230" t="s">
        <v>4986</v>
      </c>
      <c r="C40" s="234" t="s">
        <v>4986</v>
      </c>
      <c r="D40" s="230" t="s">
        <v>5091</v>
      </c>
      <c r="E40" s="230">
        <v>6000</v>
      </c>
      <c r="F40" s="230">
        <v>16001.579999999958</v>
      </c>
      <c r="G40" s="230">
        <f>F40*0.05</f>
        <v>800.0789999999979</v>
      </c>
      <c r="H40" s="234">
        <v>5</v>
      </c>
    </row>
    <row r="41" spans="1:8">
      <c r="A41" s="230">
        <v>202306</v>
      </c>
      <c r="B41" s="230" t="s">
        <v>5048</v>
      </c>
      <c r="C41" s="230" t="s">
        <v>5049</v>
      </c>
      <c r="D41" s="230" t="s">
        <v>5091</v>
      </c>
      <c r="E41" s="230">
        <v>6000</v>
      </c>
      <c r="F41" s="230">
        <v>16001.579999999958</v>
      </c>
      <c r="G41" s="230">
        <f>F41*0</f>
        <v>0</v>
      </c>
      <c r="H41" s="230">
        <v>0</v>
      </c>
    </row>
    <row r="42" spans="1:8">
      <c r="A42" s="230">
        <v>202306</v>
      </c>
      <c r="B42" s="230" t="s">
        <v>5048</v>
      </c>
      <c r="C42" s="230" t="s">
        <v>5050</v>
      </c>
      <c r="D42" s="230" t="s">
        <v>5091</v>
      </c>
      <c r="E42" s="230">
        <v>2000</v>
      </c>
      <c r="F42" s="230">
        <v>16001.579999999958</v>
      </c>
      <c r="G42" s="230">
        <f>F42*0</f>
        <v>0</v>
      </c>
      <c r="H42" s="230">
        <v>0</v>
      </c>
    </row>
    <row r="43" spans="1:8">
      <c r="A43" s="230">
        <v>202306</v>
      </c>
      <c r="B43" s="230" t="s">
        <v>5051</v>
      </c>
      <c r="C43" s="230" t="s">
        <v>5051</v>
      </c>
      <c r="D43" s="230" t="s">
        <v>5091</v>
      </c>
      <c r="E43" s="230">
        <v>500000</v>
      </c>
      <c r="F43" s="230">
        <v>16001.579999999958</v>
      </c>
      <c r="G43" s="230">
        <f>F43*0</f>
        <v>0</v>
      </c>
      <c r="H43" s="230">
        <v>0</v>
      </c>
    </row>
    <row r="46" spans="1:8" ht="13">
      <c r="A46" s="226" t="s">
        <v>5153</v>
      </c>
    </row>
    <row r="47" spans="1:8">
      <c r="A47" s="227" t="s">
        <v>5154</v>
      </c>
      <c r="B47" s="227" t="s">
        <v>5155</v>
      </c>
    </row>
    <row r="48" spans="1:8" ht="13">
      <c r="A48" s="229" t="s">
        <v>4977</v>
      </c>
      <c r="B48" s="229" t="s">
        <v>2240</v>
      </c>
      <c r="C48" s="229" t="s">
        <v>5044</v>
      </c>
      <c r="D48" s="229" t="s">
        <v>101</v>
      </c>
      <c r="E48" s="229" t="s">
        <v>4982</v>
      </c>
      <c r="F48" s="229" t="s">
        <v>5143</v>
      </c>
      <c r="G48" s="229" t="s">
        <v>5152</v>
      </c>
      <c r="H48" s="229" t="s">
        <v>4044</v>
      </c>
    </row>
    <row r="49" spans="1:8">
      <c r="A49" s="230">
        <v>202306</v>
      </c>
      <c r="B49" s="230" t="s">
        <v>4984</v>
      </c>
      <c r="C49" s="230" t="s">
        <v>5045</v>
      </c>
      <c r="D49" s="230" t="s">
        <v>5091</v>
      </c>
      <c r="E49" s="234">
        <v>4000</v>
      </c>
      <c r="F49" s="230">
        <v>16001.579999999958</v>
      </c>
      <c r="G49" s="234">
        <f>F49*0.8</f>
        <v>12801.263999999966</v>
      </c>
      <c r="H49" s="230">
        <f t="shared" ref="H49:H54" si="0">G49/E49</f>
        <v>3.2003159999999915</v>
      </c>
    </row>
    <row r="50" spans="1:8">
      <c r="A50" s="230">
        <v>202306</v>
      </c>
      <c r="B50" s="230" t="s">
        <v>4984</v>
      </c>
      <c r="C50" s="230" t="s">
        <v>5047</v>
      </c>
      <c r="D50" s="230" t="s">
        <v>5091</v>
      </c>
      <c r="E50" s="230">
        <v>2000</v>
      </c>
      <c r="F50" s="230">
        <v>16001.579999999958</v>
      </c>
      <c r="G50" s="230">
        <f>F50*0.15</f>
        <v>2400.2369999999937</v>
      </c>
      <c r="H50" s="230">
        <f t="shared" si="0"/>
        <v>1.2001184999999968</v>
      </c>
    </row>
    <row r="51" spans="1:8">
      <c r="A51" s="230">
        <v>202306</v>
      </c>
      <c r="B51" s="230" t="s">
        <v>4986</v>
      </c>
      <c r="C51" s="230" t="s">
        <v>4986</v>
      </c>
      <c r="D51" s="230" t="s">
        <v>5091</v>
      </c>
      <c r="E51" s="230">
        <v>6000</v>
      </c>
      <c r="F51" s="230">
        <v>16001.579999999958</v>
      </c>
      <c r="G51" s="230">
        <f>F51*0.05</f>
        <v>800.0789999999979</v>
      </c>
      <c r="H51" s="230">
        <f t="shared" si="0"/>
        <v>0.13334649999999965</v>
      </c>
    </row>
    <row r="52" spans="1:8">
      <c r="A52" s="230">
        <v>202306</v>
      </c>
      <c r="B52" s="230" t="s">
        <v>5048</v>
      </c>
      <c r="C52" s="230" t="s">
        <v>5049</v>
      </c>
      <c r="D52" s="230" t="s">
        <v>5091</v>
      </c>
      <c r="E52" s="230">
        <v>6000</v>
      </c>
      <c r="F52" s="230">
        <v>16001.579999999958</v>
      </c>
      <c r="G52" s="230">
        <f>F52*0</f>
        <v>0</v>
      </c>
      <c r="H52" s="230">
        <f t="shared" si="0"/>
        <v>0</v>
      </c>
    </row>
    <row r="53" spans="1:8">
      <c r="A53" s="230">
        <v>202306</v>
      </c>
      <c r="B53" s="230" t="s">
        <v>5048</v>
      </c>
      <c r="C53" s="230" t="s">
        <v>5050</v>
      </c>
      <c r="D53" s="230" t="s">
        <v>5091</v>
      </c>
      <c r="E53" s="230">
        <v>2000</v>
      </c>
      <c r="F53" s="230">
        <v>16001.579999999958</v>
      </c>
      <c r="G53" s="230">
        <f>F53*0</f>
        <v>0</v>
      </c>
      <c r="H53" s="230">
        <f t="shared" si="0"/>
        <v>0</v>
      </c>
    </row>
    <row r="54" spans="1:8">
      <c r="A54" s="230">
        <v>202306</v>
      </c>
      <c r="B54" s="230" t="s">
        <v>5051</v>
      </c>
      <c r="C54" s="230" t="s">
        <v>5051</v>
      </c>
      <c r="D54" s="230" t="s">
        <v>5091</v>
      </c>
      <c r="E54" s="230">
        <v>500000</v>
      </c>
      <c r="F54" s="230">
        <v>16001.579999999958</v>
      </c>
      <c r="G54" s="230">
        <f>F54*0</f>
        <v>0</v>
      </c>
      <c r="H54" s="230">
        <f t="shared" si="0"/>
        <v>0</v>
      </c>
    </row>
    <row r="58" spans="1:8">
      <c r="A58" s="227" t="s">
        <v>5156</v>
      </c>
    </row>
    <row r="59" spans="1:8">
      <c r="A59" s="227" t="s">
        <v>5062</v>
      </c>
    </row>
    <row r="60" spans="1:8">
      <c r="A60" s="227" t="s">
        <v>5063</v>
      </c>
    </row>
    <row r="61" spans="1:8" ht="13">
      <c r="A61" s="229" t="s">
        <v>5157</v>
      </c>
      <c r="B61" s="229" t="s">
        <v>1415</v>
      </c>
      <c r="C61" s="229" t="s">
        <v>5064</v>
      </c>
      <c r="D61" s="229" t="s">
        <v>101</v>
      </c>
      <c r="E61" s="229" t="s">
        <v>5065</v>
      </c>
      <c r="F61" s="229" t="s">
        <v>5158</v>
      </c>
    </row>
    <row r="62" spans="1:8">
      <c r="A62" s="230">
        <v>202306</v>
      </c>
      <c r="B62" s="230">
        <v>1</v>
      </c>
      <c r="C62" s="230" t="s">
        <v>4984</v>
      </c>
      <c r="D62" s="230" t="s">
        <v>5091</v>
      </c>
      <c r="E62" s="230" t="s">
        <v>5045</v>
      </c>
      <c r="F62" s="230">
        <v>3.2003159999999915</v>
      </c>
    </row>
    <row r="63" spans="1:8">
      <c r="A63" s="230">
        <v>202306</v>
      </c>
      <c r="B63" s="230">
        <v>2</v>
      </c>
      <c r="C63" s="230" t="s">
        <v>4984</v>
      </c>
      <c r="D63" s="230" t="s">
        <v>5091</v>
      </c>
      <c r="E63" s="230" t="s">
        <v>5045</v>
      </c>
      <c r="F63" s="230">
        <v>3.2003159999999915</v>
      </c>
    </row>
    <row r="64" spans="1:8">
      <c r="A64" s="230">
        <v>202306</v>
      </c>
      <c r="B64" s="230">
        <v>3</v>
      </c>
      <c r="C64" s="230" t="s">
        <v>4984</v>
      </c>
      <c r="D64" s="230" t="s">
        <v>5091</v>
      </c>
      <c r="E64" s="230" t="s">
        <v>5045</v>
      </c>
      <c r="F64" s="230">
        <v>3.2003159999999915</v>
      </c>
    </row>
    <row r="65" spans="1:6">
      <c r="A65" s="230">
        <v>202306</v>
      </c>
      <c r="B65" s="230">
        <v>4</v>
      </c>
      <c r="C65" s="230" t="s">
        <v>4984</v>
      </c>
      <c r="D65" s="230" t="s">
        <v>5066</v>
      </c>
      <c r="E65" s="230" t="s">
        <v>5045</v>
      </c>
      <c r="F65" s="230">
        <v>0</v>
      </c>
    </row>
  </sheetData>
  <mergeCells count="3">
    <mergeCell ref="B13:K13"/>
    <mergeCell ref="B14:E14"/>
    <mergeCell ref="A36:E3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DB5C-7319-4C4D-8941-4634B92164E4}">
  <dimension ref="D2:I26"/>
  <sheetViews>
    <sheetView topLeftCell="A12" workbookViewId="0">
      <selection activeCell="D18" sqref="D18:E19"/>
    </sheetView>
  </sheetViews>
  <sheetFormatPr defaultRowHeight="14.5"/>
  <cols>
    <col min="4" max="4" width="15.54296875" customWidth="1"/>
    <col min="5" max="5" width="18.1796875" bestFit="1" customWidth="1"/>
    <col min="6" max="6" width="22.453125" customWidth="1"/>
    <col min="7" max="7" width="18.54296875" customWidth="1"/>
    <col min="8" max="8" width="28.1796875" bestFit="1" customWidth="1"/>
    <col min="9" max="9" width="31.81640625" bestFit="1" customWidth="1"/>
  </cols>
  <sheetData>
    <row r="2" spans="4:9" ht="15" thickBot="1">
      <c r="D2" s="24" t="s">
        <v>5159</v>
      </c>
    </row>
    <row r="3" spans="4:9" ht="15" customHeight="1">
      <c r="D3" s="344" t="s">
        <v>911</v>
      </c>
      <c r="E3" s="345" t="s">
        <v>312</v>
      </c>
      <c r="F3" s="345" t="s">
        <v>5160</v>
      </c>
      <c r="G3" s="345" t="s">
        <v>5161</v>
      </c>
      <c r="H3" s="345" t="s">
        <v>5162</v>
      </c>
      <c r="I3" s="346" t="s">
        <v>5163</v>
      </c>
    </row>
    <row r="4" spans="4:9" ht="15" customHeight="1">
      <c r="D4" s="347">
        <v>45658</v>
      </c>
      <c r="E4" s="340" t="s">
        <v>5164</v>
      </c>
      <c r="F4" s="340">
        <v>0</v>
      </c>
      <c r="G4" s="340">
        <v>0</v>
      </c>
      <c r="H4" s="340">
        <v>0</v>
      </c>
      <c r="I4" s="341">
        <v>0</v>
      </c>
    </row>
    <row r="5" spans="4:9" ht="15" customHeight="1">
      <c r="D5" s="347">
        <v>45689</v>
      </c>
      <c r="E5" s="340" t="s">
        <v>5164</v>
      </c>
      <c r="F5" s="340">
        <v>0</v>
      </c>
      <c r="G5" s="340">
        <v>0</v>
      </c>
      <c r="H5" s="340">
        <v>0</v>
      </c>
      <c r="I5" s="341">
        <v>0</v>
      </c>
    </row>
    <row r="6" spans="4:9" ht="15" customHeight="1">
      <c r="D6" s="347">
        <v>45717</v>
      </c>
      <c r="E6" s="340" t="s">
        <v>5164</v>
      </c>
      <c r="F6" s="340">
        <v>0</v>
      </c>
      <c r="G6" s="340">
        <v>0</v>
      </c>
      <c r="H6" s="340">
        <v>0</v>
      </c>
      <c r="I6" s="341">
        <v>0</v>
      </c>
    </row>
    <row r="7" spans="4:9" ht="15" customHeight="1">
      <c r="D7" s="347">
        <v>45748</v>
      </c>
      <c r="E7" s="340" t="s">
        <v>5164</v>
      </c>
      <c r="F7" s="340">
        <v>-3</v>
      </c>
      <c r="G7" s="340">
        <v>1</v>
      </c>
      <c r="H7" s="340">
        <v>0</v>
      </c>
      <c r="I7" s="341" t="s">
        <v>5165</v>
      </c>
    </row>
    <row r="8" spans="4:9" ht="15" customHeight="1" thickBot="1">
      <c r="D8" s="347">
        <v>45778</v>
      </c>
      <c r="E8" s="399" t="s">
        <v>5164</v>
      </c>
      <c r="F8" s="399">
        <v>-56</v>
      </c>
      <c r="G8" s="340">
        <v>1</v>
      </c>
      <c r="H8" s="340">
        <v>1</v>
      </c>
      <c r="I8" s="341" t="s">
        <v>5166</v>
      </c>
    </row>
    <row r="9" spans="4:9" ht="15" customHeight="1" thickBot="1">
      <c r="D9" s="397">
        <v>45809</v>
      </c>
      <c r="E9" s="400" t="s">
        <v>5164</v>
      </c>
      <c r="F9" s="401">
        <v>21.43</v>
      </c>
      <c r="G9" s="398">
        <v>0</v>
      </c>
      <c r="H9" s="342">
        <v>0</v>
      </c>
      <c r="I9" s="343">
        <v>0</v>
      </c>
    </row>
    <row r="12" spans="4:9">
      <c r="D12" t="s">
        <v>5167</v>
      </c>
    </row>
    <row r="13" spans="4:9" ht="15" thickBot="1"/>
    <row r="14" spans="4:9" ht="30" customHeight="1" thickBot="1">
      <c r="D14" s="495" t="s">
        <v>911</v>
      </c>
      <c r="E14" s="496" t="s">
        <v>5168</v>
      </c>
      <c r="F14" s="497" t="s">
        <v>5169</v>
      </c>
      <c r="G14" s="498"/>
      <c r="H14" s="498"/>
      <c r="I14" s="498"/>
    </row>
    <row r="15" spans="4:9">
      <c r="D15" s="499">
        <v>45658</v>
      </c>
      <c r="E15" s="500" t="s">
        <v>5170</v>
      </c>
      <c r="F15" s="501">
        <v>0</v>
      </c>
      <c r="G15" s="76"/>
      <c r="H15" s="76"/>
      <c r="I15" s="76"/>
    </row>
    <row r="16" spans="4:9">
      <c r="D16" s="347">
        <v>45689</v>
      </c>
      <c r="E16" s="340" t="s">
        <v>5170</v>
      </c>
      <c r="F16" s="340">
        <v>0</v>
      </c>
      <c r="G16" s="76"/>
      <c r="H16" s="76"/>
      <c r="I16" s="76"/>
    </row>
    <row r="17" spans="4:9">
      <c r="D17" s="347">
        <v>45717</v>
      </c>
      <c r="E17" s="340" t="s">
        <v>5170</v>
      </c>
      <c r="F17" s="340">
        <v>0</v>
      </c>
      <c r="G17" s="76"/>
      <c r="H17" s="76"/>
      <c r="I17" s="76"/>
    </row>
    <row r="18" spans="4:9">
      <c r="D18" s="347">
        <v>45748</v>
      </c>
      <c r="E18" s="340" t="s">
        <v>5170</v>
      </c>
      <c r="F18" s="340">
        <v>-3</v>
      </c>
      <c r="G18" s="76"/>
      <c r="H18" s="76"/>
      <c r="I18" s="76"/>
    </row>
    <row r="19" spans="4:9">
      <c r="D19" s="347">
        <v>45778</v>
      </c>
      <c r="E19" s="340" t="s">
        <v>5170</v>
      </c>
      <c r="F19" s="340">
        <v>-56</v>
      </c>
      <c r="G19" s="76"/>
      <c r="H19" s="76"/>
      <c r="I19" s="76"/>
    </row>
    <row r="20" spans="4:9" ht="15" thickBot="1">
      <c r="D20" s="502">
        <v>45809</v>
      </c>
      <c r="E20" s="342" t="s">
        <v>5170</v>
      </c>
      <c r="F20" s="503">
        <v>21.43</v>
      </c>
      <c r="G20" s="76"/>
      <c r="H20" s="76"/>
      <c r="I20" s="76"/>
    </row>
    <row r="22" spans="4:9">
      <c r="D22" s="24" t="s">
        <v>5171</v>
      </c>
      <c r="E22" t="s">
        <v>5172</v>
      </c>
    </row>
    <row r="23" spans="4:9" ht="15" thickBot="1"/>
    <row r="24" spans="4:9" ht="29.5" thickBot="1">
      <c r="D24" s="504" t="s">
        <v>911</v>
      </c>
      <c r="E24" s="505" t="s">
        <v>5168</v>
      </c>
      <c r="F24" s="506" t="s">
        <v>5169</v>
      </c>
      <c r="G24" s="506" t="s">
        <v>5161</v>
      </c>
      <c r="H24" s="506" t="s">
        <v>5162</v>
      </c>
      <c r="I24" s="507" t="s">
        <v>5163</v>
      </c>
    </row>
    <row r="25" spans="4:9">
      <c r="D25" s="499">
        <v>45748</v>
      </c>
      <c r="E25" s="508" t="s">
        <v>5170</v>
      </c>
      <c r="F25" s="509">
        <v>-3</v>
      </c>
      <c r="G25" s="508">
        <v>1</v>
      </c>
      <c r="H25" s="508">
        <v>0</v>
      </c>
      <c r="I25" s="510" t="s">
        <v>5165</v>
      </c>
    </row>
    <row r="26" spans="4:9" ht="15" thickBot="1">
      <c r="D26" s="502">
        <v>45778</v>
      </c>
      <c r="E26" s="342" t="s">
        <v>5170</v>
      </c>
      <c r="F26" s="398">
        <v>-56</v>
      </c>
      <c r="G26" s="342">
        <v>1</v>
      </c>
      <c r="H26" s="342">
        <v>1</v>
      </c>
      <c r="I26" s="343" t="s">
        <v>5166</v>
      </c>
    </row>
  </sheetData>
  <phoneticPr fontId="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FE81A-B8DA-42F7-A856-B009CD7C15B6}">
  <dimension ref="C5:J18"/>
  <sheetViews>
    <sheetView topLeftCell="A4" workbookViewId="0">
      <selection activeCell="I17" sqref="I17:I18"/>
    </sheetView>
  </sheetViews>
  <sheetFormatPr defaultRowHeight="14.5"/>
  <cols>
    <col min="3" max="3" width="16.81640625" customWidth="1"/>
    <col min="4" max="4" width="10.1796875" bestFit="1" customWidth="1"/>
    <col min="5" max="5" width="19.81640625" customWidth="1"/>
    <col min="6" max="6" width="9.54296875" bestFit="1" customWidth="1"/>
    <col min="7" max="7" width="10.81640625" bestFit="1" customWidth="1"/>
  </cols>
  <sheetData>
    <row r="5" spans="3:10">
      <c r="C5" t="s">
        <v>5173</v>
      </c>
    </row>
    <row r="7" spans="3:10">
      <c r="C7" s="430" t="s">
        <v>87</v>
      </c>
      <c r="D7" s="430" t="s">
        <v>92</v>
      </c>
      <c r="E7" s="430" t="s">
        <v>5174</v>
      </c>
      <c r="F7" s="430" t="s">
        <v>5174</v>
      </c>
      <c r="G7" s="430" t="s">
        <v>380</v>
      </c>
      <c r="H7" s="430" t="s">
        <v>5175</v>
      </c>
      <c r="I7" s="430" t="s">
        <v>5176</v>
      </c>
      <c r="J7" s="430" t="s">
        <v>5177</v>
      </c>
    </row>
    <row r="8" spans="3:10">
      <c r="C8">
        <v>202511</v>
      </c>
      <c r="D8" t="s">
        <v>5178</v>
      </c>
      <c r="G8" t="s">
        <v>5179</v>
      </c>
      <c r="H8">
        <v>2</v>
      </c>
      <c r="I8">
        <v>10</v>
      </c>
      <c r="J8">
        <v>1</v>
      </c>
    </row>
    <row r="9" spans="3:10">
      <c r="C9">
        <v>202511</v>
      </c>
      <c r="D9" t="s">
        <v>5178</v>
      </c>
      <c r="G9" t="s">
        <v>5109</v>
      </c>
      <c r="H9">
        <v>2</v>
      </c>
      <c r="I9">
        <v>15</v>
      </c>
      <c r="J9">
        <v>1</v>
      </c>
    </row>
    <row r="12" spans="3:10">
      <c r="C12" t="s">
        <v>5180</v>
      </c>
    </row>
    <row r="14" spans="3:10">
      <c r="C14" s="430" t="s">
        <v>87</v>
      </c>
      <c r="D14" s="430" t="s">
        <v>92</v>
      </c>
      <c r="E14" s="430" t="s">
        <v>5181</v>
      </c>
      <c r="F14" s="430" t="s">
        <v>5174</v>
      </c>
      <c r="G14" s="430" t="s">
        <v>5174</v>
      </c>
      <c r="H14" s="430" t="s">
        <v>380</v>
      </c>
      <c r="I14" s="430" t="s">
        <v>5182</v>
      </c>
      <c r="J14" s="430" t="s">
        <v>5177</v>
      </c>
    </row>
    <row r="15" spans="3:10">
      <c r="C15">
        <v>202511</v>
      </c>
      <c r="D15" t="s">
        <v>5178</v>
      </c>
      <c r="E15" t="s">
        <v>5183</v>
      </c>
      <c r="H15" t="s">
        <v>5179</v>
      </c>
      <c r="I15">
        <f>I8/H8</f>
        <v>5</v>
      </c>
      <c r="J15">
        <f>J8/H8</f>
        <v>0.5</v>
      </c>
    </row>
    <row r="16" spans="3:10">
      <c r="C16">
        <v>202511</v>
      </c>
      <c r="D16" t="s">
        <v>5178</v>
      </c>
      <c r="E16" t="s">
        <v>5184</v>
      </c>
      <c r="H16" t="s">
        <v>5179</v>
      </c>
      <c r="I16">
        <f>I8/H8</f>
        <v>5</v>
      </c>
      <c r="J16">
        <f>J8/H8</f>
        <v>0.5</v>
      </c>
    </row>
    <row r="17" spans="3:10">
      <c r="C17">
        <v>202511</v>
      </c>
      <c r="D17" t="s">
        <v>5178</v>
      </c>
      <c r="E17" t="s">
        <v>5185</v>
      </c>
      <c r="H17" t="s">
        <v>5109</v>
      </c>
      <c r="I17">
        <f>I9/H9</f>
        <v>7.5</v>
      </c>
      <c r="J17">
        <f>J9/H9</f>
        <v>0.5</v>
      </c>
    </row>
    <row r="18" spans="3:10">
      <c r="C18">
        <v>202511</v>
      </c>
      <c r="D18" t="s">
        <v>5178</v>
      </c>
      <c r="E18" t="s">
        <v>5186</v>
      </c>
      <c r="H18" t="s">
        <v>5109</v>
      </c>
      <c r="I18">
        <f>I9/H9</f>
        <v>7.5</v>
      </c>
      <c r="J18">
        <f>J9/H9</f>
        <v>0.5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7C656-B954-4544-B9FE-E1D976DE87EB}">
  <dimension ref="A1:E126"/>
  <sheetViews>
    <sheetView workbookViewId="0">
      <pane ySplit="1" topLeftCell="A110" activePane="bottomLeft" state="frozen"/>
      <selection pane="bottomLeft" activeCell="A112" sqref="A112"/>
    </sheetView>
  </sheetViews>
  <sheetFormatPr defaultRowHeight="14.5"/>
  <cols>
    <col min="1" max="1" width="26.453125" bestFit="1" customWidth="1"/>
    <col min="2" max="2" width="31.81640625" bestFit="1" customWidth="1"/>
    <col min="3" max="3" width="31.81640625" customWidth="1"/>
    <col min="4" max="4" width="48.453125" bestFit="1" customWidth="1"/>
    <col min="5" max="5" width="51.1796875" bestFit="1" customWidth="1"/>
  </cols>
  <sheetData>
    <row r="1" spans="1:5">
      <c r="A1" s="25" t="s">
        <v>5187</v>
      </c>
      <c r="B1" s="28" t="s">
        <v>5188</v>
      </c>
      <c r="C1" s="28" t="s">
        <v>5189</v>
      </c>
      <c r="D1" s="24" t="s">
        <v>5190</v>
      </c>
      <c r="E1" s="24" t="s">
        <v>5191</v>
      </c>
    </row>
    <row r="2" spans="1:5">
      <c r="A2" s="19" t="s">
        <v>5192</v>
      </c>
      <c r="B2" s="19"/>
      <c r="C2" s="19"/>
      <c r="D2" s="12" t="s">
        <v>1136</v>
      </c>
      <c r="E2" s="10" t="s">
        <v>3099</v>
      </c>
    </row>
    <row r="3" spans="1:5" hidden="1">
      <c r="A3" s="19" t="s">
        <v>5193</v>
      </c>
      <c r="B3" s="29"/>
      <c r="C3" s="29"/>
    </row>
    <row r="4" spans="1:5" hidden="1">
      <c r="A4" s="19" t="s">
        <v>157</v>
      </c>
      <c r="B4" s="29"/>
      <c r="C4" s="29"/>
    </row>
    <row r="5" spans="1:5" hidden="1">
      <c r="A5" s="19" t="s">
        <v>165</v>
      </c>
      <c r="B5" s="29"/>
      <c r="C5" s="29"/>
    </row>
    <row r="6" spans="1:5" hidden="1">
      <c r="A6" s="19" t="s">
        <v>159</v>
      </c>
      <c r="B6" s="29"/>
      <c r="C6" s="29"/>
    </row>
    <row r="7" spans="1:5" hidden="1">
      <c r="A7" s="20" t="s">
        <v>357</v>
      </c>
      <c r="B7" s="30"/>
      <c r="C7" s="30"/>
    </row>
    <row r="8" spans="1:5" hidden="1">
      <c r="A8" s="19" t="s">
        <v>161</v>
      </c>
      <c r="B8" s="29"/>
      <c r="C8" s="29"/>
    </row>
    <row r="9" spans="1:5" hidden="1">
      <c r="A9" s="19" t="s">
        <v>163</v>
      </c>
      <c r="B9" s="29"/>
      <c r="C9" s="29"/>
    </row>
    <row r="10" spans="1:5" hidden="1">
      <c r="A10" s="19" t="s">
        <v>3534</v>
      </c>
      <c r="B10" s="29"/>
      <c r="C10" s="29"/>
    </row>
    <row r="11" spans="1:5" hidden="1">
      <c r="A11" s="19" t="s">
        <v>3537</v>
      </c>
      <c r="B11" s="29"/>
      <c r="C11" s="29"/>
    </row>
    <row r="12" spans="1:5" hidden="1">
      <c r="A12" s="19" t="s">
        <v>3539</v>
      </c>
      <c r="B12" s="29"/>
      <c r="C12" s="29"/>
    </row>
    <row r="13" spans="1:5" hidden="1">
      <c r="A13" s="19" t="s">
        <v>3541</v>
      </c>
      <c r="B13" s="29"/>
      <c r="C13" s="29"/>
    </row>
    <row r="14" spans="1:5" hidden="1">
      <c r="A14" s="19" t="s">
        <v>5194</v>
      </c>
      <c r="B14" s="29"/>
      <c r="C14" s="29"/>
    </row>
    <row r="15" spans="1:5" hidden="1">
      <c r="A15" s="19" t="s">
        <v>186</v>
      </c>
      <c r="B15" s="29"/>
      <c r="C15" s="29"/>
    </row>
    <row r="16" spans="1:5" hidden="1">
      <c r="A16" s="19" t="s">
        <v>187</v>
      </c>
      <c r="B16" s="29"/>
      <c r="C16" s="29"/>
    </row>
    <row r="17" spans="1:3" hidden="1">
      <c r="A17" s="19" t="s">
        <v>188</v>
      </c>
      <c r="B17" s="29"/>
      <c r="C17" s="29"/>
    </row>
    <row r="18" spans="1:3" hidden="1">
      <c r="A18" s="19" t="s">
        <v>189</v>
      </c>
      <c r="B18" s="29"/>
      <c r="C18" s="29"/>
    </row>
    <row r="19" spans="1:3" hidden="1">
      <c r="A19" s="19" t="s">
        <v>193</v>
      </c>
      <c r="B19" s="29"/>
      <c r="C19" s="29"/>
    </row>
    <row r="20" spans="1:3" hidden="1">
      <c r="A20" s="19" t="s">
        <v>194</v>
      </c>
      <c r="B20" s="29"/>
      <c r="C20" s="29"/>
    </row>
    <row r="21" spans="1:3" hidden="1">
      <c r="A21" s="21" t="s">
        <v>195</v>
      </c>
      <c r="B21" s="31"/>
      <c r="C21" s="31"/>
    </row>
    <row r="22" spans="1:3" hidden="1">
      <c r="A22" s="21" t="s">
        <v>196</v>
      </c>
      <c r="B22" s="31"/>
      <c r="C22" s="31"/>
    </row>
    <row r="23" spans="1:3" hidden="1">
      <c r="A23" s="21" t="s">
        <v>3553</v>
      </c>
      <c r="B23" s="31"/>
      <c r="C23" s="31"/>
    </row>
    <row r="24" spans="1:3" hidden="1">
      <c r="A24" s="21" t="s">
        <v>3555</v>
      </c>
      <c r="B24" s="31"/>
      <c r="C24" s="31"/>
    </row>
    <row r="25" spans="1:3" hidden="1">
      <c r="A25" s="21" t="s">
        <v>3557</v>
      </c>
      <c r="B25" s="31"/>
      <c r="C25" s="31"/>
    </row>
    <row r="26" spans="1:3" hidden="1">
      <c r="A26" s="21" t="s">
        <v>3559</v>
      </c>
      <c r="B26" s="31"/>
      <c r="C26" s="31"/>
    </row>
    <row r="27" spans="1:3" hidden="1">
      <c r="A27" s="21" t="s">
        <v>3561</v>
      </c>
      <c r="B27" s="31"/>
      <c r="C27" s="31"/>
    </row>
    <row r="28" spans="1:3" hidden="1">
      <c r="A28" s="21" t="s">
        <v>3563</v>
      </c>
      <c r="B28" s="31"/>
      <c r="C28" s="31"/>
    </row>
    <row r="29" spans="1:3" hidden="1">
      <c r="A29" s="21" t="s">
        <v>3565</v>
      </c>
      <c r="B29" s="31"/>
      <c r="C29" s="31"/>
    </row>
    <row r="30" spans="1:3" hidden="1">
      <c r="A30" s="21" t="s">
        <v>3567</v>
      </c>
      <c r="B30" s="31"/>
      <c r="C30" s="31"/>
    </row>
    <row r="31" spans="1:3" hidden="1">
      <c r="A31" s="21" t="s">
        <v>3569</v>
      </c>
      <c r="B31" s="31"/>
      <c r="C31" s="31"/>
    </row>
    <row r="32" spans="1:3" hidden="1">
      <c r="A32" s="21" t="s">
        <v>3571</v>
      </c>
      <c r="B32" s="31"/>
      <c r="C32" s="31"/>
    </row>
    <row r="33" spans="1:3" hidden="1">
      <c r="A33" s="21" t="s">
        <v>3573</v>
      </c>
      <c r="B33" s="31"/>
      <c r="C33" s="31"/>
    </row>
    <row r="34" spans="1:3" hidden="1">
      <c r="A34" s="21" t="s">
        <v>3575</v>
      </c>
      <c r="B34" s="31"/>
      <c r="C34" s="31"/>
    </row>
    <row r="35" spans="1:3" hidden="1">
      <c r="A35" s="21" t="s">
        <v>3577</v>
      </c>
      <c r="B35" s="31"/>
      <c r="C35" s="31"/>
    </row>
    <row r="36" spans="1:3" hidden="1">
      <c r="A36" s="21" t="s">
        <v>3579</v>
      </c>
      <c r="B36" s="31"/>
      <c r="C36" s="31"/>
    </row>
    <row r="37" spans="1:3" hidden="1">
      <c r="A37" s="21" t="s">
        <v>3581</v>
      </c>
      <c r="B37" s="31"/>
      <c r="C37" s="31"/>
    </row>
    <row r="38" spans="1:3" hidden="1">
      <c r="A38" s="21" t="s">
        <v>3583</v>
      </c>
      <c r="B38" s="31"/>
      <c r="C38" s="31"/>
    </row>
    <row r="39" spans="1:3" hidden="1">
      <c r="A39" s="21" t="s">
        <v>3585</v>
      </c>
      <c r="B39" s="31"/>
      <c r="C39" s="31"/>
    </row>
    <row r="40" spans="1:3" hidden="1">
      <c r="A40" s="21" t="s">
        <v>3587</v>
      </c>
      <c r="B40" s="31"/>
      <c r="C40" s="31"/>
    </row>
    <row r="41" spans="1:3" hidden="1">
      <c r="A41" s="21" t="s">
        <v>3589</v>
      </c>
      <c r="B41" s="31"/>
      <c r="C41" s="31"/>
    </row>
    <row r="42" spans="1:3" hidden="1">
      <c r="A42" s="21" t="s">
        <v>3591</v>
      </c>
      <c r="B42" s="31"/>
      <c r="C42" s="31"/>
    </row>
    <row r="43" spans="1:3" hidden="1">
      <c r="A43" s="21" t="s">
        <v>3593</v>
      </c>
      <c r="B43" s="31"/>
      <c r="C43" s="31"/>
    </row>
    <row r="44" spans="1:3" hidden="1">
      <c r="A44" s="19" t="s">
        <v>3596</v>
      </c>
      <c r="B44" s="29"/>
      <c r="C44" s="29"/>
    </row>
    <row r="45" spans="1:3" hidden="1">
      <c r="A45" s="19" t="s">
        <v>3598</v>
      </c>
      <c r="B45" s="29"/>
      <c r="C45" s="29"/>
    </row>
    <row r="46" spans="1:3" hidden="1">
      <c r="A46" s="19" t="s">
        <v>3600</v>
      </c>
      <c r="B46" s="29"/>
      <c r="C46" s="29"/>
    </row>
    <row r="47" spans="1:3" hidden="1">
      <c r="A47" s="19" t="s">
        <v>3602</v>
      </c>
      <c r="B47" s="29"/>
      <c r="C47" s="29"/>
    </row>
    <row r="48" spans="1:3" hidden="1">
      <c r="A48" s="19" t="s">
        <v>3604</v>
      </c>
      <c r="B48" s="29"/>
      <c r="C48" s="29"/>
    </row>
    <row r="49" spans="1:5">
      <c r="A49" s="19" t="s">
        <v>3626</v>
      </c>
      <c r="B49" t="s">
        <v>5195</v>
      </c>
      <c r="E49" s="21">
        <v>0</v>
      </c>
    </row>
    <row r="50" spans="1:5">
      <c r="A50" s="19" t="s">
        <v>3629</v>
      </c>
      <c r="B50" t="s">
        <v>5195</v>
      </c>
      <c r="E50" s="21">
        <v>0</v>
      </c>
    </row>
    <row r="51" spans="1:5">
      <c r="A51" s="19" t="s">
        <v>3631</v>
      </c>
      <c r="B51" t="s">
        <v>5195</v>
      </c>
      <c r="E51" s="21">
        <v>0</v>
      </c>
    </row>
    <row r="52" spans="1:5">
      <c r="A52" s="19" t="s">
        <v>3633</v>
      </c>
      <c r="B52" t="s">
        <v>5195</v>
      </c>
      <c r="E52" s="21">
        <v>0</v>
      </c>
    </row>
    <row r="53" spans="1:5">
      <c r="A53" s="19" t="s">
        <v>3635</v>
      </c>
      <c r="B53" t="s">
        <v>5195</v>
      </c>
      <c r="E53" s="21">
        <v>0</v>
      </c>
    </row>
    <row r="54" spans="1:5">
      <c r="A54" s="19" t="s">
        <v>3637</v>
      </c>
      <c r="B54" t="s">
        <v>5195</v>
      </c>
      <c r="E54" s="21">
        <v>0</v>
      </c>
    </row>
    <row r="55" spans="1:5">
      <c r="A55" s="19" t="s">
        <v>3639</v>
      </c>
      <c r="B55" t="s">
        <v>5195</v>
      </c>
      <c r="E55" s="21">
        <v>0</v>
      </c>
    </row>
    <row r="56" spans="1:5">
      <c r="A56" s="19" t="s">
        <v>3641</v>
      </c>
      <c r="B56" t="s">
        <v>5195</v>
      </c>
      <c r="E56" s="21">
        <v>0</v>
      </c>
    </row>
    <row r="57" spans="1:5">
      <c r="A57" s="19" t="s">
        <v>3643</v>
      </c>
      <c r="B57" t="s">
        <v>5195</v>
      </c>
      <c r="E57" s="21">
        <v>0</v>
      </c>
    </row>
    <row r="58" spans="1:5">
      <c r="A58" s="19" t="s">
        <v>3645</v>
      </c>
      <c r="B58" t="s">
        <v>5195</v>
      </c>
      <c r="E58" s="21">
        <v>0</v>
      </c>
    </row>
    <row r="59" spans="1:5">
      <c r="A59" s="19" t="s">
        <v>3647</v>
      </c>
      <c r="B59" t="s">
        <v>5195</v>
      </c>
      <c r="E59" s="21">
        <v>0</v>
      </c>
    </row>
    <row r="60" spans="1:5">
      <c r="A60" s="19" t="s">
        <v>3649</v>
      </c>
      <c r="B60" t="s">
        <v>5195</v>
      </c>
      <c r="E60" s="21">
        <v>0</v>
      </c>
    </row>
    <row r="61" spans="1:5">
      <c r="A61" s="27" t="s">
        <v>3654</v>
      </c>
      <c r="B61" s="27" t="s">
        <v>3655</v>
      </c>
      <c r="C61" s="35" t="s">
        <v>5196</v>
      </c>
      <c r="D61" s="36"/>
      <c r="E61" s="27" t="s">
        <v>3654</v>
      </c>
    </row>
    <row r="62" spans="1:5">
      <c r="A62" s="19" t="s">
        <v>4942</v>
      </c>
      <c r="B62" s="29" t="s">
        <v>93</v>
      </c>
      <c r="C62" s="29"/>
      <c r="D62" s="12" t="s">
        <v>1136</v>
      </c>
      <c r="E62" s="9" t="s">
        <v>3143</v>
      </c>
    </row>
    <row r="63" spans="1:5">
      <c r="A63" s="19" t="s">
        <v>4947</v>
      </c>
      <c r="B63" s="29" t="s">
        <v>93</v>
      </c>
      <c r="C63" s="29"/>
      <c r="D63" s="12" t="s">
        <v>1136</v>
      </c>
      <c r="E63" s="9" t="s">
        <v>3167</v>
      </c>
    </row>
    <row r="64" spans="1:5">
      <c r="A64" s="27" t="s">
        <v>3662</v>
      </c>
      <c r="B64" s="27" t="s">
        <v>3663</v>
      </c>
      <c r="C64" s="35" t="s">
        <v>5197</v>
      </c>
      <c r="D64" s="36"/>
      <c r="E64" s="36"/>
    </row>
    <row r="65" spans="1:5">
      <c r="A65" s="19" t="s">
        <v>4945</v>
      </c>
      <c r="B65" s="29"/>
      <c r="C65" s="29"/>
      <c r="D65" s="12" t="s">
        <v>1136</v>
      </c>
      <c r="E65" s="9" t="s">
        <v>282</v>
      </c>
    </row>
    <row r="66" spans="1:5">
      <c r="A66" s="19" t="s">
        <v>4944</v>
      </c>
      <c r="B66" s="29"/>
      <c r="C66" s="29"/>
      <c r="D66" s="12" t="s">
        <v>1136</v>
      </c>
      <c r="E66" s="9" t="s">
        <v>285</v>
      </c>
    </row>
    <row r="67" spans="1:5">
      <c r="A67" s="19" t="s">
        <v>4943</v>
      </c>
      <c r="B67" s="29"/>
      <c r="C67" s="29"/>
      <c r="D67" s="12" t="s">
        <v>1136</v>
      </c>
      <c r="E67" s="9" t="s">
        <v>284</v>
      </c>
    </row>
    <row r="68" spans="1:5">
      <c r="A68" s="27" t="s">
        <v>3673</v>
      </c>
      <c r="B68" s="37" t="s">
        <v>3674</v>
      </c>
      <c r="C68" s="37" t="s">
        <v>5198</v>
      </c>
      <c r="D68" s="26"/>
      <c r="E68" s="35"/>
    </row>
    <row r="69" spans="1:5">
      <c r="A69" s="19" t="s">
        <v>4950</v>
      </c>
      <c r="B69" s="29"/>
      <c r="C69" s="9"/>
      <c r="D69" s="12" t="s">
        <v>1136</v>
      </c>
      <c r="E69" s="9" t="s">
        <v>136</v>
      </c>
    </row>
    <row r="70" spans="1:5">
      <c r="A70" s="19" t="s">
        <v>4949</v>
      </c>
      <c r="B70" s="29"/>
      <c r="C70" s="9"/>
      <c r="D70" s="12" t="s">
        <v>1136</v>
      </c>
      <c r="E70" s="9" t="s">
        <v>138</v>
      </c>
    </row>
    <row r="71" spans="1:5">
      <c r="A71" s="19" t="s">
        <v>4948</v>
      </c>
      <c r="B71" s="29"/>
      <c r="C71" s="9"/>
      <c r="D71" s="12" t="s">
        <v>1136</v>
      </c>
      <c r="E71" s="9" t="s">
        <v>140</v>
      </c>
    </row>
    <row r="72" spans="1:5">
      <c r="A72" s="19" t="s">
        <v>4946</v>
      </c>
      <c r="B72" s="29"/>
      <c r="C72" s="29"/>
    </row>
    <row r="73" spans="1:5">
      <c r="A73" s="22" t="s">
        <v>229</v>
      </c>
      <c r="B73" s="32"/>
      <c r="C73" s="32"/>
    </row>
    <row r="74" spans="1:5">
      <c r="A74" s="22" t="s">
        <v>230</v>
      </c>
      <c r="B74" s="32"/>
      <c r="C74" s="32"/>
    </row>
    <row r="75" spans="1:5">
      <c r="A75" s="22" t="s">
        <v>231</v>
      </c>
      <c r="B75" s="32"/>
      <c r="C75" s="32"/>
    </row>
    <row r="76" spans="1:5">
      <c r="A76" s="22" t="s">
        <v>232</v>
      </c>
      <c r="B76" s="32"/>
      <c r="C76" s="32"/>
    </row>
    <row r="77" spans="1:5">
      <c r="A77" s="14" t="s">
        <v>250</v>
      </c>
      <c r="B77" s="18"/>
      <c r="C77" s="18"/>
    </row>
    <row r="78" spans="1:5">
      <c r="A78" s="17" t="s">
        <v>256</v>
      </c>
      <c r="B78" s="33"/>
      <c r="C78" s="33"/>
    </row>
    <row r="79" spans="1:5">
      <c r="A79" s="22" t="s">
        <v>228</v>
      </c>
      <c r="B79" s="32"/>
      <c r="C79" s="32"/>
    </row>
    <row r="80" spans="1:5">
      <c r="A80" s="19" t="s">
        <v>3700</v>
      </c>
      <c r="B80" s="29"/>
      <c r="C80" s="29"/>
    </row>
    <row r="81" spans="1:3">
      <c r="A81" s="19" t="s">
        <v>3703</v>
      </c>
      <c r="B81" s="29"/>
      <c r="C81" s="29"/>
    </row>
    <row r="82" spans="1:3">
      <c r="A82" s="19" t="s">
        <v>3706</v>
      </c>
      <c r="B82" s="29"/>
      <c r="C82" s="29"/>
    </row>
    <row r="83" spans="1:3">
      <c r="A83" s="19" t="s">
        <v>3709</v>
      </c>
      <c r="B83" s="29"/>
      <c r="C83" s="29"/>
    </row>
    <row r="84" spans="1:3">
      <c r="A84" s="19" t="s">
        <v>3712</v>
      </c>
      <c r="B84" s="29"/>
      <c r="C84" s="29"/>
    </row>
    <row r="85" spans="1:3">
      <c r="A85" s="19" t="s">
        <v>3715</v>
      </c>
      <c r="B85" s="29"/>
      <c r="C85" s="29"/>
    </row>
    <row r="86" spans="1:3">
      <c r="A86" s="19" t="s">
        <v>3718</v>
      </c>
      <c r="B86" s="29"/>
      <c r="C86" s="29"/>
    </row>
    <row r="87" spans="1:3">
      <c r="A87" s="19" t="s">
        <v>3721</v>
      </c>
      <c r="B87" s="29"/>
      <c r="C87" s="29"/>
    </row>
    <row r="88" spans="1:3">
      <c r="A88" s="19" t="s">
        <v>3724</v>
      </c>
      <c r="B88" s="29"/>
      <c r="C88" s="29"/>
    </row>
    <row r="89" spans="1:3">
      <c r="A89" s="19" t="s">
        <v>3727</v>
      </c>
      <c r="B89" s="29"/>
      <c r="C89" s="29"/>
    </row>
    <row r="90" spans="1:3">
      <c r="A90" s="19" t="s">
        <v>3730</v>
      </c>
      <c r="B90" s="29"/>
      <c r="C90" s="29"/>
    </row>
    <row r="91" spans="1:3">
      <c r="A91" s="19" t="s">
        <v>3733</v>
      </c>
      <c r="B91" s="29"/>
      <c r="C91" s="29"/>
    </row>
    <row r="92" spans="1:3">
      <c r="A92" s="19" t="s">
        <v>3736</v>
      </c>
      <c r="B92" s="29"/>
      <c r="C92" s="29"/>
    </row>
    <row r="93" spans="1:3">
      <c r="A93" s="19" t="s">
        <v>4960</v>
      </c>
      <c r="B93" s="29"/>
      <c r="C93" s="29"/>
    </row>
    <row r="94" spans="1:3">
      <c r="A94" s="19" t="s">
        <v>4961</v>
      </c>
      <c r="B94" s="29"/>
      <c r="C94" s="29"/>
    </row>
    <row r="95" spans="1:3">
      <c r="A95" s="19" t="s">
        <v>3744</v>
      </c>
      <c r="B95" s="29"/>
      <c r="C95" s="29"/>
    </row>
    <row r="96" spans="1:3">
      <c r="A96" s="19" t="s">
        <v>4962</v>
      </c>
      <c r="B96" s="29"/>
      <c r="C96" s="29"/>
    </row>
    <row r="97" spans="1:3">
      <c r="A97" s="19" t="s">
        <v>4963</v>
      </c>
      <c r="B97" s="29"/>
      <c r="C97" s="29"/>
    </row>
    <row r="98" spans="1:3">
      <c r="A98" s="19" t="s">
        <v>4964</v>
      </c>
      <c r="B98" s="29"/>
      <c r="C98" s="29"/>
    </row>
    <row r="99" spans="1:3">
      <c r="A99" s="19" t="s">
        <v>3754</v>
      </c>
      <c r="B99" s="29"/>
      <c r="C99" s="29"/>
    </row>
    <row r="100" spans="1:3">
      <c r="A100" s="19" t="s">
        <v>4965</v>
      </c>
      <c r="B100" s="29"/>
      <c r="C100" s="29"/>
    </row>
    <row r="101" spans="1:3">
      <c r="A101" s="19" t="s">
        <v>4966</v>
      </c>
      <c r="B101" s="29"/>
      <c r="C101" s="29"/>
    </row>
    <row r="102" spans="1:3">
      <c r="A102" s="19" t="s">
        <v>4967</v>
      </c>
      <c r="B102" s="29"/>
      <c r="C102" s="29"/>
    </row>
    <row r="103" spans="1:3">
      <c r="A103" s="19" t="s">
        <v>4968</v>
      </c>
      <c r="B103" s="29"/>
      <c r="C103" s="29"/>
    </row>
    <row r="104" spans="1:3">
      <c r="A104" s="22" t="s">
        <v>245</v>
      </c>
      <c r="B104" s="32"/>
      <c r="C104" s="32"/>
    </row>
    <row r="105" spans="1:3">
      <c r="A105" s="22" t="s">
        <v>246</v>
      </c>
      <c r="B105" s="32"/>
      <c r="C105" s="32"/>
    </row>
    <row r="106" spans="1:3">
      <c r="A106" s="22" t="s">
        <v>247</v>
      </c>
      <c r="B106" s="32"/>
      <c r="C106" s="32"/>
    </row>
    <row r="107" spans="1:3">
      <c r="A107" s="22" t="s">
        <v>248</v>
      </c>
      <c r="B107" s="32"/>
      <c r="C107" s="32"/>
    </row>
    <row r="108" spans="1:3">
      <c r="A108" s="14" t="s">
        <v>253</v>
      </c>
      <c r="B108" s="18"/>
      <c r="C108" s="18"/>
    </row>
    <row r="109" spans="1:3">
      <c r="A109" s="17" t="s">
        <v>258</v>
      </c>
      <c r="B109" s="33"/>
      <c r="C109" s="33"/>
    </row>
    <row r="110" spans="1:3">
      <c r="A110" s="22" t="s">
        <v>244</v>
      </c>
      <c r="B110" s="32"/>
      <c r="C110" s="32"/>
    </row>
    <row r="111" spans="1:3">
      <c r="A111" s="19" t="s">
        <v>3607</v>
      </c>
      <c r="B111" s="29"/>
      <c r="C111" s="29"/>
    </row>
    <row r="112" spans="1:3">
      <c r="A112" s="19" t="s">
        <v>3609</v>
      </c>
      <c r="B112" s="29"/>
      <c r="C112" s="29"/>
    </row>
    <row r="113" spans="1:3">
      <c r="A113" s="19" t="s">
        <v>3611</v>
      </c>
      <c r="B113" s="29"/>
      <c r="C113" s="29"/>
    </row>
    <row r="114" spans="1:3">
      <c r="A114" s="19" t="s">
        <v>3613</v>
      </c>
      <c r="B114" s="29"/>
      <c r="C114" s="29"/>
    </row>
    <row r="115" spans="1:3">
      <c r="A115" s="19" t="s">
        <v>5199</v>
      </c>
      <c r="B115" s="29"/>
      <c r="C115" s="29"/>
    </row>
    <row r="116" spans="1:3">
      <c r="A116" s="19" t="s">
        <v>305</v>
      </c>
      <c r="B116" s="29"/>
      <c r="C116" s="29"/>
    </row>
    <row r="117" spans="1:3">
      <c r="A117" s="19" t="s">
        <v>167</v>
      </c>
      <c r="B117" s="29"/>
      <c r="C117" s="29"/>
    </row>
    <row r="118" spans="1:3">
      <c r="A118" s="19" t="s">
        <v>3617</v>
      </c>
      <c r="B118" s="29"/>
      <c r="C118" s="29"/>
    </row>
    <row r="119" spans="1:3">
      <c r="A119" s="20" t="s">
        <v>2240</v>
      </c>
      <c r="B119" s="30"/>
      <c r="C119" s="30"/>
    </row>
    <row r="120" spans="1:3">
      <c r="A120" s="20" t="s">
        <v>5200</v>
      </c>
      <c r="B120" s="30"/>
      <c r="C120" s="30"/>
    </row>
    <row r="121" spans="1:3">
      <c r="A121" s="23" t="s">
        <v>113</v>
      </c>
      <c r="B121" s="34"/>
      <c r="C121" s="34"/>
    </row>
    <row r="122" spans="1:3">
      <c r="A122" s="23" t="s">
        <v>116</v>
      </c>
      <c r="B122" s="34"/>
      <c r="C122" s="34"/>
    </row>
    <row r="123" spans="1:3">
      <c r="A123" s="23" t="s">
        <v>118</v>
      </c>
      <c r="B123" s="34"/>
      <c r="C123" s="34"/>
    </row>
    <row r="124" spans="1:3">
      <c r="A124" s="23" t="s">
        <v>120</v>
      </c>
      <c r="B124" s="34"/>
      <c r="C124" s="34"/>
    </row>
    <row r="125" spans="1:3">
      <c r="A125" s="20" t="s">
        <v>4951</v>
      </c>
      <c r="B125" s="30"/>
      <c r="C125" s="30"/>
    </row>
    <row r="126" spans="1:3">
      <c r="A126" s="20" t="s">
        <v>4969</v>
      </c>
      <c r="B126" s="30"/>
      <c r="C126" s="30"/>
    </row>
  </sheetData>
  <conditionalFormatting sqref="C61">
    <cfRule type="duplicateValues" dxfId="10" priority="11"/>
  </conditionalFormatting>
  <conditionalFormatting sqref="C64">
    <cfRule type="duplicateValues" dxfId="9" priority="5"/>
  </conditionalFormatting>
  <conditionalFormatting sqref="C69:C71">
    <cfRule type="duplicateValues" dxfId="8" priority="4"/>
  </conditionalFormatting>
  <conditionalFormatting sqref="E62">
    <cfRule type="duplicateValues" dxfId="7" priority="13"/>
  </conditionalFormatting>
  <conditionalFormatting sqref="E63">
    <cfRule type="duplicateValues" dxfId="6" priority="12"/>
  </conditionalFormatting>
  <conditionalFormatting sqref="E65">
    <cfRule type="duplicateValues" dxfId="5" priority="6"/>
  </conditionalFormatting>
  <conditionalFormatting sqref="E66:E67">
    <cfRule type="duplicateValues" dxfId="4" priority="10"/>
  </conditionalFormatting>
  <conditionalFormatting sqref="E68">
    <cfRule type="duplicateValues" dxfId="3" priority="9"/>
  </conditionalFormatting>
  <conditionalFormatting sqref="E69">
    <cfRule type="duplicateValues" dxfId="2" priority="3"/>
  </conditionalFormatting>
  <conditionalFormatting sqref="E70">
    <cfRule type="duplicateValues" dxfId="1" priority="2"/>
  </conditionalFormatting>
  <conditionalFormatting sqref="E71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167159-48d3-438e-9291-beae688356d4">
      <Terms xmlns="http://schemas.microsoft.com/office/infopath/2007/PartnerControls"/>
    </lcf76f155ced4ddcb4097134ff3c332f>
    <TaxCatchAll xmlns="6504cafb-c983-4e47-bcaf-a5581da3406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8F68CE4BC3ED47AFB8515BA267C544" ma:contentTypeVersion="19" ma:contentTypeDescription="Create a new document." ma:contentTypeScope="" ma:versionID="a6609d28af3c130e991f6f5e45f594e9">
  <xsd:schema xmlns:xsd="http://www.w3.org/2001/XMLSchema" xmlns:xs="http://www.w3.org/2001/XMLSchema" xmlns:p="http://schemas.microsoft.com/office/2006/metadata/properties" xmlns:ns2="66167159-48d3-438e-9291-beae688356d4" xmlns:ns3="191fd3b4-2474-49f1-b88c-0285471f04f8" xmlns:ns4="6504cafb-c983-4e47-bcaf-a5581da3406e" targetNamespace="http://schemas.microsoft.com/office/2006/metadata/properties" ma:root="true" ma:fieldsID="bc30ed0d0b958fa58efa0c12634e5f5a" ns2:_="" ns3:_="" ns4:_="">
    <xsd:import namespace="66167159-48d3-438e-9291-beae688356d4"/>
    <xsd:import namespace="191fd3b4-2474-49f1-b88c-0285471f04f8"/>
    <xsd:import namespace="6504cafb-c983-4e47-bcaf-a5581da340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4:TaxCatchAll" minOccurs="0"/>
                <xsd:element ref="ns2:MediaServiceOCR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167159-48d3-438e-9291-beae688356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140db7b-894d-4be5-b4f9-3216f8c45b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fd3b4-2474-49f1-b88c-0285471f04f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04cafb-c983-4e47-bcaf-a5581da3406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d695a2cc-3578-4ed5-8e1f-ce8844345579}" ma:internalName="TaxCatchAll" ma:showField="CatchAllData" ma:web="191fd3b4-2474-49f1-b88c-0285471f04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4A333D-0396-4D5D-AFB5-A46E77493B32}">
  <ds:schemaRefs>
    <ds:schemaRef ds:uri="66167159-48d3-438e-9291-beae688356d4"/>
    <ds:schemaRef ds:uri="http://www.w3.org/XML/1998/namespace"/>
    <ds:schemaRef ds:uri="http://schemas.microsoft.com/office/infopath/2007/PartnerControls"/>
    <ds:schemaRef ds:uri="http://purl.org/dc/elements/1.1/"/>
    <ds:schemaRef ds:uri="6504cafb-c983-4e47-bcaf-a5581da3406e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191fd3b4-2474-49f1-b88c-0285471f04f8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F19F5FF-2321-4530-A4F3-786E749504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167159-48d3-438e-9291-beae688356d4"/>
    <ds:schemaRef ds:uri="191fd3b4-2474-49f1-b88c-0285471f04f8"/>
    <ds:schemaRef ds:uri="6504cafb-c983-4e47-bcaf-a5581da340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7D3E24-65FF-43C9-B7F2-A5FCD4D92FC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59f705-2ba0-454b-9cfc-6ce5bcaac040}" enabled="1" method="Standard" siteId="{68283f3b-8487-4c86-adb3-a5228f18b89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Version Control</vt:lpstr>
      <vt:lpstr>Transformation Layer Stage1_old</vt:lpstr>
      <vt:lpstr>Transformation Layer Stage 1</vt:lpstr>
      <vt:lpstr>AA_Base</vt:lpstr>
      <vt:lpstr>f_subscriber_ibro_prof_report_s</vt:lpstr>
      <vt:lpstr>CPA FIXED QLIK</vt:lpstr>
      <vt:lpstr>CPA MOBILE QLIK</vt:lpstr>
      <vt:lpstr>CPA PREPAID QLIK</vt:lpstr>
      <vt:lpstr>Total columns</vt:lpstr>
      <vt:lpstr>Example Subsidy_unitry</vt:lpstr>
      <vt:lpstr>Subsidy Calculation</vt:lpstr>
      <vt:lpstr>Excp_discovery_inline_data</vt:lpstr>
      <vt:lpstr>FMLY_DISCOUNT_UNITRY</vt:lpstr>
      <vt:lpstr>Family Discount Unitry Example</vt:lpstr>
      <vt:lpstr>CUS_SUB_TYPE</vt:lpstr>
      <vt:lpstr>S15 ADJUSTMENT EXAMPLE</vt:lpstr>
      <vt:lpstr>SOHO_DISCOUNT_UNITRY</vt:lpstr>
      <vt:lpstr>SOHO DISCOUNT Unitry Example</vt:lpstr>
      <vt:lpstr>Consistent -ve Margin Example</vt:lpstr>
      <vt:lpstr>CPA Fixed- Qlik logic table Ex</vt:lpstr>
      <vt:lpstr>tgt columns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Kant Modi, Krishna, Vodafone</dc:creator>
  <cp:keywords/>
  <dc:description/>
  <cp:lastModifiedBy>Smutiranjan Sahoo, Vodafone (External)</cp:lastModifiedBy>
  <cp:revision/>
  <dcterms:created xsi:type="dcterms:W3CDTF">2023-04-12T05:14:41Z</dcterms:created>
  <dcterms:modified xsi:type="dcterms:W3CDTF">2026-08-03T13:10:22Z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0x0101004B8F68CE4BC3ED47AFB8515BA267C544</vt:lpwstr>
  </property>
  <property fmtid="{D5CDD505-2E9C-101B-9397-08002B2CF9AE}" pid="3" name="MSIP_Label_0359f705-2ba0-454b-9cfc-6ce5bcaac040_Enabled">
    <vt:lpwstr>true</vt:lpwstr>
  </property>
  <property fmtid="{D5CDD505-2E9C-101B-9397-08002B2CF9AE}" pid="4" name="MSIP_Label_0359f705-2ba0-454b-9cfc-6ce5bcaac040_SetDate">
    <vt:lpwstr>2023-09-07T07:52:55Z</vt:lpwstr>
  </property>
  <property fmtid="{D5CDD505-2E9C-101B-9397-08002B2CF9AE}" pid="5" name="MSIP_Label_0359f705-2ba0-454b-9cfc-6ce5bcaac040_Method">
    <vt:lpwstr>Standard</vt:lpwstr>
  </property>
  <property fmtid="{D5CDD505-2E9C-101B-9397-08002B2CF9AE}" pid="6" name="MSIP_Label_0359f705-2ba0-454b-9cfc-6ce5bcaac040_Name">
    <vt:lpwstr>0359f705-2ba0-454b-9cfc-6ce5bcaac040</vt:lpwstr>
  </property>
  <property fmtid="{D5CDD505-2E9C-101B-9397-08002B2CF9AE}" pid="7" name="MSIP_Label_0359f705-2ba0-454b-9cfc-6ce5bcaac040_SiteId">
    <vt:lpwstr>68283f3b-8487-4c86-adb3-a5228f18b893</vt:lpwstr>
  </property>
  <property fmtid="{D5CDD505-2E9C-101B-9397-08002B2CF9AE}" pid="8" name="MSIP_Label_0359f705-2ba0-454b-9cfc-6ce5bcaac040_ActionId">
    <vt:lpwstr>8312561d-a0a5-49dc-80c2-fd7d7f8b0666</vt:lpwstr>
  </property>
  <property fmtid="{D5CDD505-2E9C-101B-9397-08002B2CF9AE}" pid="9" name="MSIP_Label_0359f705-2ba0-454b-9cfc-6ce5bcaac040_ContentBits">
    <vt:lpwstr>2</vt:lpwstr>
  </property>
  <property fmtid="{D5CDD505-2E9C-101B-9397-08002B2CF9AE}" pid="10" name="Order">
    <vt:r8>163600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SV_QUERY_LIST_4F35BF76-6C0D-4D9B-82B2-816C12CF3733">
    <vt:lpwstr>empty_477D106A-C0D6-4607-AEBD-E2C9D60EA279</vt:lpwstr>
  </property>
  <property fmtid="{D5CDD505-2E9C-101B-9397-08002B2CF9AE}" pid="18" name="SV_HIDDEN_GRID_QUERY_LIST_4F35BF76-6C0D-4D9B-82B2-816C12CF3733">
    <vt:lpwstr>empty_477D106A-C0D6-4607-AEBD-E2C9D60EA279</vt:lpwstr>
  </property>
  <property fmtid="{D5CDD505-2E9C-101B-9397-08002B2CF9AE}" pid="19" name="MediaServiceImageTags">
    <vt:lpwstr/>
  </property>
</Properties>
</file>